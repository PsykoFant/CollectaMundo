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code\CollectaMundo.Tests\TestResources\"/>
    </mc:Choice>
  </mc:AlternateContent>
  <xr:revisionPtr revIDLastSave="0" documentId="13_ncr:1_{4164A6B7-BA1C-4075-9F3C-2547B06FC118}" xr6:coauthVersionLast="47" xr6:coauthVersionMax="47" xr10:uidLastSave="{00000000-0000-0000-0000-000000000000}"/>
  <bookViews>
    <workbookView xWindow="-120" yWindow="-120" windowWidth="29040" windowHeight="17520" activeTab="5" xr2:uid="{1056F946-CA43-4E81-91BB-673BA1E4A007}"/>
  </bookViews>
  <sheets>
    <sheet name="AllCardsViz" sheetId="8" r:id="rId1"/>
    <sheet name="sets" sheetId="11" r:id="rId2"/>
    <sheet name="MyCollectionViz" sheetId="3" r:id="rId3"/>
    <sheet name="myCollection" sheetId="10" r:id="rId4"/>
    <sheet name="tokens" sheetId="6" r:id="rId5"/>
    <sheet name="cards" sheetId="14" r:id="rId6"/>
    <sheet name="cards_old" sheetId="5" r:id="rId7"/>
    <sheet name="Query" sheetId="2" r:id="rId8"/>
  </sheets>
  <definedNames>
    <definedName name="ExternalData_1" localSheetId="6" hidden="1">'cards_old'!$A$1:$CD$110</definedName>
    <definedName name="ExternalData_1" localSheetId="3" hidden="1">myCollection!$A$1:$G$23</definedName>
    <definedName name="ExternalData_2" localSheetId="5" hidden="1">'cards'!$A$1:$CD$47</definedName>
    <definedName name="ExternalData_2" localSheetId="1" hidden="1">sets!$A$1:$T$47</definedName>
    <definedName name="ExternalData_2" localSheetId="4" hidden="1">tokens!$A$1:$BA$19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a="1"/>
  <c r="A2" i="2" s="1"/>
  <c r="A51" i="8" a="1"/>
  <c r="A51" i="8" s="1"/>
  <c r="F51" i="8" s="1"/>
  <c r="A66" i="8" a="1"/>
  <c r="A66" i="8" s="1"/>
  <c r="F66" i="8" s="1"/>
  <c r="A34" i="8" a="1"/>
  <c r="A34" i="8" s="1"/>
  <c r="F34" i="8" s="1"/>
  <c r="A39" i="8" a="1"/>
  <c r="A39" i="8" s="1"/>
  <c r="E39" i="8" s="1"/>
  <c r="A73" i="8" a="1"/>
  <c r="A73" i="8" s="1"/>
  <c r="D73" i="8" s="1"/>
  <c r="A40" i="8" a="1"/>
  <c r="A40" i="8" s="1"/>
  <c r="D40" i="8" s="1"/>
  <c r="A55" i="8" a="1"/>
  <c r="A55" i="8" s="1"/>
  <c r="E55" i="8" s="1"/>
  <c r="A45" i="8" a="1"/>
  <c r="A45" i="8" s="1"/>
  <c r="C45" i="8" s="1"/>
  <c r="A29" i="8" a="1"/>
  <c r="A29" i="8" s="1"/>
  <c r="C29" i="8" s="1"/>
  <c r="A42" i="8" a="1"/>
  <c r="A42" i="8" s="1"/>
  <c r="D42" i="8" s="1"/>
  <c r="A49" i="8" a="1"/>
  <c r="A49" i="8" s="1"/>
  <c r="B49" i="8" s="1"/>
  <c r="A60" i="8" a="1"/>
  <c r="A60" i="8" s="1"/>
  <c r="C60" i="8" s="1"/>
  <c r="A75" i="8" a="1"/>
  <c r="A75" i="8" s="1"/>
  <c r="C75" i="8" s="1"/>
  <c r="A31" i="8" a="1"/>
  <c r="A31" i="8" s="1"/>
  <c r="C31" i="8" s="1"/>
  <c r="A62" i="8" a="1"/>
  <c r="A62" i="8" s="1"/>
  <c r="B62" i="8" s="1"/>
  <c r="A17" i="8" a="1"/>
  <c r="A17" i="8" s="1"/>
  <c r="B17" i="8" s="1"/>
  <c r="A71" i="8" a="1"/>
  <c r="A71" i="8" s="1"/>
  <c r="E71" i="8" s="1"/>
  <c r="A44" i="8" a="1"/>
  <c r="A44" i="8" s="1"/>
  <c r="C44" i="8" s="1"/>
  <c r="A69" i="8" a="1"/>
  <c r="A69" i="8" s="1"/>
  <c r="E69" i="8" s="1"/>
  <c r="A24" i="8" a="1"/>
  <c r="A24" i="8" s="1"/>
  <c r="D24" i="8" s="1"/>
  <c r="A72" i="8" a="1"/>
  <c r="A72" i="8" s="1"/>
  <c r="D72" i="8" s="1"/>
  <c r="A37" i="8" a="1"/>
  <c r="A37" i="8" s="1"/>
  <c r="E37" i="8" s="1"/>
  <c r="A30" i="8" a="1"/>
  <c r="A30" i="8" s="1"/>
  <c r="B30" i="8" s="1"/>
  <c r="A76" i="8" a="1"/>
  <c r="A76" i="8" s="1"/>
  <c r="C76" i="8" s="1"/>
  <c r="A18" i="8" a="1"/>
  <c r="A18" i="8" s="1"/>
  <c r="F18" i="8" s="1"/>
  <c r="A68" i="8" a="1"/>
  <c r="A68" i="8" s="1"/>
  <c r="F68" i="8" s="1"/>
  <c r="A35" i="8" a="1"/>
  <c r="A35" i="8" s="1"/>
  <c r="F35" i="8" s="1"/>
  <c r="A56" i="8" a="1"/>
  <c r="A56" i="8" s="1"/>
  <c r="C56" i="8" s="1"/>
  <c r="A21" i="8" a="1"/>
  <c r="A21" i="8" s="1"/>
  <c r="E21" i="8" s="1"/>
  <c r="A53" i="8" a="1"/>
  <c r="A53" i="8" s="1"/>
  <c r="E53" i="8" s="1"/>
  <c r="A43" i="8" a="1"/>
  <c r="A43" i="8" s="1"/>
  <c r="C43" i="8" s="1"/>
  <c r="A54" i="8" a="1"/>
  <c r="A54" i="8" s="1"/>
  <c r="E54" i="8" s="1"/>
  <c r="A36" i="8" a="1"/>
  <c r="A36" i="8" s="1"/>
  <c r="F36" i="8" s="1"/>
  <c r="A57" i="8" a="1"/>
  <c r="A57" i="8" s="1"/>
  <c r="D57" i="8" s="1"/>
  <c r="A27" i="8" a="1"/>
  <c r="A27" i="8" s="1"/>
  <c r="C27" i="8" s="1"/>
  <c r="A61" i="8" a="1"/>
  <c r="A61" i="8" s="1"/>
  <c r="C61" i="8" s="1"/>
  <c r="A50" i="8" a="1"/>
  <c r="A50" i="8" s="1"/>
  <c r="F50" i="8" s="1"/>
  <c r="A28" i="8" a="1"/>
  <c r="A28" i="8" s="1"/>
  <c r="C28" i="8" s="1"/>
  <c r="A67" i="8" a="1"/>
  <c r="A67" i="8" s="1"/>
  <c r="C67" i="8" s="1"/>
  <c r="A23" i="8" a="1"/>
  <c r="A23" i="8" s="1"/>
  <c r="B23" i="8" s="1"/>
  <c r="A22" i="8" a="1"/>
  <c r="A22" i="8" s="1"/>
  <c r="E22" i="8" s="1"/>
  <c r="A38" i="8" a="1"/>
  <c r="A38" i="8" s="1"/>
  <c r="E38" i="8" s="1"/>
  <c r="A19" i="8" a="1"/>
  <c r="A19" i="8" s="1"/>
  <c r="F19" i="8" s="1"/>
  <c r="A65" i="8" a="1"/>
  <c r="A65" i="8" s="1"/>
  <c r="B65" i="8" s="1"/>
  <c r="A77" i="8" a="1"/>
  <c r="A77" i="8" s="1"/>
  <c r="C77" i="8" s="1"/>
  <c r="A64" i="8" a="1"/>
  <c r="A64" i="8" s="1"/>
  <c r="B64" i="8" s="1"/>
  <c r="A70" i="8" a="1"/>
  <c r="A70" i="8" s="1"/>
  <c r="E70" i="8" s="1"/>
  <c r="A59" i="8" a="1"/>
  <c r="A59" i="8" s="1"/>
  <c r="C59" i="8" s="1"/>
  <c r="A16" i="8" a="1"/>
  <c r="A16" i="8" s="1"/>
  <c r="B16" i="8" s="1"/>
  <c r="A20" i="8" a="1"/>
  <c r="A20" i="8" s="1"/>
  <c r="F20" i="8" s="1"/>
  <c r="A58" i="8" a="1"/>
  <c r="A58" i="8" s="1"/>
  <c r="D58" i="8" s="1"/>
  <c r="A63" i="8" a="1"/>
  <c r="A63" i="8" s="1"/>
  <c r="B63" i="8" s="1"/>
  <c r="A26" i="8" a="1"/>
  <c r="A26" i="8" s="1"/>
  <c r="D26" i="8" s="1"/>
  <c r="A46" i="8" a="1"/>
  <c r="A46" i="8" s="1"/>
  <c r="B46" i="8" s="1"/>
  <c r="A47" i="8" a="1"/>
  <c r="A47" i="8" s="1"/>
  <c r="B47" i="8" s="1"/>
  <c r="A74" i="8" a="1"/>
  <c r="A74" i="8" s="1"/>
  <c r="D74" i="8" s="1"/>
  <c r="A25" i="8" a="1"/>
  <c r="A25" i="8" s="1"/>
  <c r="D25" i="8" s="1"/>
  <c r="A32" i="8" a="1"/>
  <c r="A32" i="8" s="1"/>
  <c r="B32" i="8" s="1"/>
  <c r="A33" i="8" a="1"/>
  <c r="A33" i="8" s="1"/>
  <c r="B33" i="8" s="1"/>
  <c r="A41" i="8" a="1"/>
  <c r="A41" i="8" s="1"/>
  <c r="B41" i="8" s="1"/>
  <c r="A52" i="8" a="1"/>
  <c r="A52" i="8" s="1"/>
  <c r="F52" i="8" s="1"/>
  <c r="A78" i="8" a="1"/>
  <c r="A78" i="8" s="1"/>
  <c r="B78" i="8" s="1"/>
  <c r="A48" i="8" a="1"/>
  <c r="A48" i="8" s="1"/>
  <c r="B48" i="8" s="1"/>
  <c r="A2" i="8" a="1"/>
  <c r="A2" i="8" s="1"/>
  <c r="F2" i="8" s="1"/>
  <c r="A3" i="8" a="1"/>
  <c r="A3" i="8" s="1"/>
  <c r="F3" i="8" s="1"/>
  <c r="A4" i="8" a="1"/>
  <c r="A4" i="8" s="1"/>
  <c r="F4" i="8" s="1"/>
  <c r="A5" i="8" a="1"/>
  <c r="A5" i="8" s="1"/>
  <c r="E5" i="8" s="1"/>
  <c r="A6" i="8" a="1"/>
  <c r="A6" i="8" s="1"/>
  <c r="E6" i="8" s="1"/>
  <c r="A7" i="8" a="1"/>
  <c r="A7" i="8" s="1"/>
  <c r="E7" i="8" s="1"/>
  <c r="A8" i="8" a="1"/>
  <c r="A8" i="8" s="1"/>
  <c r="D8" i="8" s="1"/>
  <c r="A9" i="8" a="1"/>
  <c r="A9" i="8" s="1"/>
  <c r="F9" i="8" s="1"/>
  <c r="A10" i="8" a="1"/>
  <c r="A10" i="8" s="1"/>
  <c r="B10" i="8" s="1"/>
  <c r="A11" i="8" a="1"/>
  <c r="A11" i="8" s="1"/>
  <c r="C11" i="8" s="1"/>
  <c r="A12" i="8" a="1"/>
  <c r="A12" i="8" s="1"/>
  <c r="C12" i="8" s="1"/>
  <c r="A13" i="8" a="1"/>
  <c r="A13" i="8" s="1"/>
  <c r="C13" i="8" s="1"/>
  <c r="A14" i="8" a="1"/>
  <c r="A14" i="8" s="1"/>
  <c r="B14" i="8" s="1"/>
  <c r="A15" i="8" a="1"/>
  <c r="A15" i="8" s="1"/>
  <c r="B15" i="8" s="1"/>
  <c r="A2" i="3"/>
  <c r="D2" i="3" s="1"/>
  <c r="A3" i="3"/>
  <c r="D3" i="3" s="1"/>
  <c r="A4" i="3"/>
  <c r="G4" i="3" s="1"/>
  <c r="A5" i="3"/>
  <c r="G5" i="3" s="1"/>
  <c r="A6" i="3"/>
  <c r="G6" i="3" s="1"/>
  <c r="A7" i="3"/>
  <c r="G7" i="3" s="1"/>
  <c r="A8" i="3"/>
  <c r="D8" i="3" s="1"/>
  <c r="A9" i="3"/>
  <c r="E9" i="3" s="1"/>
  <c r="A10" i="3"/>
  <c r="E10" i="3" s="1"/>
  <c r="A11" i="3"/>
  <c r="E11" i="3" s="1"/>
  <c r="A12" i="3"/>
  <c r="B12" i="3" s="1"/>
  <c r="A13" i="3"/>
  <c r="B13" i="3" s="1"/>
  <c r="A14" i="3"/>
  <c r="F14" i="3" s="1"/>
  <c r="A15" i="3"/>
  <c r="F15" i="3" s="1"/>
  <c r="A16" i="3"/>
  <c r="F16" i="3" s="1"/>
  <c r="A17" i="3"/>
  <c r="F17" i="3" s="1"/>
  <c r="A18" i="3"/>
  <c r="D18" i="3" s="1"/>
  <c r="A19" i="3"/>
  <c r="D19" i="3" s="1"/>
  <c r="A20" i="3"/>
  <c r="G20" i="3" s="1"/>
  <c r="A21" i="3"/>
  <c r="G21" i="3" s="1"/>
  <c r="A22" i="3"/>
  <c r="G22" i="3" s="1"/>
  <c r="A23" i="3"/>
  <c r="G23" i="3" s="1"/>
  <c r="B17" i="3" l="1"/>
  <c r="B16" i="3"/>
  <c r="B15" i="3"/>
  <c r="B14" i="3"/>
  <c r="B11" i="3"/>
  <c r="B10" i="3"/>
  <c r="B9" i="3"/>
  <c r="B8" i="3"/>
  <c r="B23" i="3"/>
  <c r="B7" i="3"/>
  <c r="B22" i="3"/>
  <c r="B6" i="3"/>
  <c r="B21" i="3"/>
  <c r="B5" i="3"/>
  <c r="B20" i="3"/>
  <c r="B4" i="3"/>
  <c r="B19" i="3"/>
  <c r="B3" i="3"/>
  <c r="B18" i="3"/>
  <c r="B2" i="3"/>
  <c r="G8" i="3"/>
  <c r="B76" i="8"/>
  <c r="B73" i="8"/>
  <c r="B66" i="8"/>
  <c r="B50" i="8"/>
  <c r="B18" i="8"/>
  <c r="C73" i="8"/>
  <c r="D60" i="8"/>
  <c r="G60" i="8" s="1"/>
  <c r="D28" i="8"/>
  <c r="G28" i="8" s="1"/>
  <c r="E51" i="8"/>
  <c r="F45" i="8"/>
  <c r="B77" i="8"/>
  <c r="B2" i="8"/>
  <c r="D44" i="8"/>
  <c r="C57" i="8"/>
  <c r="D3" i="8"/>
  <c r="G3" i="8" s="1"/>
  <c r="B60" i="8"/>
  <c r="C54" i="8"/>
  <c r="E73" i="8"/>
  <c r="B57" i="8"/>
  <c r="C47" i="8"/>
  <c r="E57" i="8"/>
  <c r="C41" i="8"/>
  <c r="C70" i="8"/>
  <c r="D12" i="8"/>
  <c r="G12" i="8" s="1"/>
  <c r="B45" i="8"/>
  <c r="C38" i="8"/>
  <c r="E41" i="8"/>
  <c r="B44" i="8"/>
  <c r="C25" i="8"/>
  <c r="E32" i="8"/>
  <c r="C22" i="8"/>
  <c r="E25" i="8"/>
  <c r="B34" i="8"/>
  <c r="C15" i="8"/>
  <c r="E16" i="8"/>
  <c r="B28" i="8"/>
  <c r="D76" i="8"/>
  <c r="G76" i="8" s="1"/>
  <c r="F77" i="8"/>
  <c r="B25" i="8"/>
  <c r="D67" i="8"/>
  <c r="G67" i="8" s="1"/>
  <c r="F54" i="8"/>
  <c r="B12" i="8"/>
  <c r="D54" i="8"/>
  <c r="G54" i="8" s="1"/>
  <c r="F29" i="8"/>
  <c r="B9" i="8"/>
  <c r="D51" i="8"/>
  <c r="G51" i="8" s="1"/>
  <c r="F22" i="8"/>
  <c r="B61" i="8"/>
  <c r="B29" i="8"/>
  <c r="B13" i="8"/>
  <c r="C74" i="8"/>
  <c r="C58" i="8"/>
  <c r="C42" i="8"/>
  <c r="C26" i="8"/>
  <c r="C10" i="8"/>
  <c r="D71" i="8"/>
  <c r="G71" i="8" s="1"/>
  <c r="D55" i="8"/>
  <c r="G55" i="8" s="1"/>
  <c r="D39" i="8"/>
  <c r="G39" i="8" s="1"/>
  <c r="D23" i="8"/>
  <c r="G23" i="8" s="1"/>
  <c r="D7" i="8"/>
  <c r="E68" i="8"/>
  <c r="E52" i="8"/>
  <c r="E36" i="8"/>
  <c r="E20" i="8"/>
  <c r="E4" i="8"/>
  <c r="F65" i="8"/>
  <c r="F49" i="8"/>
  <c r="F33" i="8"/>
  <c r="F17" i="8"/>
  <c r="D38" i="8"/>
  <c r="G38" i="8" s="1"/>
  <c r="D6" i="8"/>
  <c r="G6" i="8" s="1"/>
  <c r="E67" i="8"/>
  <c r="E35" i="8"/>
  <c r="E19" i="8"/>
  <c r="E3" i="8"/>
  <c r="F64" i="8"/>
  <c r="F48" i="8"/>
  <c r="F32" i="8"/>
  <c r="F16" i="8"/>
  <c r="C9" i="8"/>
  <c r="D70" i="8"/>
  <c r="D22" i="8"/>
  <c r="B75" i="8"/>
  <c r="B59" i="8"/>
  <c r="B43" i="8"/>
  <c r="B27" i="8"/>
  <c r="B11" i="8"/>
  <c r="C72" i="8"/>
  <c r="C40" i="8"/>
  <c r="C24" i="8"/>
  <c r="C8" i="8"/>
  <c r="D69" i="8"/>
  <c r="G69" i="8" s="1"/>
  <c r="D53" i="8"/>
  <c r="G53" i="8" s="1"/>
  <c r="D37" i="8"/>
  <c r="G37" i="8" s="1"/>
  <c r="D21" i="8"/>
  <c r="G21" i="8" s="1"/>
  <c r="D5" i="8"/>
  <c r="G5" i="8" s="1"/>
  <c r="E66" i="8"/>
  <c r="E50" i="8"/>
  <c r="E34" i="8"/>
  <c r="E18" i="8"/>
  <c r="E2" i="8"/>
  <c r="F63" i="8"/>
  <c r="F47" i="8"/>
  <c r="F31" i="8"/>
  <c r="F15" i="8"/>
  <c r="B74" i="8"/>
  <c r="B58" i="8"/>
  <c r="B42" i="8"/>
  <c r="B26" i="8"/>
  <c r="C71" i="8"/>
  <c r="C55" i="8"/>
  <c r="C39" i="8"/>
  <c r="C23" i="8"/>
  <c r="C7" i="8"/>
  <c r="D68" i="8"/>
  <c r="D52" i="8"/>
  <c r="D36" i="8"/>
  <c r="G36" i="8" s="1"/>
  <c r="D20" i="8"/>
  <c r="G20" i="8" s="1"/>
  <c r="D4" i="8"/>
  <c r="E65" i="8"/>
  <c r="E49" i="8"/>
  <c r="E33" i="8"/>
  <c r="E17" i="8"/>
  <c r="F78" i="8"/>
  <c r="F62" i="8"/>
  <c r="F46" i="8"/>
  <c r="F30" i="8"/>
  <c r="F14" i="8"/>
  <c r="F13" i="8"/>
  <c r="B72" i="8"/>
  <c r="B56" i="8"/>
  <c r="B40" i="8"/>
  <c r="B24" i="8"/>
  <c r="B8" i="8"/>
  <c r="C69" i="8"/>
  <c r="C53" i="8"/>
  <c r="C37" i="8"/>
  <c r="C21" i="8"/>
  <c r="C5" i="8"/>
  <c r="D66" i="8"/>
  <c r="G66" i="8" s="1"/>
  <c r="D50" i="8"/>
  <c r="D34" i="8"/>
  <c r="G34" i="8" s="1"/>
  <c r="D18" i="8"/>
  <c r="G18" i="8" s="1"/>
  <c r="D2" i="8"/>
  <c r="G2" i="8" s="1"/>
  <c r="E63" i="8"/>
  <c r="E47" i="8"/>
  <c r="E31" i="8"/>
  <c r="E15" i="8"/>
  <c r="F76" i="8"/>
  <c r="F60" i="8"/>
  <c r="F44" i="8"/>
  <c r="F28" i="8"/>
  <c r="F12" i="8"/>
  <c r="B71" i="8"/>
  <c r="B55" i="8"/>
  <c r="B39" i="8"/>
  <c r="B7" i="8"/>
  <c r="C68" i="8"/>
  <c r="C52" i="8"/>
  <c r="C36" i="8"/>
  <c r="C20" i="8"/>
  <c r="C4" i="8"/>
  <c r="D65" i="8"/>
  <c r="G65" i="8" s="1"/>
  <c r="D49" i="8"/>
  <c r="G49" i="8" s="1"/>
  <c r="D33" i="8"/>
  <c r="G33" i="8" s="1"/>
  <c r="D17" i="8"/>
  <c r="G17" i="8" s="1"/>
  <c r="E78" i="8"/>
  <c r="E62" i="8"/>
  <c r="E46" i="8"/>
  <c r="E30" i="8"/>
  <c r="E14" i="8"/>
  <c r="F75" i="8"/>
  <c r="F59" i="8"/>
  <c r="F43" i="8"/>
  <c r="F27" i="8"/>
  <c r="F11" i="8"/>
  <c r="F61" i="8"/>
  <c r="B70" i="8"/>
  <c r="B54" i="8"/>
  <c r="B38" i="8"/>
  <c r="B22" i="8"/>
  <c r="B6" i="8"/>
  <c r="C51" i="8"/>
  <c r="C35" i="8"/>
  <c r="C19" i="8"/>
  <c r="C3" i="8"/>
  <c r="D64" i="8"/>
  <c r="G64" i="8" s="1"/>
  <c r="D48" i="8"/>
  <c r="D32" i="8"/>
  <c r="G32" i="8" s="1"/>
  <c r="D16" i="8"/>
  <c r="G16" i="8" s="1"/>
  <c r="E77" i="8"/>
  <c r="E61" i="8"/>
  <c r="E45" i="8"/>
  <c r="E29" i="8"/>
  <c r="E13" i="8"/>
  <c r="F74" i="8"/>
  <c r="F58" i="8"/>
  <c r="F42" i="8"/>
  <c r="F26" i="8"/>
  <c r="F10" i="8"/>
  <c r="C6" i="8"/>
  <c r="B69" i="8"/>
  <c r="B53" i="8"/>
  <c r="B37" i="8"/>
  <c r="B21" i="8"/>
  <c r="B5" i="8"/>
  <c r="C66" i="8"/>
  <c r="C50" i="8"/>
  <c r="C34" i="8"/>
  <c r="C18" i="8"/>
  <c r="C2" i="8"/>
  <c r="D63" i="8"/>
  <c r="G63" i="8" s="1"/>
  <c r="D47" i="8"/>
  <c r="G47" i="8" s="1"/>
  <c r="D31" i="8"/>
  <c r="G31" i="8" s="1"/>
  <c r="D15" i="8"/>
  <c r="G15" i="8" s="1"/>
  <c r="E76" i="8"/>
  <c r="E60" i="8"/>
  <c r="E44" i="8"/>
  <c r="E28" i="8"/>
  <c r="E12" i="8"/>
  <c r="F73" i="8"/>
  <c r="F57" i="8"/>
  <c r="F41" i="8"/>
  <c r="F25" i="8"/>
  <c r="D35" i="8"/>
  <c r="G35" i="8" s="1"/>
  <c r="D19" i="8"/>
  <c r="G19" i="8" s="1"/>
  <c r="B68" i="8"/>
  <c r="B52" i="8"/>
  <c r="B36" i="8"/>
  <c r="B20" i="8"/>
  <c r="B4" i="8"/>
  <c r="C65" i="8"/>
  <c r="C49" i="8"/>
  <c r="C33" i="8"/>
  <c r="C17" i="8"/>
  <c r="D78" i="8"/>
  <c r="G78" i="8" s="1"/>
  <c r="D62" i="8"/>
  <c r="G62" i="8" s="1"/>
  <c r="D46" i="8"/>
  <c r="G46" i="8" s="1"/>
  <c r="D30" i="8"/>
  <c r="G30" i="8" s="1"/>
  <c r="D14" i="8"/>
  <c r="G14" i="8" s="1"/>
  <c r="E75" i="8"/>
  <c r="E59" i="8"/>
  <c r="E43" i="8"/>
  <c r="E27" i="8"/>
  <c r="E11" i="8"/>
  <c r="F72" i="8"/>
  <c r="F56" i="8"/>
  <c r="F40" i="8"/>
  <c r="F24" i="8"/>
  <c r="F8" i="8"/>
  <c r="E64" i="8"/>
  <c r="E48" i="8"/>
  <c r="B67" i="8"/>
  <c r="B51" i="8"/>
  <c r="B35" i="8"/>
  <c r="B19" i="8"/>
  <c r="B3" i="8"/>
  <c r="C64" i="8"/>
  <c r="C48" i="8"/>
  <c r="C32" i="8"/>
  <c r="C16" i="8"/>
  <c r="D77" i="8"/>
  <c r="G77" i="8" s="1"/>
  <c r="D61" i="8"/>
  <c r="G61" i="8" s="1"/>
  <c r="D45" i="8"/>
  <c r="G45" i="8" s="1"/>
  <c r="D29" i="8"/>
  <c r="G29" i="8" s="1"/>
  <c r="D13" i="8"/>
  <c r="G13" i="8" s="1"/>
  <c r="E74" i="8"/>
  <c r="E58" i="8"/>
  <c r="E42" i="8"/>
  <c r="E26" i="8"/>
  <c r="E10" i="8"/>
  <c r="F71" i="8"/>
  <c r="F55" i="8"/>
  <c r="F39" i="8"/>
  <c r="F23" i="8"/>
  <c r="F7" i="8"/>
  <c r="F70" i="8"/>
  <c r="F6" i="8"/>
  <c r="E9" i="8"/>
  <c r="F38" i="8"/>
  <c r="C78" i="8"/>
  <c r="C62" i="8"/>
  <c r="C46" i="8"/>
  <c r="C30" i="8"/>
  <c r="C14" i="8"/>
  <c r="D75" i="8"/>
  <c r="G75" i="8" s="1"/>
  <c r="D59" i="8"/>
  <c r="G59" i="8" s="1"/>
  <c r="D43" i="8"/>
  <c r="G43" i="8" s="1"/>
  <c r="D27" i="8"/>
  <c r="G27" i="8" s="1"/>
  <c r="D11" i="8"/>
  <c r="E72" i="8"/>
  <c r="E56" i="8"/>
  <c r="E40" i="8"/>
  <c r="E24" i="8"/>
  <c r="E8" i="8"/>
  <c r="F69" i="8"/>
  <c r="F53" i="8"/>
  <c r="F37" i="8"/>
  <c r="F21" i="8"/>
  <c r="F5" i="8"/>
  <c r="D10" i="8"/>
  <c r="G10" i="8" s="1"/>
  <c r="E23" i="8"/>
  <c r="C63" i="8"/>
  <c r="B31" i="8"/>
  <c r="D41" i="8"/>
  <c r="G41" i="8" s="1"/>
  <c r="D9" i="8"/>
  <c r="G9" i="8" s="1"/>
  <c r="F67" i="8"/>
  <c r="D56" i="8"/>
  <c r="G56" i="8" s="1"/>
  <c r="G3" i="3"/>
  <c r="D22" i="3"/>
  <c r="D6" i="3"/>
  <c r="E23" i="3"/>
  <c r="E22" i="3"/>
  <c r="E8" i="3"/>
  <c r="E12" i="3"/>
  <c r="E7" i="3"/>
  <c r="E6" i="3"/>
  <c r="F22" i="3"/>
  <c r="D23" i="3"/>
  <c r="F13" i="3"/>
  <c r="D17" i="3"/>
  <c r="F11" i="3"/>
  <c r="F12" i="3"/>
  <c r="D16" i="3"/>
  <c r="F8" i="3"/>
  <c r="D13" i="3"/>
  <c r="F6" i="3"/>
  <c r="D12" i="3"/>
  <c r="G19" i="3"/>
  <c r="D11" i="3"/>
  <c r="G15" i="3"/>
  <c r="D7" i="3"/>
  <c r="G12" i="3"/>
  <c r="G18" i="3"/>
  <c r="G2" i="3"/>
  <c r="D15" i="3"/>
  <c r="E21" i="3"/>
  <c r="E5" i="3"/>
  <c r="G17" i="3"/>
  <c r="D14" i="3"/>
  <c r="E20" i="3"/>
  <c r="E4" i="3"/>
  <c r="F10" i="3"/>
  <c r="G16" i="3"/>
  <c r="E18" i="3"/>
  <c r="E2" i="3"/>
  <c r="G14" i="3"/>
  <c r="E19" i="3"/>
  <c r="E17" i="3"/>
  <c r="F23" i="3"/>
  <c r="F7" i="3"/>
  <c r="G13" i="3"/>
  <c r="E3" i="3"/>
  <c r="F9" i="3"/>
  <c r="D10" i="3"/>
  <c r="E16" i="3"/>
  <c r="D9" i="3"/>
  <c r="E15" i="3"/>
  <c r="F21" i="3"/>
  <c r="F5" i="3"/>
  <c r="G11" i="3"/>
  <c r="C2" i="3"/>
  <c r="E14" i="3"/>
  <c r="F20" i="3"/>
  <c r="F4" i="3"/>
  <c r="G10" i="3"/>
  <c r="E13" i="3"/>
  <c r="F19" i="3"/>
  <c r="F3" i="3"/>
  <c r="G9" i="3"/>
  <c r="D21" i="3"/>
  <c r="D5" i="3"/>
  <c r="F18" i="3"/>
  <c r="F2" i="3"/>
  <c r="D20" i="3"/>
  <c r="D4" i="3"/>
  <c r="G11" i="8"/>
  <c r="G25" i="8"/>
  <c r="G74" i="8"/>
  <c r="G8" i="8"/>
  <c r="G40" i="8"/>
  <c r="G7" i="8"/>
  <c r="G26" i="8"/>
  <c r="G50" i="8"/>
  <c r="G72" i="8"/>
  <c r="G73" i="8"/>
  <c r="G24" i="8"/>
  <c r="G22" i="8"/>
  <c r="G58" i="8"/>
  <c r="G4" i="8"/>
  <c r="G57" i="8"/>
  <c r="G44" i="8"/>
  <c r="G48" i="8"/>
  <c r="G70" i="8"/>
  <c r="G52" i="8"/>
  <c r="G68" i="8"/>
  <c r="G42"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131A8C3-9234-4C84-8A5F-E46E773E1F06}" keepAlive="1" name="Query - cards" description="Connection to the 'cards' query in the workbook." type="5" refreshedVersion="8" background="1" saveData="1">
    <dbPr connection="Provider=Microsoft.Mashup.OleDb.1;Data Source=$Workbook$;Location=cards;Extended Properties=&quot;&quot;" command="SELECT * FROM [cards]"/>
  </connection>
  <connection id="2" xr16:uid="{CC8BC23A-8B87-4EA9-AE86-18EF2AD24444}" keepAlive="1" name="Query - cards_old" description="Connection to the 'cards_old' query in the workbook." type="5" refreshedVersion="8" background="1" saveData="1">
    <dbPr connection="Provider=Microsoft.Mashup.OleDb.1;Data Source=$Workbook$;Location=cards_old;Extended Properties=&quot;&quot;" command="SELECT * FROM [cards_old]"/>
  </connection>
  <connection id="3" xr16:uid="{24A53960-270D-4FF3-AF4C-736AC983F3D9}" keepAlive="1" name="Query - myCollection" description="Connection to the 'myCollection' query in the workbook." type="5" refreshedVersion="8" background="1" saveData="1">
    <dbPr connection="Provider=Microsoft.Mashup.OleDb.1;Data Source=$Workbook$;Location=myCollection;Extended Properties=&quot;&quot;" command="SELECT * FROM [myCollection]"/>
  </connection>
  <connection id="4" xr16:uid="{E5F7B765-C022-431D-8EDA-B3817C2DE6D2}" keepAlive="1" name="Query - sets" description="Connection to the 'sets' query in the workbook." type="5" refreshedVersion="8" background="1" saveData="1">
    <dbPr connection="Provider=Microsoft.Mashup.OleDb.1;Data Source=$Workbook$;Location=sets;Extended Properties=&quot;&quot;" command="SELECT * FROM [sets]"/>
  </connection>
  <connection id="5" xr16:uid="{270D9C48-7EFB-40A7-BA3A-82852EF6C888}" keepAlive="1" name="Query - tokens" description="Connection to the 'tokens' query in the workbook." type="5" refreshedVersion="8" background="1" saveData="1">
    <dbPr connection="Provider=Microsoft.Mashup.OleDb.1;Data Source=$Workbook$;Location=tokens;Extended Properties=&quot;&quot;" command="SELECT * FROM [token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<sst xmlns="http://schemas.openxmlformats.org/spreadsheetml/2006/main" count="11907" uniqueCount="1132">
  <si>
    <t>Name</t>
  </si>
  <si>
    <t>Side</t>
  </si>
  <si>
    <t>Rarity</t>
  </si>
  <si>
    <t>Boundary Lands Ranger</t>
  </si>
  <si>
    <t>PIO</t>
  </si>
  <si>
    <t>{1}{R}</t>
  </si>
  <si>
    <t>Creature</t>
  </si>
  <si>
    <t>R</t>
  </si>
  <si>
    <t>Human, Ranger</t>
  </si>
  <si>
    <t>Creature — Human Ranger</t>
  </si>
  <si>
    <t>At the beginning of combat on your turn, if you control a creature with power 4 or greater, you may discard a card. If you do, draw a card.</t>
  </si>
  <si>
    <t>English</t>
  </si>
  <si>
    <t>bf2540bd-5984-569c-b6ab-c5d77db981bd</t>
  </si>
  <si>
    <t>nonfoil</t>
  </si>
  <si>
    <t>common</t>
  </si>
  <si>
    <t>Ancient Greenwarden</t>
  </si>
  <si>
    <t>J25</t>
  </si>
  <si>
    <t>{4}{G}{G}</t>
  </si>
  <si>
    <t>G</t>
  </si>
  <si>
    <t>Elemental</t>
  </si>
  <si>
    <t>Creature — Elemental</t>
  </si>
  <si>
    <t>Reach</t>
  </si>
  <si>
    <t>83ff4169-cecd-5fe5-9fe0-721f276c6f2c</t>
  </si>
  <si>
    <t>mythic</t>
  </si>
  <si>
    <t>Warriors</t>
  </si>
  <si>
    <t>FJ25</t>
  </si>
  <si>
    <t>Card</t>
  </si>
  <si>
    <t>(Theme color: {R}.)</t>
  </si>
  <si>
    <t>0fc5756d-2258-5d14-b4c4-65aa4efa8f3e</t>
  </si>
  <si>
    <t>Devil</t>
  </si>
  <si>
    <t>TDSC</t>
  </si>
  <si>
    <t>Token, Creature</t>
  </si>
  <si>
    <t>Token Creature — Devil</t>
  </si>
  <si>
    <t>When this creature dies, it deals 1 damage to any target.</t>
  </si>
  <si>
    <t>db939e9b-b7c1-5084-9880-1856f29766c5</t>
  </si>
  <si>
    <t>nonfoil, foil</t>
  </si>
  <si>
    <t>Otter</t>
  </si>
  <si>
    <t>TBLB</t>
  </si>
  <si>
    <t>R, U</t>
  </si>
  <si>
    <t>Token Creature — Otter</t>
  </si>
  <si>
    <t>Prowess</t>
  </si>
  <si>
    <t>Prowess (Whenever you cast a noncreature spell, this creature gets +1/+1 until end of turn.)</t>
  </si>
  <si>
    <t>49481296-5e87-500b-9d95-8011f432466a</t>
  </si>
  <si>
    <t>Sokrates, Athenian Teacher</t>
  </si>
  <si>
    <t>ACR</t>
  </si>
  <si>
    <t>{1}{W}{U}</t>
  </si>
  <si>
    <t>Legendary</t>
  </si>
  <si>
    <t>Human, Advisor</t>
  </si>
  <si>
    <t>Legendary Creature — Human Advisor</t>
  </si>
  <si>
    <t>Ancient Greek</t>
  </si>
  <si>
    <t>3c389f9c-e459-5b16-87b5-d51644f05b25</t>
  </si>
  <si>
    <t>foil</t>
  </si>
  <si>
    <t>rare</t>
  </si>
  <si>
    <t>Rampant Frogantua // Rampant Frogantua</t>
  </si>
  <si>
    <t>AMH3</t>
  </si>
  <si>
    <t>aaf9b28b-4552-5665-b719-b8711215002b</t>
  </si>
  <si>
    <t>nonfoil, foil, signed</t>
  </si>
  <si>
    <t>a</t>
  </si>
  <si>
    <t>Goblin</t>
  </si>
  <si>
    <t>TM3C</t>
  </si>
  <si>
    <t>Token Creature — Goblin</t>
  </si>
  <si>
    <t>f0bb7e06-9698-5952-b890-442096073675</t>
  </si>
  <si>
    <t>Dog</t>
  </si>
  <si>
    <t>TMKM</t>
  </si>
  <si>
    <t>W</t>
  </si>
  <si>
    <t>Token Creature — Dog</t>
  </si>
  <si>
    <t>6f222117-73e0-5b15-8f8d-529bfa2cdbc1</t>
  </si>
  <si>
    <t>Prismatic Vista</t>
  </si>
  <si>
    <t>SPG</t>
  </si>
  <si>
    <t>Land</t>
  </si>
  <si>
    <t>e9325157-a5ff-5ee4-a392-28829db53b10</t>
  </si>
  <si>
    <t>The Thirteenth Doctor</t>
  </si>
  <si>
    <t>WHO</t>
  </si>
  <si>
    <t>{1}{G}{U}</t>
  </si>
  <si>
    <t>Time Lord, Doctor</t>
  </si>
  <si>
    <t>Legendary Creature — Time Lord Doctor</t>
  </si>
  <si>
    <t>Paradox, Team TARDIS</t>
  </si>
  <si>
    <t>a4072135-41e9-54e1-8905-4a853e6cf9ff</t>
  </si>
  <si>
    <t>All Will Be One // All Will Be One</t>
  </si>
  <si>
    <t>AONE</t>
  </si>
  <si>
    <t>75e2741e-f3e4-5f9d-bebd-c591e0c36430</t>
  </si>
  <si>
    <t>Jan Jansen, Chaos Crafter // Jan Jansen, Chaos Crafter</t>
  </si>
  <si>
    <t>ACLB</t>
  </si>
  <si>
    <t>f7161b69-1d04-5f7b-92fe-ea2fd8bf8e88</t>
  </si>
  <si>
    <t>Bloodvial Purveyor // Bloodvial Purveyor</t>
  </si>
  <si>
    <t>AVOW</t>
  </si>
  <si>
    <t>078d4e89-af80-58ae-9be8-7efd5eab2269</t>
  </si>
  <si>
    <t>Forest</t>
  </si>
  <si>
    <t>MID</t>
  </si>
  <si>
    <t>Basic</t>
  </si>
  <si>
    <t>Basic Land — Forest</t>
  </si>
  <si>
    <t>({T}: Add {G}.)</t>
  </si>
  <si>
    <t>a499b95b-8f0f-56e2-ba4e-077e5bc6979e</t>
  </si>
  <si>
    <t>Unblinking Observer // Unblinking Observer</t>
  </si>
  <si>
    <t>AMID</t>
  </si>
  <si>
    <t>fcfa94d1-04fc-5ef5-bee3-a1296627c4c1</t>
  </si>
  <si>
    <t>Prismatic Ending</t>
  </si>
  <si>
    <t>MH2</t>
  </si>
  <si>
    <t>{X}{W}</t>
  </si>
  <si>
    <t>Sorcery</t>
  </si>
  <si>
    <t>Converge</t>
  </si>
  <si>
    <t>Converge — Exile target nonland permanent if its mana value is less than or equal to the number of colors of mana spent to cast this spell.</t>
  </si>
  <si>
    <t>bafac74c-f4f8-5c71-8a6b-0bd02c536c47</t>
  </si>
  <si>
    <t>nonfoil, foil, etched</t>
  </si>
  <si>
    <t>uncommon</t>
  </si>
  <si>
    <t>Sythis, Harvest's Hand // Sythis, Harvest's Hand</t>
  </si>
  <si>
    <t>AMH2</t>
  </si>
  <si>
    <t>62118980-b180-5006-80c4-cdc91d1ca44a</t>
  </si>
  <si>
    <t>Blossoming Calm // Blossoming Calm</t>
  </si>
  <si>
    <t>978e07d3-d388-5379-8c20-f67c6af0936d</t>
  </si>
  <si>
    <t>nonfoil, signed</t>
  </si>
  <si>
    <t>Shadrix Silverquill // Shadrix Silverquill</t>
  </si>
  <si>
    <t>ASTX</t>
  </si>
  <si>
    <t>4767463a-62d8-5706-89e5-6e1155cd4d3e</t>
  </si>
  <si>
    <t>Realmwalker</t>
  </si>
  <si>
    <t>PKHM</t>
  </si>
  <si>
    <t>{2}{G}</t>
  </si>
  <si>
    <t>Shapeshifter</t>
  </si>
  <si>
    <t>Creature — Shapeshifter</t>
  </si>
  <si>
    <t>Changeling</t>
  </si>
  <si>
    <t>66124810-2a79-5c4f-a43f-181400aa8c4f</t>
  </si>
  <si>
    <t>Deftblade Elite</t>
  </si>
  <si>
    <t>PLST</t>
  </si>
  <si>
    <t>{W}</t>
  </si>
  <si>
    <t>Human, Soldier</t>
  </si>
  <si>
    <t>Creature — Human Soldier</t>
  </si>
  <si>
    <t>Provoke</t>
  </si>
  <si>
    <t>a8b3fc41-5f35-5fe2-bc74-7e015a836fd3</t>
  </si>
  <si>
    <t>Snapping Sailback</t>
  </si>
  <si>
    <t>{4}{G}</t>
  </si>
  <si>
    <t>Dinosaur</t>
  </si>
  <si>
    <t>Creature — Dinosaur</t>
  </si>
  <si>
    <t>Enrage, Flash</t>
  </si>
  <si>
    <t>154a09f3-65e3-5821-bc02-bd972b3be676</t>
  </si>
  <si>
    <t>Dragonscale Boon</t>
  </si>
  <si>
    <t>{3}{G}</t>
  </si>
  <si>
    <t>Instant</t>
  </si>
  <si>
    <t>Put two +1/+1 counters on target creature and untap it.</t>
  </si>
  <si>
    <t>16f1c97a-b896-59d0-80ab-6f00a6ea1d28</t>
  </si>
  <si>
    <t>Flameshot</t>
  </si>
  <si>
    <t>{3}{R}</t>
  </si>
  <si>
    <t>b473e6ca-2c93-5244-b821-a8bc41061ddb</t>
  </si>
  <si>
    <t>Nissa, Steward of Elements</t>
  </si>
  <si>
    <t>AKR</t>
  </si>
  <si>
    <t>{X}{G}{U}</t>
  </si>
  <si>
    <t>Planeswalker</t>
  </si>
  <si>
    <t>Nissa</t>
  </si>
  <si>
    <t>Legendary Planeswalker — Nissa</t>
  </si>
  <si>
    <t>Scry</t>
  </si>
  <si>
    <t>fcdd9620-9c54-5a56-adc4-13a277babc20</t>
  </si>
  <si>
    <t>Staying Power</t>
  </si>
  <si>
    <t>UND</t>
  </si>
  <si>
    <t>{2}{W}</t>
  </si>
  <si>
    <t>Enchantment</t>
  </si>
  <si>
    <t>b23e355d-5190-5db8-ad5a-5ff9d0fe9bea</t>
  </si>
  <si>
    <t>Deny the Divine</t>
  </si>
  <si>
    <t>THB</t>
  </si>
  <si>
    <t>{2}{U}</t>
  </si>
  <si>
    <t>U</t>
  </si>
  <si>
    <t>Counter target creature or enchantment spell. If that spell is countered this way, exile it instead of putting it into its owner's graveyard.</t>
  </si>
  <si>
    <t>6955a085-32f8-5582-9533-c506ef88213b</t>
  </si>
  <si>
    <t>Once Upon a Time</t>
  </si>
  <si>
    <t>ELD</t>
  </si>
  <si>
    <t>{1}{G}</t>
  </si>
  <si>
    <t>0add0930-720f-5bf5-bcf5-ee208eeb9040</t>
  </si>
  <si>
    <t>Silent Clearing // Silent Clearing</t>
  </si>
  <si>
    <t>AMH1</t>
  </si>
  <si>
    <t>0b952d69-5db0-59c2-810b-d4b10d452872</t>
  </si>
  <si>
    <t>Ranger-Captain of Eos // Ranger-Captain of Eos</t>
  </si>
  <si>
    <t>701dcbc1-659a-5b77-8eda-2157fec85d8d</t>
  </si>
  <si>
    <t>Chillerpillar // Chillerpillar</t>
  </si>
  <si>
    <t>d4588e8f-e5a0-53e5-ac90-0a5183f0d118</t>
  </si>
  <si>
    <t>Dead Weight</t>
  </si>
  <si>
    <t>GRN</t>
  </si>
  <si>
    <t>{B}</t>
  </si>
  <si>
    <t>B</t>
  </si>
  <si>
    <t>Aura</t>
  </si>
  <si>
    <t>Enchantment — Aura</t>
  </si>
  <si>
    <t>Enchant</t>
  </si>
  <si>
    <t>43b41a9c-56c7-5aa9-80bf-dc90211351ab</t>
  </si>
  <si>
    <t>Karox Bladewing</t>
  </si>
  <si>
    <t>TDOM</t>
  </si>
  <si>
    <t>Dragon</t>
  </si>
  <si>
    <t>Token Legendary Creature — Dragon</t>
  </si>
  <si>
    <t>Flying</t>
  </si>
  <si>
    <t>e4dcfe4f-8441-5eec-9f74-a7b3672e90e0</t>
  </si>
  <si>
    <t>Bubbling Cauldron</t>
  </si>
  <si>
    <t>IMA</t>
  </si>
  <si>
    <t>{2}</t>
  </si>
  <si>
    <t>Artifact</t>
  </si>
  <si>
    <t>9ce99de8-bbd0-5043-9670-7f69ec41c1eb</t>
  </si>
  <si>
    <t>Gisela, the Broken Blade // Brisela, Voice of Nightmares</t>
  </si>
  <si>
    <t>EMN</t>
  </si>
  <si>
    <t>{2}{W}{W}</t>
  </si>
  <si>
    <t>Angel, Horror</t>
  </si>
  <si>
    <t>Legendary Creature — Angel Horror</t>
  </si>
  <si>
    <t>5bb79a0f-ad7d-5383-8c9d-04bc757bcb4f</t>
  </si>
  <si>
    <t>Thought Harvester</t>
  </si>
  <si>
    <t>OGW</t>
  </si>
  <si>
    <t>{3}{U}</t>
  </si>
  <si>
    <t>Eldrazi, Drone</t>
  </si>
  <si>
    <t>Creature — Eldrazi Drone</t>
  </si>
  <si>
    <t>1fb6b965-6d0e-536c-8593-63140f3c6e9f</t>
  </si>
  <si>
    <t>Culling Drone</t>
  </si>
  <si>
    <t>BFZ</t>
  </si>
  <si>
    <t>{1}{B}</t>
  </si>
  <si>
    <t>Devoid, Ingest</t>
  </si>
  <si>
    <t>fd1183ad-ae98-5c4b-b93d-97d32b74d999</t>
  </si>
  <si>
    <t>Plummet</t>
  </si>
  <si>
    <t>Destroy target creature with flying.</t>
  </si>
  <si>
    <t>358c5647-9f47-5f5d-9497-36336d8c7bb9</t>
  </si>
  <si>
    <t>Font of Ire</t>
  </si>
  <si>
    <t>JOU</t>
  </si>
  <si>
    <t>e7613acb-a554-5a49-aa38-88fff17503fe</t>
  </si>
  <si>
    <t>Guild Feud</t>
  </si>
  <si>
    <t>RTR</t>
  </si>
  <si>
    <t>{5}{R}</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</si>
  <si>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</si>
  <si>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</si>
  <si>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</si>
  <si>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Angel of Glory's Rise</t>
  </si>
  <si>
    <t>PAVR</t>
  </si>
  <si>
    <t>{5}{W}{W}</t>
  </si>
  <si>
    <t>Angel</t>
  </si>
  <si>
    <t>Creature — Angel</t>
  </si>
  <si>
    <t>aff7557c-2e85-5bda-8231-d8f1e46b43c8</t>
  </si>
  <si>
    <t>Zombie</t>
  </si>
  <si>
    <t>TM11</t>
  </si>
  <si>
    <t>Token Creature — Zombie</t>
  </si>
  <si>
    <t>011a9246-7f7c-50c7-ab99-3fc13469c13b</t>
  </si>
  <si>
    <t>Grazing Gladehart</t>
  </si>
  <si>
    <t>ZEN</t>
  </si>
  <si>
    <t>Antelope</t>
  </si>
  <si>
    <t>Creature — Antelope</t>
  </si>
  <si>
    <t>Landfall</t>
  </si>
  <si>
    <t>Landfall — Whenever a land you control enters, you may gain 2 life.</t>
  </si>
  <si>
    <t>5ce32715-8dee-5c47-986a-88d00e87c506</t>
  </si>
  <si>
    <t>Plains</t>
  </si>
  <si>
    <t>ME3</t>
  </si>
  <si>
    <t>Basic Land — Plains</t>
  </si>
  <si>
    <t>({T}: Add {W}.)</t>
  </si>
  <si>
    <t>d54b922f-006e-59ff-bfeb-f96f3278fc7b</t>
  </si>
  <si>
    <t>Glarewielder</t>
  </si>
  <si>
    <t>LRW</t>
  </si>
  <si>
    <t>{4}{R}</t>
  </si>
  <si>
    <t>Elemental, Shaman</t>
  </si>
  <si>
    <t>Creature — Elemental Shaman</t>
  </si>
  <si>
    <t>Evoke, Haste</t>
  </si>
  <si>
    <t>28a21701-487e-5d54-9bb2-22f862734499</t>
  </si>
  <si>
    <t>Leave No Trace</t>
  </si>
  <si>
    <t>RAV</t>
  </si>
  <si>
    <t>{1}{W}</t>
  </si>
  <si>
    <t>Radiance</t>
  </si>
  <si>
    <t>Radiance — Destroy target enchantment and each other enchantment that shares a color with it.</t>
  </si>
  <si>
    <t>5e6a3099-2597-5755-8a6f-67f1569a3b8a</t>
  </si>
  <si>
    <t>Ouphe Vandals</t>
  </si>
  <si>
    <t>5DN</t>
  </si>
  <si>
    <t>Ouphe, Rogue</t>
  </si>
  <si>
    <t>Creature — Ouphe Rogue</t>
  </si>
  <si>
    <t>cc6ce5a2-49d0-59de-a17e-362f47b67773</t>
  </si>
  <si>
    <t>Syphon Soul</t>
  </si>
  <si>
    <t>ONS</t>
  </si>
  <si>
    <t>{2}{B}</t>
  </si>
  <si>
    <t>Syphon Soul deals 2 damage to each other player. You gain life equal to the damage dealt this way.</t>
  </si>
  <si>
    <t>9c015664-e6e8-53a4-ad48-276138b18098</t>
  </si>
  <si>
    <t>Gixian Puppeteer</t>
  </si>
  <si>
    <t>PRM</t>
  </si>
  <si>
    <t>{3}{B}</t>
  </si>
  <si>
    <t>Phyrexian, Warlock</t>
  </si>
  <si>
    <t>Creature — Phyrexian Warlock</t>
  </si>
  <si>
    <t>1c1aafc6-e078-5951-a22e-4d386aef8140</t>
  </si>
  <si>
    <t>Hypnotic Cloud</t>
  </si>
  <si>
    <t>INV</t>
  </si>
  <si>
    <t>Kicker</t>
  </si>
  <si>
    <t>413e11a5-35a1-51c7-928b-219b4453a094</t>
  </si>
  <si>
    <t>Crenellated Wall</t>
  </si>
  <si>
    <t>MMQ</t>
  </si>
  <si>
    <t>{4}</t>
  </si>
  <si>
    <t>Artifact, Creature</t>
  </si>
  <si>
    <t>Wall</t>
  </si>
  <si>
    <t>Artifact Creature — Wall</t>
  </si>
  <si>
    <t>Defender</t>
  </si>
  <si>
    <t>f1e4acc1-1bb7-57ea-9d61-edb3e803ab5c</t>
  </si>
  <si>
    <t>Renounce</t>
  </si>
  <si>
    <t>Sacrifice any number of permanents. You gain 2 life for each permanent sacrificed this way.</t>
  </si>
  <si>
    <t>f4198239-6754-5db7-9229-4cc9e264151e</t>
  </si>
  <si>
    <t>Viashino Runner</t>
  </si>
  <si>
    <t>USG</t>
  </si>
  <si>
    <t>Lizard</t>
  </si>
  <si>
    <t>Creature — Lizard</t>
  </si>
  <si>
    <t>Menace</t>
  </si>
  <si>
    <t>Menace (This creature can't be blocked except by two or more creatures.)</t>
  </si>
  <si>
    <t>aa480225-6f03-5f0f-85af-41af75e515aa</t>
  </si>
  <si>
    <t>Hungry Mist</t>
  </si>
  <si>
    <t>HML</t>
  </si>
  <si>
    <t>{2}{G}{G}</t>
  </si>
  <si>
    <t>91556c5f-b11e-573d-a3bb-627dfa6c2926</t>
  </si>
  <si>
    <t>Vexing Arcanix</t>
  </si>
  <si>
    <t>ICE</t>
  </si>
  <si>
    <t>66dae17d-a742-51b4-ba09-0b37d7c64265</t>
  </si>
  <si>
    <t>Thallid Devourer</t>
  </si>
  <si>
    <t>FEM</t>
  </si>
  <si>
    <t>{1}{G}{G}</t>
  </si>
  <si>
    <t>Fungus</t>
  </si>
  <si>
    <t>Creature — Fungus</t>
  </si>
  <si>
    <t>8d6b22fe-8583-5908-b964-05e3174e3154</t>
  </si>
  <si>
    <t>Resurrection</t>
  </si>
  <si>
    <t>3ED</t>
  </si>
  <si>
    <t>Return target creature card from your graveyard to the battlefield.</t>
  </si>
  <si>
    <t>7be5b8a9-0d68-5125-b729-ff1063dd3ed0</t>
  </si>
  <si>
    <t>cardsOwned</t>
  </si>
  <si>
    <t>cardsForTrade</t>
  </si>
  <si>
    <t>condition</t>
  </si>
  <si>
    <t>language</t>
  </si>
  <si>
    <t>finish</t>
  </si>
  <si>
    <t>Near Mint</t>
  </si>
  <si>
    <t>etched</t>
  </si>
  <si>
    <t>Good</t>
  </si>
  <si>
    <t>German</t>
  </si>
  <si>
    <t>French</t>
  </si>
  <si>
    <t>Poor</t>
  </si>
  <si>
    <t>Excellent</t>
  </si>
  <si>
    <t>Mint</t>
  </si>
  <si>
    <t>Light Played</t>
  </si>
  <si>
    <t>name</t>
  </si>
  <si>
    <t>uuid</t>
  </si>
  <si>
    <t>Matt Stewart</t>
  </si>
  <si>
    <t>20871267-2d8a-41d5-b03a-be3d557c5734</t>
  </si>
  <si>
    <t>arena, mtgo, paper</t>
  </si>
  <si>
    <t>default</t>
  </si>
  <si>
    <t>black</t>
  </si>
  <si>
    <t>normal</t>
  </si>
  <si>
    <t>ELD, MB2, PELD, PLST</t>
  </si>
  <si>
    <t>oval</t>
  </si>
  <si>
    <t>Dan Murayama Scott</t>
  </si>
  <si>
    <t>f852fa13-137e-40f2-bbc1-0f01df09c0e0</t>
  </si>
  <si>
    <t>paper</t>
  </si>
  <si>
    <t>Lurking beneath the murky waters of Ixalan's rivers, sailbacks can rip a meal off the shore in the blink of an eye.</t>
  </si>
  <si>
    <t>XLN-208</t>
  </si>
  <si>
    <t>PLST, XLN</t>
  </si>
  <si>
    <t>Mark Winters</t>
  </si>
  <si>
    <t>3d8a379d-f4e8-440d-99d5-5ec107757348</t>
  </si>
  <si>
    <t>KTK-131</t>
  </si>
  <si>
    <t>KTK, PLST, PRM, UGIN</t>
  </si>
  <si>
    <t>Clint Cearley</t>
  </si>
  <si>
    <t>03b75350-d5a0-4e3a-b3b4-8d4a5554385b</t>
  </si>
  <si>
    <t>mtgo, paper</t>
  </si>
  <si>
    <t>Gisela, the Broken Blade, Bruna, the Fading Light, Brisela, Voice of Nightmares</t>
  </si>
  <si>
    <t>Brisela, Voice of Nightmares</t>
  </si>
  <si>
    <t>Upon discovering what had become of her sisters, Sigarda could only weep.</t>
  </si>
  <si>
    <t>mooneldrazidfc</t>
  </si>
  <si>
    <t>meld</t>
  </si>
  <si>
    <t>15b</t>
  </si>
  <si>
    <t>EMN, INR, PEMN, SIR, SLD, V17</t>
  </si>
  <si>
    <t>b</t>
  </si>
  <si>
    <t>Eldrazi, Angel</t>
  </si>
  <si>
    <t>Legendary Creature — Eldrazi Angel</t>
  </si>
  <si>
    <t>1b18ca2b-4e5e-54c1-bf43-1f32afa75f78</t>
  </si>
  <si>
    <t>Bastien L. Deharme</t>
  </si>
  <si>
    <t>798f63ec-41ad-474e-9708-df08193345c6</t>
  </si>
  <si>
    <t>mtgo</t>
  </si>
  <si>
    <t>BRO, PBRO, PRM</t>
  </si>
  <si>
    <t>Winona Nelson</t>
  </si>
  <si>
    <t>e45fe8d3-75d6-42c9-a2df-e945ad81ea27</t>
  </si>
  <si>
    <t>devoid</t>
  </si>
  <si>
    <t>Nils Hamm</t>
  </si>
  <si>
    <t>c540d1fc-1500-457f-93cf-d6069ee66546</t>
  </si>
  <si>
    <t>LRW, PLST</t>
  </si>
  <si>
    <t>Aaron Miller</t>
  </si>
  <si>
    <t>fc021f3d-773a-4706-bbe7-f602324f511f</t>
  </si>
  <si>
    <t>The elf's blade carved deep into the Eldrazi drone's fleshy lattices. Without a sound, the drone lost equilibrium and tumbled from the sky.</t>
  </si>
  <si>
    <t>A25, AFR, ARC, BFZ, CN2, CNS, DBL, HBG, IKO, M11, M12, M13, M14, M15, M19, M20, MID, MM2, ORI, PLST, RIX, THB</t>
  </si>
  <si>
    <t>JB Casacop</t>
  </si>
  <si>
    <t>d857cc2b-790d-4ab0-8884-ac3234d05806</t>
  </si>
  <si>
    <t>U, W</t>
  </si>
  <si>
    <t>triangle</t>
  </si>
  <si>
    <t>Randy Gallegos</t>
  </si>
  <si>
    <t>a5048cc7-438a-4378-98e4-da99b78e1db0</t>
  </si>
  <si>
    <t>DDM, INV</t>
  </si>
  <si>
    <t>Lake Hurwitz</t>
  </si>
  <si>
    <t>3677c64b-55e6-4a0d-a952-bdbb05531220</t>
  </si>
  <si>
    <t>All things considered, his first day on patrol could have gone better.</t>
  </si>
  <si>
    <t>GRN, IKO, ISD, J22, LCI, PLST, SIR, SOI</t>
  </si>
  <si>
    <t>Gisela, the Broken Blade</t>
  </si>
  <si>
    <t>She now hears only Emrakul's murmurs.</t>
  </si>
  <si>
    <t>Ryan Pancoast</t>
  </si>
  <si>
    <t>89cc9475-dda2-4d13-bf88-54b92867a25c</t>
  </si>
  <si>
    <t>Landfall — Whenever a land enters the battlefield under your control, you may gain 2 life.</t>
  </si>
  <si>
    <t>C13, DDH, DDO, DDP, J25, PLST, ZEN</t>
  </si>
  <si>
    <t>Pat Lee</t>
  </si>
  <si>
    <t>4902294d-a1e5-495b-8526-49b2bfdda056</t>
  </si>
  <si>
    <t>The magic of the Boros patrols the streets even when their soldiers do not.</t>
  </si>
  <si>
    <t>Radiance Destroy target enchantment and each other enchantment that shares a color with it.</t>
  </si>
  <si>
    <t>Bruna, the Fading Light</t>
  </si>
  <si>
    <t>She now sees only Emrakul's visions.</t>
  </si>
  <si>
    <t>Flying, Vigilance</t>
  </si>
  <si>
    <t>Bruna, the Fading Light // Brisela, Voice of Nightmares</t>
  </si>
  <si>
    <t>6081d8fd-26e1-5e6a-9c98-417d03214856</t>
  </si>
  <si>
    <t>Zack Stella</t>
  </si>
  <si>
    <t>17bc7f55-958b-43f4-bb40-09746d05b3f9</t>
  </si>
  <si>
    <t>188s</t>
  </si>
  <si>
    <t>prerelease, datestamped</t>
  </si>
  <si>
    <t>8ED, ICE</t>
  </si>
  <si>
    <t>Yigit Koroglu</t>
  </si>
  <si>
    <t>a24479f8-6d9e-40f9-bede-f29899922b97</t>
  </si>
  <si>
    <t>Dan Frazier</t>
  </si>
  <si>
    <t>059bba56-5feb-42e4-8c2e-e2f1e6ba11f9</t>
  </si>
  <si>
    <t>white</t>
  </si>
  <si>
    <t>Take a creature from your graveyard and put it directly into play. Treat this creature as though it were just summoned.</t>
  </si>
  <si>
    <t>2ED, 30A, 3ED, CED, CEI, F08, FBB, LEA, LEB, PLST, PRM, SUM, TD0, TSB, UMA</t>
  </si>
  <si>
    <t>Grzegorz Rutkowski</t>
  </si>
  <si>
    <t>b5f49d0d-8056-48e3-b614-090e656b4f9c</t>
  </si>
  <si>
    <t>arena, paper</t>
  </si>
  <si>
    <t>Ron Spencer</t>
  </si>
  <si>
    <t>dab52c11-0564-4207-a4a1-c1735c946a65</t>
  </si>
  <si>
    <t>FEM, ME2</t>
  </si>
  <si>
    <t>Heather Hudson</t>
  </si>
  <si>
    <t>4441fe52-9e41-40c1-9b74-8510426279ab</t>
  </si>
  <si>
    <t>88a</t>
  </si>
  <si>
    <t>5ED, HML, ME1</t>
  </si>
  <si>
    <t>Ron Spears</t>
  </si>
  <si>
    <t>fce9030b-86bd-4439-b06a-920a1eeb184c</t>
  </si>
  <si>
    <t>As Phage drank their energy, a vague memory of Jeska stirred. Then she lost herself again in the joy of her victims' suffering.</t>
  </si>
  <si>
    <t>6ED, BRB, CNS, HOP, LEG, ONS</t>
  </si>
  <si>
    <t>Eric Deschamps</t>
  </si>
  <si>
    <t>37970e22-9cee-44c1-af44-5ee27cf26b76</t>
  </si>
  <si>
    <t>IMA, JMP, M14</t>
  </si>
  <si>
    <t>Lenka Šimečková</t>
  </si>
  <si>
    <t>c9e04828-8fcb-47ba-aadc-4005d43a79f4</t>
  </si>
  <si>
    <t>borderless</t>
  </si>
  <si>
    <t>G, U</t>
  </si>
  <si>
    <t>boosterfun</t>
  </si>
  <si>
    <t>Andreas Rocha</t>
  </si>
  <si>
    <t>d084e74b-f63a-4107-b72c-ed6250ecc93b</t>
  </si>
  <si>
    <t>Alan Pollack</t>
  </si>
  <si>
    <t>70c20ea3-5ad6-4082-a337-6e994ae5828e</t>
  </si>
  <si>
    <t>LGN-12</t>
  </si>
  <si>
    <t>LGN, PLST, VMA</t>
  </si>
  <si>
    <t>Steve White</t>
  </si>
  <si>
    <t>674a172f-e11a-458b-a681-964726a0c320</t>
  </si>
  <si>
    <t>Viashino Runner cannot be blocked by only one creature.</t>
  </si>
  <si>
    <t>10E, USG</t>
  </si>
  <si>
    <t>James Ryman</t>
  </si>
  <si>
    <t>3852bbc9-11c0-4fe3-8722-a06ad7e2bcc5</t>
  </si>
  <si>
    <t>A9</t>
  </si>
  <si>
    <t>AVR, MIC, PAVR</t>
  </si>
  <si>
    <t>setpromo, resale</t>
  </si>
  <si>
    <t>Richard Sardinha</t>
  </si>
  <si>
    <t>a3cce4f0-fbf5-4883-aac7-fb28b993b132</t>
  </si>
  <si>
    <t>silver</t>
  </si>
  <si>
    <t>Mongo's fleas no longer bothered him. But the family of goblins that had moved in behind his left ear was starting to get really irritating.</t>
  </si>
  <si>
    <t>ULST, UND, UNH</t>
  </si>
  <si>
    <t>Mark Brill</t>
  </si>
  <si>
    <t>46dc4b5e-e42c-4d65-a4f3-ad75b0f6f6dd</t>
  </si>
  <si>
    <t>PCY-90</t>
  </si>
  <si>
    <t>PCY, PLST, WC00</t>
  </si>
  <si>
    <t>John Stanko</t>
  </si>
  <si>
    <t>b0f038a0-73b5-4806-918e-9cd11b5f92e1</t>
  </si>
  <si>
    <t>Right before his demise, he experienced a shattering revelation.</t>
  </si>
  <si>
    <t>efdbf638-dbe6-5813-ba0b-dafbac1e1468</t>
  </si>
  <si>
    <t>Pascal Quidault</t>
  </si>
  <si>
    <t>aabbf32e-5330-403a-8a99-a653c050e263</t>
  </si>
  <si>
    <t>arena</t>
  </si>
  <si>
    <t>PIO, WOE</t>
  </si>
  <si>
    <t>Thomas M. Baxa</t>
  </si>
  <si>
    <t>ff346569-557d-4043-ae44-97c2c7cabd7d</t>
  </si>
  <si>
    <t>The ouphes finally managed to still the clockwork monstrosity by catching themselves in its cogs.</t>
  </si>
  <si>
    <t>{G}, Sacrifice Ouphe Vandals: Counter target activated ability from an artifact source and destroy that artifact if it's in play. (Mana abilities can't be targeted.)</t>
  </si>
  <si>
    <t>Karl Kopinski</t>
  </si>
  <si>
    <t>0fad2c48-a56e-4a0b-b512-224f6f238f20</t>
  </si>
  <si>
    <t>At the beginning of your upkeep, target opponent reveals the top three cards of his or her library, may put a creature card from among them onto the battlefield, then puts the rest into his or her graveyard. You do the same with the top three cards of your library. If two creatures are put onto the battlefield this way, those creatures fight each other.</t>
  </si>
  <si>
    <t>He Jiancheng</t>
  </si>
  <si>
    <t>0b1dee8b-d30a-488d-9cc5-27bddff2c30b</t>
  </si>
  <si>
    <t>Drink deep, and find your vengeance fulfilled.</t>
  </si>
  <si>
    <t>{3}{R}, Sacrifice Font of Ire: Font of Ire deals 5 damage to target player.</t>
  </si>
  <si>
    <t>Sam Burley</t>
  </si>
  <si>
    <t>f89f4b78-cefb-41f7-b7cb-4f4d28de0c4f</t>
  </si>
  <si>
    <t>When Kellan let his eyes wander to the horizon, he saw a land whose destiny was as uncertain as his own.</t>
  </si>
  <si>
    <t>inverted</t>
  </si>
  <si>
    <t>{T}, Pay 1 life, Sacrifice Prismatic Vista: Search your library for a basic land card, put it onto the battlefield, then shuffle.</t>
  </si>
  <si>
    <t>H1R, MH1, PRM, SPG, ZNE</t>
  </si>
  <si>
    <t>Arnie Swekel</t>
  </si>
  <si>
    <t>af10ecf2-eb82-4100-97b2-6c236b0fa644</t>
  </si>
  <si>
    <t>Mercadian soldiers excel at finding things to stand behind.</t>
  </si>
  <si>
    <t>MMQ, PLST</t>
  </si>
  <si>
    <t>Carl Critchlow</t>
  </si>
  <si>
    <t>17948f16-611a-44b8-8d10-9895a0bdfff1</t>
  </si>
  <si>
    <t>Sacrifice any number of permanents. You gain 2 life for each one sacrificed this way.</t>
  </si>
  <si>
    <t>Howard Lyon</t>
  </si>
  <si>
    <t>6dd06426-59fe-4b9c-aad5-6da8446a5c3d</t>
  </si>
  <si>
    <t>X</t>
  </si>
  <si>
    <t>AKH, AKR, C20, M3C, PAKH, PS17</t>
  </si>
  <si>
    <t>Alejandro Mirabal</t>
  </si>
  <si>
    <t>f77eebc1-2aa4-4cad-a158-aedbdfccbf0c</t>
  </si>
  <si>
    <t>Silence rules Bala Ged, broken only by the skittering of Eldrazi.</t>
  </si>
  <si>
    <t>Bud Cook</t>
  </si>
  <si>
    <t>4c3be2d4-73e6-4005-b897-8ac65b9c8660</t>
  </si>
  <si>
    <t>token</t>
  </si>
  <si>
    <t>setpromo</t>
  </si>
  <si>
    <t>Kekai Kotaki</t>
  </si>
  <si>
    <t>4b771085-c049-4308-930d-ec9665f803a4</t>
  </si>
  <si>
    <t>Bloodvial Purveyor</t>
  </si>
  <si>
    <t>art_series</t>
  </si>
  <si>
    <t>horizontal</t>
  </si>
  <si>
    <t>4f374ba7-d810-5f2f-945b-2f8fd7d600ad</t>
  </si>
  <si>
    <t>Seb McKinnon</t>
  </si>
  <si>
    <t>ad4caca0-8d89-44ce-a1a6-d5ca905bd6fb</t>
  </si>
  <si>
    <t>Silent Clearing</t>
  </si>
  <si>
    <t>73c978c2-e1ec-59b5-9341-de3ea776839b</t>
  </si>
  <si>
    <t>Esad Ribic</t>
  </si>
  <si>
    <t>86884c1c-7d4b-4543-9141-a2701d9e09a5</t>
  </si>
  <si>
    <t>Raymond Swanland</t>
  </si>
  <si>
    <t>e956bacc-077d-4c12-b6bc-ba798b718af9</t>
  </si>
  <si>
    <t>Shadrix Silverquill</t>
  </si>
  <si>
    <t>a3d9c702-510c-5d47-a0d4-9cce72d29d66</t>
  </si>
  <si>
    <t>Julia Griffin</t>
  </si>
  <si>
    <t>35d4a4a6-ac7d-4c48-8060-97325f1a2a85</t>
  </si>
  <si>
    <t>Otterball Antics, Ral, Crackling Wit, Stormchaser's Talent</t>
  </si>
  <si>
    <t>Ryan Yee</t>
  </si>
  <si>
    <t>8955dca7-3e37-42b4-83a9-167c78a2178f</t>
  </si>
  <si>
    <t>Sythis, Harvest's Hand</t>
  </si>
  <si>
    <t>e3b480fe-e63e-5af7-bd02-da93b5e9d87e</t>
  </si>
  <si>
    <t>Alayna Danner</t>
  </si>
  <si>
    <t>bb677b1a-ce51-4888-83d6-5a94de461ff9</t>
  </si>
  <si>
    <t>Ranger-Captain of Eos</t>
  </si>
  <si>
    <t>3972aae0-a52d-5593-914d-0fd42d24ee3d</t>
  </si>
  <si>
    <t>Chris Rahn</t>
  </si>
  <si>
    <t>7742047e-0f80-4c0f-a530-d07460165e86</t>
  </si>
  <si>
    <t>All Will Be One</t>
  </si>
  <si>
    <t>9c96fa13-76b8-5d5e-a647-7bfded2528ed</t>
  </si>
  <si>
    <t>Michael C. Hayes</t>
  </si>
  <si>
    <t>d119119f-9ee1-4cf1-a01f-e90b6a042155</t>
  </si>
  <si>
    <t>Blossoming Calm</t>
  </si>
  <si>
    <t>1s</t>
  </si>
  <si>
    <t>horizontalstamped</t>
  </si>
  <si>
    <t>e9f0c596-9d75-59e1-bebb-ea3b441e9cd6</t>
  </si>
  <si>
    <t>stamped</t>
  </si>
  <si>
    <t>Filipe Pagliuso</t>
  </si>
  <si>
    <t>64c537b4-a864-4051-9a24-fbdd22cb40b4</t>
  </si>
  <si>
    <t>Rampant Frogantua</t>
  </si>
  <si>
    <t>3951c090-e5dd-589e-b74b-ab8e03a895a7</t>
  </si>
  <si>
    <t>Suzanne Helmigh</t>
  </si>
  <si>
    <t>65d77b0b-6cca-4adf-a7ee-610c96d02371</t>
  </si>
  <si>
    <t>Chillerpillar</t>
  </si>
  <si>
    <t>75138b6b-c6a8-5f2f-b82f-08d9c04ecc8d</t>
  </si>
  <si>
    <t>Maxime Minard</t>
  </si>
  <si>
    <t>a9065769-afcd-4e54-a3c0-5809e7b4108b</t>
  </si>
  <si>
    <t>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</si>
  <si>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XiaoDi Jin</t>
  </si>
  <si>
    <t>28f8a8a9-c5da-46c7-9cfb-9bb18f3a6309</t>
  </si>
  <si>
    <t>legendary</t>
  </si>
  <si>
    <t>Verix Bladewing</t>
  </si>
  <si>
    <t>Kev Walker</t>
  </si>
  <si>
    <t>f366a0ee-a0cd-466d-ba6a-90058c7a31a6</t>
  </si>
  <si>
    <t>Jeff Dee</t>
  </si>
  <si>
    <t>623129e5-3984-4d9b-b412-9b283a51b81d</t>
  </si>
  <si>
    <t>Jan Jansen, Chaos Crafter</t>
  </si>
  <si>
    <t>vertical</t>
  </si>
  <si>
    <t>975e6e71-0680-5a0d-ac59-03df36f67dda</t>
  </si>
  <si>
    <t>Filip Burburan</t>
  </si>
  <si>
    <t>66082c3b-a623-4d34-be51-2475214b85d3</t>
  </si>
  <si>
    <t>Unblinking Observer</t>
  </si>
  <si>
    <t>174fab69-feac-5f8a-849e-d4171d1a5fbd</t>
  </si>
  <si>
    <t>artist</t>
  </si>
  <si>
    <t>artistIds</t>
  </si>
  <si>
    <t>asciiName</t>
  </si>
  <si>
    <t>attractionLights</t>
  </si>
  <si>
    <t>availability</t>
  </si>
  <si>
    <t>boosterTypes</t>
  </si>
  <si>
    <t>borderColor</t>
  </si>
  <si>
    <t>cardParts</t>
  </si>
  <si>
    <t>colorIdentity</t>
  </si>
  <si>
    <t>colorIndicator</t>
  </si>
  <si>
    <t>colors</t>
  </si>
  <si>
    <t>defense</t>
  </si>
  <si>
    <t>duelDeck</t>
  </si>
  <si>
    <t>edhrecRank</t>
  </si>
  <si>
    <t>edhrecSaltiness</t>
  </si>
  <si>
    <t>faceConvertedManaCost</t>
  </si>
  <si>
    <t>faceFlavorName</t>
  </si>
  <si>
    <t>faceManaValue</t>
  </si>
  <si>
    <t>faceName</t>
  </si>
  <si>
    <t>finishes</t>
  </si>
  <si>
    <t>flavorName</t>
  </si>
  <si>
    <t>flavorText</t>
  </si>
  <si>
    <t>frameEffects</t>
  </si>
  <si>
    <t>frameVersion</t>
  </si>
  <si>
    <t>hand</t>
  </si>
  <si>
    <t>hasAlternativeDeckLimit</t>
  </si>
  <si>
    <t>hasContentWarning</t>
  </si>
  <si>
    <t>hasFoil</t>
  </si>
  <si>
    <t>hasNonFoil</t>
  </si>
  <si>
    <t>isAlternative</t>
  </si>
  <si>
    <t>isFullArt</t>
  </si>
  <si>
    <t>isFunny</t>
  </si>
  <si>
    <t>isOnlineOnly</t>
  </si>
  <si>
    <t>isOversized</t>
  </si>
  <si>
    <t>isPromo</t>
  </si>
  <si>
    <t>isRebalanced</t>
  </si>
  <si>
    <t>isReprint</t>
  </si>
  <si>
    <t>isReserved</t>
  </si>
  <si>
    <t>isStorySpotlight</t>
  </si>
  <si>
    <t>isTextless</t>
  </si>
  <si>
    <t>isTimeshifted</t>
  </si>
  <si>
    <t>keywords</t>
  </si>
  <si>
    <t>layout</t>
  </si>
  <si>
    <t>leadershipSkills</t>
  </si>
  <si>
    <t>life</t>
  </si>
  <si>
    <t>loyalty</t>
  </si>
  <si>
    <t>manaCost</t>
  </si>
  <si>
    <t>manaValue</t>
  </si>
  <si>
    <t>number</t>
  </si>
  <si>
    <t>originalPrintings</t>
  </si>
  <si>
    <t>originalReleaseDate</t>
  </si>
  <si>
    <t>originalText</t>
  </si>
  <si>
    <t>otherFaceIds</t>
  </si>
  <si>
    <t>power</t>
  </si>
  <si>
    <t>printings</t>
  </si>
  <si>
    <t>promoTypes</t>
  </si>
  <si>
    <t>rarity</t>
  </si>
  <si>
    <t>rebalancedPrintings</t>
  </si>
  <si>
    <t>relatedCards</t>
  </si>
  <si>
    <t>securityStamp</t>
  </si>
  <si>
    <t>setCode</t>
  </si>
  <si>
    <t>side</t>
  </si>
  <si>
    <t>signature</t>
  </si>
  <si>
    <t>sourceProducts</t>
  </si>
  <si>
    <t>subsets</t>
  </si>
  <si>
    <t>subtypes</t>
  </si>
  <si>
    <t>supertypes</t>
  </si>
  <si>
    <t>text</t>
  </si>
  <si>
    <t>toughness</t>
  </si>
  <si>
    <t>type</t>
  </si>
  <si>
    <t>types</t>
  </si>
  <si>
    <t>watermark</t>
  </si>
  <si>
    <t/>
  </si>
  <si>
    <t>169</t>
  </si>
  <si>
    <t>105702</t>
  </si>
  <si>
    <t>48</t>
  </si>
  <si>
    <t>171</t>
  </si>
  <si>
    <t>184</t>
  </si>
  <si>
    <t>109</t>
  </si>
  <si>
    <t>67</t>
  </si>
  <si>
    <t>163</t>
  </si>
  <si>
    <t>23</t>
  </si>
  <si>
    <t>344</t>
  </si>
  <si>
    <t>47</t>
  </si>
  <si>
    <t>34</t>
  </si>
  <si>
    <t>627</t>
  </si>
  <si>
    <t>75</t>
  </si>
  <si>
    <t>176</t>
  </si>
  <si>
    <t>213</t>
  </si>
  <si>
    <t>564</t>
  </si>
  <si>
    <t>384</t>
  </si>
  <si>
    <t>224</t>
  </si>
  <si>
    <t>13</t>
  </si>
  <si>
    <t>126</t>
  </si>
  <si>
    <t>90</t>
  </si>
  <si>
    <t>97</t>
  </si>
  <si>
    <t>217</t>
  </si>
  <si>
    <t>38</t>
  </si>
  <si>
    <t>290</t>
  </si>
  <si>
    <t>42</t>
  </si>
  <si>
    <t>248</t>
  </si>
  <si>
    <t>91</t>
  </si>
  <si>
    <t>273</t>
  </si>
  <si>
    <t>7</t>
  </si>
  <si>
    <t>11</t>
  </si>
  <si>
    <t>28</t>
  </si>
  <si>
    <t>orientation</t>
  </si>
  <si>
    <t>reverseRelated</t>
  </si>
  <si>
    <t>3</t>
  </si>
  <si>
    <t>72</t>
  </si>
  <si>
    <t>51</t>
  </si>
  <si>
    <t>35</t>
  </si>
  <si>
    <t>5</t>
  </si>
  <si>
    <t>59</t>
  </si>
  <si>
    <t>25</t>
  </si>
  <si>
    <t>1</t>
  </si>
  <si>
    <t>32</t>
  </si>
  <si>
    <t>10</t>
  </si>
  <si>
    <t>66</t>
  </si>
  <si>
    <t>31</t>
  </si>
  <si>
    <t>id</t>
  </si>
  <si>
    <t>Setcode</t>
  </si>
  <si>
    <t>Path</t>
  </si>
  <si>
    <t>Keywords</t>
  </si>
  <si>
    <t>baseSetSize</t>
  </si>
  <si>
    <t>block</t>
  </si>
  <si>
    <t>code</t>
  </si>
  <si>
    <t>isFoilOnly</t>
  </si>
  <si>
    <t>isForeignOnly</t>
  </si>
  <si>
    <t>isNonFoilOnly</t>
  </si>
  <si>
    <t>isPartialPreview</t>
  </si>
  <si>
    <t>keyruneCode</t>
  </si>
  <si>
    <t>mcmId</t>
  </si>
  <si>
    <t>mcmIdExtras</t>
  </si>
  <si>
    <t>mcmName</t>
  </si>
  <si>
    <t>mtgoCode</t>
  </si>
  <si>
    <t>parentCode</t>
  </si>
  <si>
    <t>releaseDate</t>
  </si>
  <si>
    <t>tcgplayerGroupId</t>
  </si>
  <si>
    <t>tokenSetCode</t>
  </si>
  <si>
    <t>totalSetSize</t>
  </si>
  <si>
    <t>Core Set</t>
  </si>
  <si>
    <t>Revised Edition</t>
  </si>
  <si>
    <t>core</t>
  </si>
  <si>
    <t>Mirrodin</t>
  </si>
  <si>
    <t>Fifth Dawn</t>
  </si>
  <si>
    <t>expansion</t>
  </si>
  <si>
    <t>memorabilia</t>
  </si>
  <si>
    <t>CLB</t>
  </si>
  <si>
    <t>Battle for Baldur's Gate Art Series</t>
  </si>
  <si>
    <t>FDN</t>
  </si>
  <si>
    <t>Amonkhet Remastered</t>
  </si>
  <si>
    <t>masters</t>
  </si>
  <si>
    <t>MH1</t>
  </si>
  <si>
    <t>Modern Horizons Art Series</t>
  </si>
  <si>
    <t>Modern Horizons 2 Art Series</t>
  </si>
  <si>
    <t>MH3</t>
  </si>
  <si>
    <t>Modern Horizons 3 Art Series</t>
  </si>
  <si>
    <t>Innistrad: Double Feature</t>
  </si>
  <si>
    <t>Midnight Hunt Art Series</t>
  </si>
  <si>
    <t>ONE</t>
  </si>
  <si>
    <t>Phyrexia: All Will Be One Art Series</t>
  </si>
  <si>
    <t>STX</t>
  </si>
  <si>
    <t>Strixhaven Art Series</t>
  </si>
  <si>
    <t>VOW</t>
  </si>
  <si>
    <t>Crimson Vow Art Series</t>
  </si>
  <si>
    <t>Battle for Zendikar</t>
  </si>
  <si>
    <t>TBFZ</t>
  </si>
  <si>
    <t>Commander</t>
  </si>
  <si>
    <t>commander</t>
  </si>
  <si>
    <t>Throne of Eldraine</t>
  </si>
  <si>
    <t>TELD</t>
  </si>
  <si>
    <t>Fallen Empires</t>
  </si>
  <si>
    <t>Foundations Jumpstart Front Cards</t>
  </si>
  <si>
    <t>Guilds of Ravnica</t>
  </si>
  <si>
    <t>TGRN</t>
  </si>
  <si>
    <t>Homelands</t>
  </si>
  <si>
    <t>Ice Age</t>
  </si>
  <si>
    <t>Iconic Masters</t>
  </si>
  <si>
    <t>TIMA</t>
  </si>
  <si>
    <t>Invasion</t>
  </si>
  <si>
    <t>IN</t>
  </si>
  <si>
    <t>Foundations Jumpstart</t>
  </si>
  <si>
    <t>draft_innovation</t>
  </si>
  <si>
    <t>Theros</t>
  </si>
  <si>
    <t>Journey into Nyx</t>
  </si>
  <si>
    <t>TJOU</t>
  </si>
  <si>
    <t>Lorwyn</t>
  </si>
  <si>
    <t>TLRW</t>
  </si>
  <si>
    <t>Masters Edition III</t>
  </si>
  <si>
    <t>Modern Horizons 2</t>
  </si>
  <si>
    <t>TMH2</t>
  </si>
  <si>
    <t>Innistrad: Midnight Hunt</t>
  </si>
  <si>
    <t>TMID</t>
  </si>
  <si>
    <t>Masques</t>
  </si>
  <si>
    <t>Mercadian Masques</t>
  </si>
  <si>
    <t>MM</t>
  </si>
  <si>
    <t>Oath of the Gatewatch</t>
  </si>
  <si>
    <t>TOGW</t>
  </si>
  <si>
    <t>Onslaught</t>
  </si>
  <si>
    <t>Innistrad</t>
  </si>
  <si>
    <t>AVR</t>
  </si>
  <si>
    <t>Avacyn Restored Promos</t>
  </si>
  <si>
    <t>promo</t>
  </si>
  <si>
    <t>Pioneer Masters</t>
  </si>
  <si>
    <t>KHM</t>
  </si>
  <si>
    <t>Kaldheim Promos</t>
  </si>
  <si>
    <t>MB1</t>
  </si>
  <si>
    <t>The List</t>
  </si>
  <si>
    <t>MTGO</t>
  </si>
  <si>
    <t>Magic Online Promos</t>
  </si>
  <si>
    <t>Ravnica</t>
  </si>
  <si>
    <t>Ravnica: City of Guilds</t>
  </si>
  <si>
    <t>Return to Ravnica</t>
  </si>
  <si>
    <t>TRTR</t>
  </si>
  <si>
    <t>Special Guests</t>
  </si>
  <si>
    <t>masterpiece</t>
  </si>
  <si>
    <t>Theros Beyond Death</t>
  </si>
  <si>
    <t>TTHB</t>
  </si>
  <si>
    <t>Unsanctioned</t>
  </si>
  <si>
    <t>TUND</t>
  </si>
  <si>
    <t>funny</t>
  </si>
  <si>
    <t>Urza</t>
  </si>
  <si>
    <t>Urza's Saga</t>
  </si>
  <si>
    <t>UZ</t>
  </si>
  <si>
    <t>Doctor Who</t>
  </si>
  <si>
    <t>TWHO</t>
  </si>
  <si>
    <t>Zendikar</t>
  </si>
  <si>
    <t>TZEN</t>
  </si>
  <si>
    <t>Assassin's Creed</t>
  </si>
  <si>
    <t>TACR</t>
  </si>
  <si>
    <t>Shadows over Innistrad</t>
  </si>
  <si>
    <t>Eldritch Moon</t>
  </si>
  <si>
    <t>TEMN</t>
  </si>
  <si>
    <t>SetName</t>
  </si>
  <si>
    <t>isGameChanger</t>
  </si>
  <si>
    <t>printedName</t>
  </si>
  <si>
    <t>printedText</t>
  </si>
  <si>
    <t>printedType</t>
  </si>
  <si>
    <t>J25, OTC, PRM, PZNR, SLD, ZNR</t>
  </si>
  <si>
    <t>15</t>
  </si>
  <si>
    <t>Devoid (This card has no color.)Ingest (Whenever this creature deals combat damage to a player, that player exiles the top card of his or her library.)</t>
  </si>
  <si>
    <t>{3}{R}, Sacrifice this enchantment: It deals 5 damage to target player or planeswalker.</t>
  </si>
  <si>
    <t>During your upkeep, pay {G}{G} or bury Hungry Mist.</t>
  </si>
  <si>
    <t>At the beginning of your upkeep, sacrifice this creature unless you pay {G}{G}.</t>
  </si>
  <si>
    <t>{G}, Sacrifice this creature: Counter target activated ability from an artifact source and destroy that artifact if it's on the battlefield. (Mana abilities can't be targeted.)</t>
  </si>
  <si>
    <t>MB2, MH2, SLD, SPG</t>
  </si>
  <si>
    <t>{T}, Pay 1 life, Sacrifice this land: Search your library for a basic land card, put it onto the battlefield, then shuffle.</t>
  </si>
  <si>
    <t>Σωκράτης, Ἀθηναῖος διδάσκαλος</t>
  </si>
  <si>
    <t>Μυθικὸν ὄν — Ἄνθρωπος Σύμβουλος</t>
  </si>
  <si>
    <t>{3},ocT: Target player names a card and then turns over the top card of his or her library. If that is the card named, put it into the player's hand. Otherwise, put it into the player's graveyard, and Vexing Arcanix deals 2 damage to that player.</t>
  </si>
  <si>
    <t>{3}, {T}: Target player chooses a card name, then reveals the top card of their library. If that card has the chosen name, that player puts it into their hand. Otherwise, they put it into their graveyard and this artifact deals 2 damage to them.</t>
  </si>
  <si>
    <t>245</t>
  </si>
  <si>
    <t>Viashino Runner can't be blocked except by two or more creatures.</t>
  </si>
  <si>
    <t>10E</t>
  </si>
  <si>
    <t>f7aa8817-24f8-5dbb-a726-353611565ffe</t>
  </si>
  <si>
    <t>Tenth Edition</t>
  </si>
  <si>
    <t>T10E</t>
  </si>
  <si>
    <t>facePrintedName</t>
  </si>
  <si>
    <t>producedMana</t>
  </si>
  <si>
    <t>variations</t>
  </si>
  <si>
    <t>8670</t>
  </si>
  <si>
    <t>0.22</t>
  </si>
  <si>
    <t>2015</t>
  </si>
  <si>
    <t>0</t>
  </si>
  <si>
    <t>2.0</t>
  </si>
  <si>
    <t>If this spell is the first spell you've cast this game, you may cast it without paying its mana cost.</t>
  </si>
  <si>
    <t>Look at the top five cards of your library. You may reveal a creature or land card from among them and put it into your hand. Put the rest on the bottom of your library in a random order."</t>
  </si>
  <si>
    <t>{"foil":["21d471fb-dfea-5778-99ff-65a3e2264501","61cb35b0-215b-5d52-bcd9-6f55e1769ab2","f280c608-84ef-5371-bae2-801205b8f795"],"nonfoil":["21d471fb-dfea-5778-99ff-65a3e2264501","3d97f089-a37a-595c-9bfd-8ac368019c88","f9e6cfe6-1676-52ea-b127-c1c8e20e890d"]}</t>
  </si>
  <si>
    <t>6c62c84e-ef63-5447-81d6-c6d1d0a9a117</t>
  </si>
  <si>
    <t>13450</t>
  </si>
  <si>
    <t>0.29</t>
  </si>
  <si>
    <t>5.0</t>
  </si>
  <si>
    <t>2019-11-07</t>
  </si>
  <si>
    <t>4</t>
  </si>
  <si>
    <t>{}</t>
  </si>
  <si>
    <t>Flash</t>
  </si>
  <si>
    <t>Enrage — Whenever this creature is dealt damage, put a +1/+1 counter on it. (It must survive the damage to get the counter.)"</t>
  </si>
  <si>
    <t>20214</t>
  </si>
  <si>
    <t>0.19</t>
  </si>
  <si>
    <t>"When we were lost and weary, the ainok showed us how to survive. They have earned the right to call themselves Abzan, and to wear the Scale."</t>
  </si>
  <si>
    <t>—Anafenza, khan of the Abzan"</t>
  </si>
  <si>
    <t>11.0</t>
  </si>
  <si>
    <t>Flying, Lifelink, Vigilance, First strike</t>
  </si>
  <si>
    <t>Flying, first strike, vigilance, lifelink</t>
  </si>
  <si>
    <t>Your opponents can't cast spells with converted mana cost 3 or less."</t>
  </si>
  <si>
    <t>50397273-8c3a-5849-9981-4a02f62462dc, a1636ce8-6d9d-5521-8f47-fa753e5dbc46</t>
  </si>
  <si>
    <t>9</t>
  </si>
  <si>
    <t>Your opponents can't cast spells with mana value 3 or less."</t>
  </si>
  <si>
    <t>3676</t>
  </si>
  <si>
    <t>0.31</t>
  </si>
  <si>
    <t>4.0</t>
  </si>
  <si>
    <t>2023-03-12</t>
  </si>
  <si>
    <t>Whenever you draw your second card each turn, each opponent loses 2 life and you gain 2 life.</t>
  </si>
  <si>
    <t>When this creature dies, return another target creature card with mana value 3 or less from your graveyard to the battlefield."</t>
  </si>
  <si>
    <t>20374</t>
  </si>
  <si>
    <t>0.26</t>
  </si>
  <si>
    <t>"I never thought I'd miss the gomazoa."</t>
  </si>
  <si>
    <t>—Trinda, Hada spy patrol"</t>
  </si>
  <si>
    <t>Flying, Devoid</t>
  </si>
  <si>
    <t>Devoid (This card has no color.)</t>
  </si>
  <si>
    <t>Whenever you cast a colorless spell, target opponent exiles the top card of his or her library."</t>
  </si>
  <si>
    <t>2</t>
  </si>
  <si>
    <t>{"foil":["3714b02d-5b71-5a90-a296-e8f7c0280cf1","a80b98ae-3781-5077-83a9-31907bd528e4"],"nonfoil":["63480c0e-589d-51e0-a872-628092af872d","a80b98ae-3781-5077-83a9-31907bd528e4","cfbe8229-9ba6-525a-b96d-74c46a60f018"]}</t>
  </si>
  <si>
    <t>Whenever you cast a colorless spell, target opponent exiles the top card of their library."</t>
  </si>
  <si>
    <t>24053</t>
  </si>
  <si>
    <t>2003</t>
  </si>
  <si>
    <t>Haste</t>
  </si>
  <si>
    <t>When Glarewielder comes into play, up to two target creatures can't block this turn.</t>
  </si>
  <si>
    <t>Evoke {1R} (You may play this spell for its evoke cost. If you do, it's sacrificed when it comes into play.)"</t>
  </si>
  <si>
    <t>{"foil":["17d7dd33-f196-53f9-aa62-f12b5a5a32b4","8e0fd374-3d5a-509d-b778-919c9cbec9f1"],"nonfoil":["17d7dd33-f196-53f9-aa62-f12b5a5a32b4","220a5e02-5213-5d46-a9d1-d322b74f05a6","e6b1e5bf-a329-54f7-ac5e-8fe8898458ae"]}</t>
  </si>
  <si>
    <t>When this creature enters, up to two target creatures can't block this turn.</t>
  </si>
  <si>
    <t>Evoke {1}{R} (You may cast this spell for its evoke cost. If you do, it's sacrificed when it enters.)"</t>
  </si>
  <si>
    <t>12474</t>
  </si>
  <si>
    <t>0.25</t>
  </si>
  <si>
    <t>{"foil":["37e28375-f5ba-51e8-8e11-b6830a33b669","508def12-08d0-5800-bc48-3615e04bed1e"],"nonfoil":["1f60d907-1bfa-5efa-b288-72b523570628","37e28375-f5ba-51e8-8e11-b6830a33b669","c53b5e9c-0403-5679-b896-27c1f5615c25","df4abe32-43a3-5e35-8809-3b9be9a54825"]}</t>
  </si>
  <si>
    <t>W, U</t>
  </si>
  <si>
    <t>4879</t>
  </si>
  <si>
    <t>0.64</t>
  </si>
  <si>
    <t>inverted, legendary</t>
  </si>
  <si>
    <t>Sokratic Dialogue, Defender</t>
  </si>
  <si>
    <t>{"brawl":false,"commander":true,"oathbreaker":false}</t>
  </si>
  <si>
    <t>3.0</t>
  </si>
  <si>
    <t>Προστάτης</t>
  </si>
  <si>
    <t>Σωκράτης, Ἀθηναῖος διδάσκαλος οὐ μαγείαις διωκτός, ὅσονπερ δύναμις αὕτη ἄθικτός ἐστι.</t>
  </si>
  <si>
    <t>Σωκρατικός διάλογος — {T}: Ἄχρι σειρᾶς τέλους, διωκτέον ὂν λαμβάνει «Ἐάν τόδε ὂν ζημίαν παίκτη ποιεῖ, αποτρέψων ταύτην ζημίαν. Κύριος τοῦδε ὄντος καὶ παίκτης ἐκεῖνος λαμβάνουσιν ἕκαστος χαρτία ὅσον τὸ ἥμισυ τῆς ζημίας»."</t>
  </si>
  <si>
    <t>serialized, doublerainbow, universesbeyond, boosterfun</t>
  </si>
  <si>
    <t>{"foil":["4c79255e-0f04-584d-a8d9-6df6a4c5e3c0"]}</t>
  </si>
  <si>
    <t>Sokrates has hexproof as long as it's untapped.</t>
  </si>
  <si>
    <t>Sokratic Dialogue — {T}: Until end of turn, target creature gains ""If this creature would deal combat damage to a player, prevent that damage. This creature's controller and that player each draw half that many cards, rounded down."""</t>
  </si>
  <si>
    <t>3e6b7e28-1c27-576b-96ef-a2a20c22e5c5, de4745d5-5342-59fd-8865-20d278088990, d75eb381-e3e5-5b59-89ea-5fb9abb04a23</t>
  </si>
  <si>
    <t>27726</t>
  </si>
  <si>
    <t>0.61</t>
  </si>
  <si>
    <t>1997</t>
  </si>
  <si>
    <t>Kicker {4} (You may pay an additional {4} as you play this spell.)</t>
  </si>
  <si>
    <t>Target player discards a card from his or her hand. If you paid the kicker cost, that player discards three cards from his or her hand instead."</t>
  </si>
  <si>
    <t>{"foil":["1ada4ff0-f518-5da4-83b8-db322b012329","61b01e8e-f458-52b1-8df5-347b0da6066e","e634446e-4111-5781-ba46-1161cb3abb5a"],"nonfoil":["1971eacc-6305-5c8c-914d-663ae422c379","2ddcf37e-b144-5a39-851e-edceb19ff129","308d01d7-d39a-5165-a13f-46721cf60b29","e634446e-4111-5781-ba46-1161cb3abb5a"]}</t>
  </si>
  <si>
    <t>Kicker {4} (You may pay an additional {4} as you cast this spell.)</t>
  </si>
  <si>
    <t>Target player discards a card. If this spell was kicked, that player discards three cards instead."</t>
  </si>
  <si>
    <t>13404</t>
  </si>
  <si>
    <t>0.43</t>
  </si>
  <si>
    <t>1.0</t>
  </si>
  <si>
    <t>Enchant creature</t>
  </si>
  <si>
    <t>Enchanted creature gets -2/-2."</t>
  </si>
  <si>
    <t>{"foil":["b00f5117-4990-5b66-88fc-da76dabf5293","dbecee60-807c-5627-9090-d2114a897fcd"],"nonfoil":["236711ef-2574-5a52-ada8-9b1f7f80c9a7","378dd83c-121e-5b5a-b303-2bd7ad263313","b5495422-e733-5142-8e84-902bc81e62ca","ceb9dc37-df20-5ea6-884d-c41ecf4b7a4d","d3421e33-7b17-58a9-b6d4-acc3b077a93f","dbecee60-807c-5627-9090-d2114a897fcd"]}</t>
  </si>
  <si>
    <t>2522</t>
  </si>
  <si>
    <t>0.32</t>
  </si>
  <si>
    <t>Flying, Lifelink, First strike, Meld</t>
  </si>
  <si>
    <t>Flying, first strike, lifelink</t>
  </si>
  <si>
    <t>At the beginning of your end step, if you both own and control Gisela, the Broken Blade and a creature named Bruna, the Fading Light, exile them, then meld them into Brisela, Voice of Nightmares."</t>
  </si>
  <si>
    <t>b3a5141e-e64f-59aa-887f-03a2c3fce5b8</t>
  </si>
  <si>
    <t>{"foil":["4253efbd-cc76-53e3-a54c-9f4012f3c097","adfb3335-c3dc-5da0-a8f7-2ec75df3f207"],"nonfoil":["4253efbd-cc76-53e3-a54c-9f4012f3c097","53d19c3f-83fb-5246-8262-15f15ca0a9df"]}</t>
  </si>
  <si>
    <t>At the beginning of your end step, if you both own and control Gisela and a creature named Bruna, the Fading Light, exile them, then meld them into Brisela, Voice of Nightmares."</t>
  </si>
  <si>
    <t>10064</t>
  </si>
  <si>
    <t>"Don't be fooled. If it were as docile as it looks, it would've died off long ago."</t>
  </si>
  <si>
    <t>—Yon Basrel, Oran-Rief survivalist"</t>
  </si>
  <si>
    <t>{"foil":["303528b0-8f1d-5ee0-bae1-55147d9510da","a2630e5d-f1ae-53b8-b5e2-938d77123f73"],"nonfoil":["337ea5f6-8a3f-5259-ba21-76ac4104459a","5cd87b3b-e80e-5d49-83ba-96435fe9df2e","a2630e5d-f1ae-53b8-b5e2-938d77123f73","ab50bceb-299c-5cdb-a01d-d66bdf9a2b7c","ca3b78cc-456e-5e0b-846a-1b5b4f297aea"]}</t>
  </si>
  <si>
    <t>19221</t>
  </si>
  <si>
    <t>0.67</t>
  </si>
  <si>
    <t>{"foil":["a72ed909-5fc3-5043-85f1-eae7f784c33b","fb684793-38fa-5e34-bc75-34cff075443c"],"nonfoil":["303d70f4-790d-5ccf-af92-fb6fe17c2311","5609ba02-6888-54e1-8413-12c338e96afb","fb684793-38fa-5e34-bc75-34cff075443c"]}</t>
  </si>
  <si>
    <t>boros</t>
  </si>
  <si>
    <t>2372</t>
  </si>
  <si>
    <t>0.28</t>
  </si>
  <si>
    <t>7.0</t>
  </si>
  <si>
    <t>When you cast Bruna, the Fading Light, you may return target Angel or Human creature card from your graveyard to the battlefield.</t>
  </si>
  <si>
    <t>Flying, vigilance</t>
  </si>
  <si>
    <t>(Melds with Gisela, the Broken Blade.)"</t>
  </si>
  <si>
    <t>When you cast this spell, you may return target Angel or Human creature card from your graveyard to the battlefield.</t>
  </si>
  <si>
    <t>602</t>
  </si>
  <si>
    <t>CMM, ECC, KHM, LCC, PKHM, PLST, PRM, SLD</t>
  </si>
  <si>
    <t>Changeling (This card is every creature type.)</t>
  </si>
  <si>
    <t>As this creature enters, choose a creature type.</t>
  </si>
  <si>
    <t>You may look at the top card of your library any time.</t>
  </si>
  <si>
    <t>You may cast creature spells of the chosen type from the top of your library."</t>
  </si>
  <si>
    <t>31669a91-4e69-5bbf-b1a9-33c7ce9eab0b</t>
  </si>
  <si>
    <t>27276</t>
  </si>
  <si>
    <t>0.33</t>
  </si>
  <si>
    <t>1993</t>
  </si>
  <si>
    <t>{"nonfoil":["336c0f3c-7922-530d-b687-ca056692d873","57d8c3aa-7e9f-5cd0-bc47-3686d9958d8b"]}</t>
  </si>
  <si>
    <t>18665</t>
  </si>
  <si>
    <t>0.4</t>
  </si>
  <si>
    <t>"A great wave crashed, and a mighty wind blew out the stars."</t>
  </si>
  <si>
    <t>—*The Cosmogony*"</t>
  </si>
  <si>
    <t>{"foil":["089080a6-6828-50c3-9101-7dde35781608","ef9b5f95-e25a-5a7f-ade5-a78df463ebe6","fa9fd548-d5b0-5d79-adbe-8682cb96384d"],"nonfoil":["089080a6-6828-50c3-9101-7dde35781608","38c6c6f8-2cbe-566e-85b5-6caba302d843","4ab6ae94-f60e-54f2-a482-cf2c70105f6b"]}</t>
  </si>
  <si>
    <t>Daarken</t>
  </si>
  <si>
    <t>e607a0d4-fc12-4c01-9e3f-501f5269b9cb</t>
  </si>
  <si>
    <t>11263</t>
  </si>
  <si>
    <t>Return</t>
  </si>
  <si>
    <t>Aftermath</t>
  </si>
  <si>
    <t>aftermath</t>
  </si>
  <si>
    <t>Never // Return</t>
  </si>
  <si>
    <t>212</t>
  </si>
  <si>
    <t>Destroy target creature or planeswalker. // Aftermath (Cast this spell only from your graveyard. Then exile it.)</t>
  </si>
  <si>
    <t>Exile target card from a graveyard. Create a 2/2 black Zombie creature token."</t>
  </si>
  <si>
    <t>875ba98c-721c-537b-b326-22d803fab7c0</t>
  </si>
  <si>
    <t>AKH, AKR, DRC, PAKH</t>
  </si>
  <si>
    <t>AKH</t>
  </si>
  <si>
    <t>Aftermath (Cast this spell only from your graveyard. Then exile it.)</t>
  </si>
  <si>
    <t>6acc8501-aa59-5777-a7d0-e3ef66a609ea</t>
  </si>
  <si>
    <t>11979</t>
  </si>
  <si>
    <t>0.07</t>
  </si>
  <si>
    <t>{"nonfoil":["4ebfc88d-eea7-599e-ba79-c86020d1c1e2","9b04b8ff-5402-5553-a531-323a38d8c4a4"]}</t>
  </si>
  <si>
    <t>650</t>
  </si>
  <si>
    <t>6.0</t>
  </si>
  <si>
    <t>Reach (This creature can block creatures with flying.)</t>
  </si>
  <si>
    <t>You may play lands from your graveyard.</t>
  </si>
  <si>
    <t>If a land entering the battlefield causes a triggered ability of a permanent you control to trigger, that ability triggers an additional time."</t>
  </si>
  <si>
    <t>{"nonfoil":["4498a9bc-294c-5036-91e5-031880296db8"]}</t>
  </si>
  <si>
    <t>If a land entering causes a triggered ability of a permanent you control to trigger, that ability triggers an additional time."</t>
  </si>
  <si>
    <t>Never</t>
  </si>
  <si>
    <t>{1}{B}{B}</t>
  </si>
  <si>
    <t>{"foil":["bdfaa43d-9ebd-502f-856b-11eadc97b026","f11efbac-a2d4-5228-acba-c858c60c12ac","f1841d07-1211-5e6d-8d32-7844c9e667d8"],"nonfoil":["70b72e1e-9647-56ec-8b16-06248b684206","bdfaa43d-9ebd-502f-856b-11eadc97b026","f11efbac-a2d4-5228-acba-c858c60c12ac"]}</t>
  </si>
  <si>
    <t>Destroy target creature or planeswalker.</t>
  </si>
  <si>
    <t>14391</t>
  </si>
  <si>
    <t>During your upkeep, put a spore counter on Thallid Devourer.</t>
  </si>
  <si>
    <t>{0}: Remove three spore counters from Thallid Devourer to put a Saproling token into play. Treat this token as a 1/1 green creature.</t>
  </si>
  <si>
    <t>{0}: Sacrifice a Saproling to give Thallid Devourer +1/+2 until end of turn."</t>
  </si>
  <si>
    <t>{"nonfoil":["cbbd7529-f4d9-53ac-bd3f-a55bd930c679"]}</t>
  </si>
  <si>
    <t>At the beginning of your upkeep, put a spore counter on this creature.</t>
  </si>
  <si>
    <t>Remove three spore counters from this creature: Create a 1/1 green Saproling creature token.</t>
  </si>
  <si>
    <t>Sacrifice a Saproling: This creature gets +1/+2 until end of turn."</t>
  </si>
  <si>
    <t>29060</t>
  </si>
  <si>
    <t>"All things must eat, after all. Even the air can hunger."</t>
  </si>
  <si>
    <t>—Gemma, Willow Priestess"</t>
  </si>
  <si>
    <t>{"nonfoil":["c9de01e3-8ad0-5efa-a5f4-4cfeac03e5c7"]}</t>
  </si>
  <si>
    <t>74484d41-3d02-5bd7-a5fc-a0dfc481bb2d</t>
  </si>
  <si>
    <t>13615</t>
  </si>
  <si>
    <t>0.1</t>
  </si>
  <si>
    <t>{"foil":["04f90aad-76b6-5bc6-a732-45d06c1dad37","b5bdb4c3-f3f8-59d9-b11c-f09b23a80d97","da796ce7-43ec-5fba-9705-77a79758eedb"],"nonfoil":["04f90aad-76b6-5bc6-a732-45d06c1dad37","9f950613-93bc-5206-bf36-17889e54081e","de0877c3-6604-50cc-a2e5-50d47d05fa29"]}</t>
  </si>
  <si>
    <t>16333</t>
  </si>
  <si>
    <t>0.57</t>
  </si>
  <si>
    <t>{1}, {T}, Sacrifice a creature: You gain 4 life.</t>
  </si>
  <si>
    <t>{1}, {T}, Sacrifice a creature named Festering Newt: Each opponent loses 4 life. You gain life equal to the life lost this way."</t>
  </si>
  <si>
    <t>{"foil":["6dea76a3-dab9-5707-9181-635f24535a5b"],"nonfoil":["6dea76a3-dab9-5707-9181-635f24535a5b"]}</t>
  </si>
  <si>
    <t>U, G</t>
  </si>
  <si>
    <t>4431</t>
  </si>
  <si>
    <t>0.42</t>
  </si>
  <si>
    <t>inverted, legendary, showcase</t>
  </si>
  <si>
    <t>Paradox — Whenever you cast a spell from anywhere other than your hand, put a +1/+1 counter on target creature.</t>
  </si>
  <si>
    <t>Team TARDIS — At the beginning of your end step, untap each creature you control with a counter on it."</t>
  </si>
  <si>
    <t>universesbeyond, boosterfun</t>
  </si>
  <si>
    <t>{"foil":["2d252e89-9965-5f23-907e-7a98726d7fac","c3727661-aaa8-5fc8-985e-93b619c3ef05"],"nonfoil":["2d252e89-9965-5f23-907e-7a98726d7fac","c3727661-aaa8-5fc8-985e-93b619c3ef05"]}</t>
  </si>
  <si>
    <t>845adf01-30b9-59f5-940b-2200b70f713d, a4d8b55a-7761-5685-a768-d6bcae2809b0, be61e9c2-20bf-59b8-bfae-3a5f64a7fc28, 4f3671e6-6faa-533a-9ba9-f05f5bf09e8b, 47adf329-3c8e-5af4-801a-c361a3e647f9, 6129fe0e-e952-5b75-b5f5-8cb46cc58b77, 882be6aa-fac2-52b8-9b47-a0980d475a11</t>
  </si>
  <si>
    <t>0.7</t>
  </si>
  <si>
    <t>0.0</t>
  </si>
  <si>
    <t>10E, 2ED, 2XM, 30A, 3ED, 40K, 4BB, 4ED, 5ED, 6ED, 7ED, 8ED, 9ED, ACR, AFR, AKH, AKR, ALA, ANA, ANB, ARC, ATH, AVR, BBD, BFZ, BLB, BRB, BRO, BTD, C13, C14, C15, C16, C17, C18, C19, CED, CEI, CHK, CLB, CLU, CM2, CMA, CMD, CMM, CMR, CST, DD1, DDD, DDE, DDG, DDH, DDJ, DDL, DDM, DDO, DDP, DDR, DDS, DDU, DFT, DKM, DMR, DMU, DOM, DPA, DSK, DTK, E01, ECL, ELD, EOE, EVG, FBB, FDN, FIC, FIN, FRF, G17, GK1, GK2, GN2, GN3, GNT, GRN, GS1, GVL, H09, HBG, HOP, HOU, ICE, IKO, INR, INV, ISD, ITP, J14, J22, J25, JMP, KHM, KLD, KLR, KTK, LCI, LEA, LEB, LRW, LTR, M10, M11, M12, M13, M14, M15, M19, M20, M21, MBS, ME1, ME3, MH2, MH3, MID, MIR, MKM, MMQ, MOM, MRD, NEO, NPH, ODY, OLEP, ONE, ONS, ORI, OTJ, P02, P23, PAL00, PAL01, PAL03, PAL04, PAL05, PAL06, PAL99, PALP, PANA, PARL, PC2, PCA, PELP, PF19, PF20, PGPX, PGRU, PIP, PL25, PLST, PMPS, PMPS06, PMPS07, PMPS08, PMPS09, PMPS10, PMPS11, POR, PPP1, PRM, PRW2, PRWK, PS11, PSAL, PSS2, PSS3, PSS4, PTC, PTK, PZ2, RAV, REX, RIX, RNA, ROE, RQS, RTR, S99, SCD, SHM, SIR, SLD, SLP, SNC, SOI, SOM, SPM, STX, SUM, TD0, TD2, TDM, THB, THS, TLA, TMP, TMT, TPR, TSP, UGL, UND, UNF, UNH, USG, UST, VOW, WAR, WC00, WC01, WC02, WC03, WC04, WC97, WC98, WC99, WHO, WOE, XANA, XLN, ZEN, ZNR</t>
  </si>
  <si>
    <t>{"nonfoil":["1eb46285-39db-5049-be86-bc2d50b91d77","57be20bf-5950-5969-b16b-047aaf6e5010","89a4fe76-d836-5b5c-bde4-49358f23810c","c654b999-069f-5af8-8e41-87d6282f9dfd"]}</t>
  </si>
  <si>
    <t>ea2a2ba8-dec2-55c7-af4a-2de52d404cc0, 0c1b7f25-d6cd-5897-bebf-003b5c97bb87</t>
  </si>
  <si>
    <t>21111</t>
  </si>
  <si>
    <t>0.17</t>
  </si>
  <si>
    <t>2024-08-02</t>
  </si>
  <si>
    <t>{"nonfoil":["1db93605-0a4e-5e5b-80a2-18a6e177f51d"]}</t>
  </si>
  <si>
    <t>Provoke (Whenever this creature attacks, you may have target creature defending player controls untap and block it if able.)</t>
  </si>
  <si>
    <t>{1}{W}: Prevent all combat damage that would be dealt to and dealt by this creature this turn."</t>
  </si>
  <si>
    <t>30007</t>
  </si>
  <si>
    <t>"It moved this way, an' that way, an' then before I could stick it, it jumped over my head an' was gone."</t>
  </si>
  <si>
    <t>—Jula, goblin raider"</t>
  </si>
  <si>
    <t>{"nonfoil":["96772e6d-0aba-5362-ab10-d5f3f6d23634","c901ab11-9d40-5fc1-a603-470b42f4b48b","fc38f6c9-a9a2-544a-9b76-1a3a007e5ea5"]}</t>
  </si>
  <si>
    <t>6941</t>
  </si>
  <si>
    <t>0.59</t>
  </si>
  <si>
    <t>Justice isn't done until undeath is undone.</t>
  </si>
  <si>
    <t>2013-02-01</t>
  </si>
  <si>
    <t>When this creature enters, exile all Zombies, then return all Human creature cards from your graveyard to the battlefield."</t>
  </si>
  <si>
    <t>6</t>
  </si>
  <si>
    <t>colorpie</t>
  </si>
  <si>
    <t>Until end of turn and "this turn" effects don't end.</t>
  </si>
  <si>
    <t>{"nonfoil":["b966f472-6bd1-55a5-9e13-235320a03bb2"]}</t>
  </si>
  <si>
    <t>23969</t>
  </si>
  <si>
    <t>You may discard a Mountain card rather than pay this spell's mana cost.</t>
  </si>
  <si>
    <t>Flameshot deals 3 damage divided as you choose among one, two, or three target creatures."</t>
  </si>
  <si>
    <t>14098</t>
  </si>
  <si>
    <t>0.36</t>
  </si>
  <si>
    <t>{"foil":["16d143d9-e957-54bc-8344-87a7ed85666d","1fc1a634-d083-59eb-8194-2e6da14e912e","ad26d972-c187-5109-ba88-301a89762c34"],"nonfoil":["1fc1a634-d083-59eb-8194-2e6da14e912e","ad26d972-c187-5109-ba88-301a89762c34"],"etched":["16d143d9-e957-54bc-8344-87a7ed85666d","1fc1a634-d083-59eb-8194-2e6da14e912e","ad26d972-c187-5109-ba88-301a89762c34"]}</t>
  </si>
  <si>
    <t>16434</t>
  </si>
  <si>
    <t>0.06</t>
  </si>
  <si>
    <t>27497</t>
  </si>
  <si>
    <t>0.86</t>
  </si>
  <si>
    <t>{"foil":["62896f1f-8363-56ca-9453-5e71327a3f43","ff372bd0-1e42-53ef-aa53-46498eeb9248"],"nonfoil":["cf8e2e65-c19b-5af7-9f54-491020bd28ba","ff372bd0-1e42-53ef-aa53-46498eeb9248"]}</t>
  </si>
  <si>
    <t>18800</t>
  </si>
  <si>
    <t>{"foil":["1772b60a-f041-51d9-b86b-dc79d6b65070","c1fe2d1a-a7d0-5eb8-94dc-7379ad4414ee"],"nonfoil":["054a8581-a827-5b8b-a29b-eea32ad0f6a7","08053503-4a37-5707-ab7c-3e0984c6e749","0e8bd314-6d5b-53cb-a988-6e71a69a9a31","1772b60a-f041-51d9-b86b-dc79d6b65070","28298b47-d511-5582-81d2-e457561a8049","301a90fe-bd76-5fa7-910c-7cbe20c104c8","354609f4-fd88-541d-9399-0f08605a4600","9e700fb5-3cfd-5816-ba24-62d1b6ba40de","aa125eaf-d21d-5f1e-ad97-ae27f50e49d3","be3c045b-5ca3-56d5-a38a-c5f24b517ea6","d9885085-299e-5105-8a78-913d6a270c88","e6b67874-ea3e-5ff3-a415-fcef29455c2e"]}</t>
  </si>
  <si>
    <t>10E, 2ED, 2XM, 30A, 3ED, 40K, 4BB, 4ED, 5ED, 6ED, 7ED, 8ED, 9ED, ACR, AFR, AKH, AKR, ALA, ANA, ANB, ARC, ATH, AVR, BBD, BFZ, BLB, BRB, BRC, BRO, C13, C14, C15, C16, C17, C18, C19, CED, CEI, CHK, CLB, CLU, CM2, CMA, CMD, CMM, CMR, CST, DDC, DDE, DDF, DDG, DDH, DDI, DDK, DDL, DDN, DDO, DDP, DDQ, DFT, DMR, DMU, DOM, DSK, DTK, DVD, E01, ECL, ELD, EOE, FBB, FDN, FIC, FIN, FRF, G17, GK1, GK2, GN2, GN3, GNT, GRN, GS1, H09, HBG, HOP, HOU, ICE, IKO, INR, INV, ISD, ITP, J14, J22, J25, JMP, KHM, KLD, KLR, KTK, LCI, LEA, LEB, LRW, LTR, M10, M11, M12, M13, M14, M15, M19, M20, M21, MBS, MD1, ME1, ME3, MH2, MH3, MID, MIR, MKM, MMQ, MOM, MRD, NEO, NPH, ODY, OLEP, ONE, ONS, ORI, OTJ, P02, P23, PAL00, PAL01, PAL03, PAL04, PAL05, PAL06, PAL99, PALP, PANA, PARL, PC2, PCA, PDGM, PELP, PF19, PF20, PGPX, PGRU, PIP, PL26, PLST, PMPS, PMPS06, PMPS07, PMPS08, PMPS09, PMPS10, PMPS11, POR, PPP1, PRM, PRW2, PRWK, PS11, PSAL, PSS2, PSS3, PSS4, PTC, PTK, PZ2, RAV, REX, RIX, RNA, ROE, RQS, RTR, S99, SCD, SHM, SIR, SLD, SLP, SNC, SOI, SOM, SPM, STX, SUM, TD0, TD2, TDM, THB, THS, TLA, TLE, TMP, TMT, TPR, TSP, UGL, UND, UNF, UNH, USG, UST, VOW, WAR, WC00, WC02, WC03, WC04, WC97, WC98, WHO, WOE, XANA, XLN, ZEN, ZNR</t>
  </si>
  <si>
    <t>81789ad4-aed8-5a47-a03c-41bae1ec088c, a7627021-b739-583e-95be-68c2814578f7</t>
  </si>
  <si>
    <t>25928</t>
  </si>
  <si>
    <t>{"foil":["ef8281b6-54ab-578a-baec-62f5c79977c0","fc41a40e-dc96-5a40-b5f5-29e993d1a5e1"],"nonfoil":["20f4e2ee-2cf9-5248-b78b-067e2f8cdc03","8f1fcc1c-d6aa-5e8e-989d-0db882750641","ef8281b6-54ab-578a-baec-62f5c79977c0"]}</t>
  </si>
  <si>
    <t>188</t>
  </si>
  <si>
    <t>0.13</t>
  </si>
  <si>
    <t>2024-04-19</t>
  </si>
  <si>
    <t>{"foil":["6b307a92-0a52-5ecc-aaeb-1fa4180ec7ad"],"nonfoil":["7c02f937-ddc8-57af-9cf7-a09f7c0be1c3"]}</t>
  </si>
  <si>
    <t>{"foil":["16d143d9-e957-54bc-8344-87a7ed85666d","1fc1a634-d083-59eb-8194-2e6da14e912e","ad26d972-c187-5109-ba88-301a89762c34"],"nonfoil":["1fc1a634-d083-59eb-8194-2e6da14e912e","ad26d972-c187-5109-ba88-301a89762c34"]}</t>
  </si>
  <si>
    <t>15447</t>
  </si>
  <si>
    <t>0.41</t>
  </si>
  <si>
    <t>(Walls can't attack.)</t>
  </si>
  <si>
    <t>ocT: Target creature gets +0/+4 until end of turn."</t>
  </si>
  <si>
    <t>{"foil":["65bc1540-791e-5561-b050-658c4e65e28f"],"nonfoil":["1c7870eb-5ce3-5be0-b0fb-644bfe832d14","65bc1540-791e-5561-b050-658c4e65e28f","b783fe2e-16f4-5dac-944a-73377ccfb2b8"]}</t>
  </si>
  <si>
    <t>Defender (This creature can't attack.)</t>
  </si>
  <si>
    <t>{T}: Target creature gets +0/+4 until end of turn."</t>
  </si>
  <si>
    <t>20227</t>
  </si>
  <si>
    <t>Gerrard offered no defense to Orim's condemnation</t>
  </si>
  <si>
    <t xml:space="preserve"> the mission was under his command, and he was responsible.</t>
  </si>
  <si>
    <t>{"foil":["65bc1540-791e-5561-b050-658c4e65e28f"],"nonfoil":["1c7870eb-5ce3-5be0-b0fb-644bfe832d14","65bc1540-791e-5561-b050-658c4e65e28f"]}</t>
  </si>
  <si>
    <t>{"foil":["c5cd29de-5ec9-5e13-b8eb-40e3a9f79f9a","c690e178-661d-5e17-9b29-a5bf6319a844"],"nonfoil":["4831adbb-c0af-5d27-b407-19f2f7805949","c690e178-661d-5e17-9b29-a5bf6319a844"]}</t>
  </si>
  <si>
    <t>5970</t>
  </si>
  <si>
    <t>{"brawl":false,"commander":false,"oathbreaker":true}</t>
  </si>
  <si>
    <t>+2: Scry 2.</t>
  </si>
  <si>
    <t>0: Look at the top card of your library. If it's a land card or a creature card with converted mana cost less than or equal to the number of loyalty counters on Nissa, Steward of Elements, you may put that card onto the battlefield.</t>
  </si>
  <si>
    <t>−6: Untap up to two target lands you control. They become 5/5 Elemental creatures with flying and haste until end of turn. They're still lands."</t>
  </si>
  <si>
    <t>[+2]: Scry 2.</t>
  </si>
  <si>
    <t>[0]: Look at the top card of your library. If it's a land card or a creature card with mana value less than or equal to the number of loyalty counters on Nissa, you may put that card onto the battlefield.</t>
  </si>
  <si>
    <t>[−6]: Untap up to two target lands you control. They become 5/5 Elemental creatures with flying and haste until end of turn. They're still lands."</t>
  </si>
  <si>
    <t>22720</t>
  </si>
  <si>
    <t>0.27</t>
  </si>
  <si>
    <t>{"foil":["37e28375-f5ba-51e8-8e11-b6830a33b669","508def12-08d0-5800-bc48-3615e04bed1e"],"nonfoil":["37e28375-f5ba-51e8-8e11-b6830a33b669","d0533d35-75aa-5764-8bd0-3f2c76d805ce","df4abe32-43a3-5e35-8809-3b9be9a54825"]}</t>
  </si>
  <si>
    <t>Ingest (Whenever this creature deals combat damage to a player, that player exiles the top card of their library.)"</t>
  </si>
  <si>
    <t>{"reverseRelated":["Acererak the Archlich","Aphemia, the Cacophony","Archdemon of Unx","Army of the Damned","Assemble the Rank and Vile","Awaken the Erstwhile","Bone Miser","Boneclad Necromancer","Bridge from Below","Captive Audience","Cellar Door","Cemetery Reaper","Cradle of the Accursed","Cryptbreaker","Cryptcaller Chariot","Curse of Disturbance","Curse of Shallow Graves","Dark Salvation","Death Tyrant","Diregraf Colossus","Doomed Dissenter","Drana's Chosen","Dread Summons","Drunau Corpse Trawler","Dunes of the Dead","Dying to Serve","Embalmed Ascendant","Empty the Pits","Endless Ranks of the Dead","Feast or Famine","Field of the Dead","From Under the Floorboards","Ghoulcaller Gisa","Ghoulcaller's Accomplice","Gisa's Bidding","Graf Harvest","Grave Titan","Gravedig","Graveyard Marshal","Grixis Slavedriver","Havengul Runebinder","Headless Rider","Hildibrand Manderville // Gentleman's Rise","Hour of Promise","Hour of Victory","Invasion of Innistrad // Deluge of the Dead","Kalitas, Traitor of Ghet","Lair of the Ashen Idol","Liliana's Devotee","Liliana's Mastery","Liliana's Reaver","Liliana, Death's Majesty","Liliana, Dreadhorde General","Liliana, Heretical Healer // Liliana, Defiant Necromancer","Liliana, the Last Hope","Liliana, the Last Hope Emblem","Maalfeld Twins","Magus of the Bridge","Midnight Ritual","Moan of the Unhallowed","Necromancer's Covenant","Necromancer's Stockpile","Necromaster Dragon","Necromentia","Necrotic Hex","Never // Return","Nevinyrral, Urborg Tyrant","Noosegraf Mob","Null Caller","Oath of Liliana","Oglor, Devoted Assistant","Open the Graves","Overseer of the Damned","Rakshasa Gravecaller","Rank Officer","Reap the Seagraf","Rise from the Tides","Risen Necroregent","Rotlung Reanimator","Rotted Ones, Lay Siege","Sarcomancy","Shamble Back","Sidisi, Brood Tyrant","Skull Skaab","Stir the Sands","Suspicious Shambler","Syphon Flesh","The Book of Vile Darkness","The Fourth Sphere","The Necrobloom","Tobias, Doomed Conqueror","Tormod, the Desecrator","Tymaret Calls the Dead","Undead Alchemist","Undead Servant","Unscythe, Killer of Kings","Varina, Lich Queen","Vile Rebirth","Wakedancer","Wand of Orcus","Waste Not","Wight","Xathrid Necromancer","Zahur, Glory's Past","Zombie Infestation"]}</t>
  </si>
  <si>
    <t>Acererak the Archlich, Aphemia, the Cacophony, Archdemon of Unx, Army of the Damned, Assemble the Rank and Vile, Awaken the Erstwhile, Bone Miser, Boneclad Necromancer, Bridge from Below, Captive Audience, Cellar Door, Cemetery Reaper, Cradle of the Accursed, Cryptbreaker, Cryptcaller Chariot, Curse of Disturbance, Curse of Shallow Graves, Dark Salvation, Death Tyrant, Diregraf Colossus, Doomed Dissenter, Drana's Chosen, Dread Summons, Drunau Corpse Trawler, Dunes of the Dead, Dying to Serve, Embalmed Ascendant, Empty the Pits, Endless Ranks of the Dead, Feast or Famine, Field of the Dead, From Under the Floorboards, Ghoulcaller Gisa, Ghoulcaller's Accomplice, Gisa's Bidding, Graf Harvest, Grave Titan, Gravedig, Graveyard Marshal, Grixis Slavedriver, Havengul Runebinder, Headless Rider, Hildibrand Manderville // Gentleman's Rise, Hour of Promise, Hour of Victory,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Risen Necroregent, Rotlung Reanimator, Rotted Ones, Lay Siege, Sarcomancy, Shamble Back, Sidisi, Brood Tyrant, Skull Skaab, Stir the Sands, Suspicious Shambler, Syphon Flesh, The Book of Vile Darkness, The Fourth Sphere, The Necrobloom, Tobias, Doomed Conqueror, Tormod, the Desecrator, Tymaret Calls the Dead, Undead Alchemist, Undead Servant, Unscythe, Killer of Kings, Varina, Lich Queen, Vile Rebirth, Wakedancer, Wand of Orcus, Waste Not, Wight, Xathrid Necromancer, Zahur, Glory's Past, Zombie Infestation</t>
  </si>
  <si>
    <t>U, R</t>
  </si>
  <si>
    <t>{"reverseRelated":["Otterball Antics","Ral, Crackling Wit","Stormchaser's Talent"]}</t>
  </si>
  <si>
    <t>{"reverseRelated":["Dog Walker","Hunted Bonebrute","Krovod Haunch","Release the Dogs","Rin and Seri, Inseparable"]}</t>
  </si>
  <si>
    <t>Dog Walker, Hunted Bonebrute, Krovod Haunch, Release the Dogs, Rin and Seri, Inseparable</t>
  </si>
  <si>
    <t>{"reverseRelated":["Burn Down the House","Dance with Devils","Devils' Playground","I Call for Slaughter","Maestros Diabolist","Make Mischief","Ob Nixilis, the Adversary","Pugnacious Pugilist","Raphael, Fiendish Savior","Spiked Corridor // Torture Pit","Tibalt, Rakish Instigator","Tibalt, Wicked Tormentor","You Exist Only to Amuse","Zariel, Archduke of Avernus","Zurzoth, Chaos Rider"]}</t>
  </si>
  <si>
    <t>{"reverseRelated":["Verix Bladewing"]}</t>
  </si>
  <si>
    <t>{"reverseRelated":["A Killer Among Us","Ainok Strike Leader","Ardoz, Cobbler of War","Battle Cry Goblin","Beetleback Chief","Blast from the Past","Box of Free-Range Goblins","Den of the Bugbear","Dragon Fodder","Empty the Warrens","Frontline Rush","Garbage Elemental","General Kreat, the Boltbringer","Gift Horse","Goblin Assault","Goblin Gang Leader","Goblin Gathering","Goblin Goliath","Goblin Instigator","Goblin Marshal","Goblin Morningstar","Goblin Negotiation","Goblin Offensive","Goblin Rabblemaster","Goblin Rally","Goblin Surprise","Goblin Traprunner","Goblin War Party","Goblin Warrens","Goblinslide","Hordeling Outburst","Howlsquad Heavy","Hunted Phantasm","Ib Halfheart, Goblin Tactician","Jund","Kathari Bomber","Krenko's Command","Krenko, Baron of Tin Street","Krenko, Mob Boss","Krenko, Tin Street Kingpin","Kuldotha Rebirth","Legion Warboss","Lost Mine of Phandelver","Mardu Ascendancy","Mogg Alarm","Mogg Infestation","Mogg War Marshal","Neriv, Crackling Vanguard","Pashalik Mons","Ponyback Brigade","Rasputin, the Oneiromancer","Rulik Mons, Warren Chief","Sarpadian Empires, Vol. VII","Searslicer Goblin","Siege-Gang Commander","Siege-Gang Lieutenant","Sling-Gang Lieutenant","Squee, Dubious Monarch","Survey the Wreckage","Swarming Goblins","Tin Street Cadet","Underfoot Underdogs","Warbreak Trumpeter","Windcrag Siege","You See a Pair of Goblins"]}</t>
  </si>
  <si>
    <t>A Killer Among Us, Ainok Strike Leader, Ardoz, Cobbler of War, Battle Cry Goblin, Beetleback Chief, Blast from the Past, Box of Free-Range Goblins, Den of the Bugbear, Dragon Fodder, Empty the Warrens, Frontline Rush,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Howlsquad Heavy, Hunted Phantasm, Ib Halfheart, Goblin Tactician, Jund, Kathari Bomber, Krenko's Command, Krenko, Baron of Tin Street, Krenko, Mob Boss, Krenko, Tin Street Kingpin, Kuldotha Rebirth, Legion Warboss, Lost Mine of Phandelver, Mardu Ascendancy, Mogg Alarm, Mogg Infestation, Mogg War Marshal, Neriv, Crackling Vanguard, Pashalik Mons, Ponyback Brigade, Rasputin, the Oneiromancer, Rulik Mons, Warren Chief, Sarpadian Empires, Vol. VII, Searslicer Goblin, Siege-Gang Commander, Siege-Gang Lieutenant, Sling-Gang Lieutenant, Squee, Dubious Monarch, Survey the Wreckage, Swarming Goblins, Tin Street Cadet, Underfoot Underdogs, Warbreak Trumpeter, Windcrag Siege, You See a Pair of Goblins</t>
  </si>
  <si>
    <t>Revised</t>
  </si>
  <si>
    <t>Amonkhet</t>
  </si>
  <si>
    <t>TAKH</t>
  </si>
  <si>
    <t>Modern Horizons Block</t>
  </si>
  <si>
    <t>Universes Beyond: Doctor Who: Extras</t>
  </si>
  <si>
    <t>If this spell is the first spell you've cast this game, you may cast it without paying its mana cost.
Look at the top five cards of your library. You may reveal a creature or land card from among them and put it into your hand. Put the rest on the bottom of your library in a random order.</t>
  </si>
  <si>
    <t>Flash
Enrage — Whenever this creature is dealt damage, put a +1/+1 counter on it. (It must survive the damage to get the counter.)</t>
  </si>
  <si>
    <t>"When we were lost and weary, the ainok showed us how to survive. They have earned the right to call themselves Abzan, and to wear the Scale."
—Anafenza, khan of the Abzan</t>
  </si>
  <si>
    <t>Flying, first strike, vigilance, lifelink
Your opponents can't cast spells with converted mana cost 3 or less.</t>
  </si>
  <si>
    <t>Flying, first strike, vigilance, lifelink
Your opponents can't cast spells with mana value 3 or less.</t>
  </si>
  <si>
    <t>Whenever you draw your second card each turn, each opponent loses 2 life and you gain 2 life.
When this creature dies, return another target creature card with mana value 3 or less from your graveyard to the battlefield.</t>
  </si>
  <si>
    <t>"I never thought I'd miss the gomazoa."
—Trinda, Hada spy patrol</t>
  </si>
  <si>
    <t>Devoid (This card has no color.)
Flying
Whenever you cast a colorless spell, target opponent exiles the top card of his or her library.</t>
  </si>
  <si>
    <t>Devoid (This card has no color.)
Flying
Whenever you cast a colorless spell, target opponent exiles the top card of their library.</t>
  </si>
  <si>
    <t>Haste
When Glarewielder comes into play, up to two target creatures can't block this turn.
Evoke {1R} (You may play this spell for its evoke cost. If you do, it's sacrificed when it comes into play.)</t>
  </si>
  <si>
    <t>Haste
When this creature enters, up to two target creatures can't block this turn.
Evoke {1}{R} (You may cast this spell for its evoke cost. If you do, it's sacrificed when it enters.)</t>
  </si>
  <si>
    <t>Προστάτης
Σωκράτης, Ἀθηναῖος διδάσκαλος οὐ μαγείαις διωκτός, ὅσονπερ δύναμις αὕτη ἄθικτός ἐστι.
Σωκρατικός διάλογος — {T}: Ἄχρι σειρᾶς τέλους, διωκτέον ὂν λαμβάνει «Ἐάν τόδε ὂν ζημίαν παίκτη ποιεῖ, αποτρέψων ταύτην ζημίαν. Κύριος τοῦδε ὄντος καὶ παίκτης ἐκεῖνος λαμβάνουσιν ἕκαστος χαρτία ὅσον τὸ ἥμισυ τῆς ζημίας».</t>
  </si>
  <si>
    <t>Defender
Sokrates has hexproof as long as it's untapped.
Sokratic Dialogue — {T}: Until end of turn, target creature gains "If this creature would deal combat damage to a player, prevent that damage. This creature's controller and that player each draw half that many cards, rounded down."</t>
  </si>
  <si>
    <t>Kicker {4} (You may pay an additional {4} as you play this spell.)
Target player discards a card from his or her hand. If you paid the kicker cost, that player discards three cards from his or her hand instead.</t>
  </si>
  <si>
    <t>Kicker {4} (You may pay an additional {4} as you cast this spell.)
Target player discards a card. If this spell was kicked, that player discards three cards instead.</t>
  </si>
  <si>
    <t>Enchant creature
Enchanted creature gets -2/-2.</t>
  </si>
  <si>
    <t>Flying, first strike, lifelink
At the beginning of your end step, if you both own and control Gisela, the Broken Blade and a creature named Bruna, the Fading Light, exile them, then meld them into Brisela, Voice of Nightmares.</t>
  </si>
  <si>
    <t>Flying, first strike, lifelink
At the beginning of your end step, if you both own and control Gisela and a creature named Bruna, the Fading Light, exile them, then meld them into Brisela, Voice of Nightmares.</t>
  </si>
  <si>
    <t>"Don't be fooled. If it were as docile as it looks, it would've died off long ago."
—Yon Basrel, Oran-Rief survivalist</t>
  </si>
  <si>
    <t>When you cast Bruna, the Fading Light, you may return target Angel or Human creature card from your graveyard to the battlefield.
Flying, vigilance
(Melds with Gisela, the Broken Blade.)</t>
  </si>
  <si>
    <t>When you cast this spell, you may return target Angel or Human creature card from your graveyard to the battlefield.
Flying, vigilance
(Melds with Gisela, the Broken Blade.)</t>
  </si>
  <si>
    <t>Changeling (This card is every creature type.)
As this creature enters, choose a creature type.
You may look at the top card of your library any time.
You may cast creature spells of the chosen type from the top of your library.</t>
  </si>
  <si>
    <t>"A great wave crashed, and a mighty wind blew out the stars."
—*The Cosmogony*</t>
  </si>
  <si>
    <t>Destroy target creature or planeswalker. // Aftermath (Cast this spell only from your graveyard. Then exile it.)
Exile target card from a graveyard. Create a 2/2 black Zombie creature token.</t>
  </si>
  <si>
    <t>Aftermath (Cast this spell only from your graveyard. Then exile it.)
Exile target card from a graveyard. Create a 2/2 black Zombie creature token.</t>
  </si>
  <si>
    <t>Reach (This creature can block creatures with flying.)
You may play lands from your graveyard.
If a land entering the battlefield causes a triggered ability of a permanent you control to trigger, that ability triggers an additional time.</t>
  </si>
  <si>
    <t>Reach (This creature can block creatures with flying.)
You may play lands from your graveyard.
If a land entering causes a triggered ability of a permanent you control to trigger, that ability triggers an additional time.</t>
  </si>
  <si>
    <t>During your upkeep, put a spore counter on Thallid Devourer.
{0}: Remove three spore counters from Thallid Devourer to put a Saproling token into play. Treat this token as a 1/1 green creature.
{0}: Sacrifice a Saproling to give Thallid Devourer +1/+2 until end of turn.</t>
  </si>
  <si>
    <t>At the beginning of your upkeep, put a spore counter on this creature.
Remove three spore counters from this creature: Create a 1/1 green Saproling creature token.
Sacrifice a Saproling: This creature gets +1/+2 until end of turn.</t>
  </si>
  <si>
    <t>"All things must eat, after all. Even the air can hunger."
—Gemma, Willow Priestess</t>
  </si>
  <si>
    <t>{1}, {T}, Sacrifice a creature: You gain 4 life.
{1}, {T}, Sacrifice a creature named Festering Newt: Each opponent loses 4 life. You gain life equal to the life lost this way.</t>
  </si>
  <si>
    <t>Paradox — Whenever you cast a spell from anywhere other than your hand, put a +1/+1 counter on target creature.
Team TARDIS — At the beginning of your end step, untap each creature you control with a counter on it.</t>
  </si>
  <si>
    <t>Provoke (Whenever this creature attacks, you may have target creature defending player controls untap and block it if able.)
{1}{W}: Prevent all combat damage that would be dealt to and dealt by this creature this turn.</t>
  </si>
  <si>
    <t>"It moved this way, an' that way, an' then before I could stick it, it jumped over my head an' was gone."
—Jula, goblin raider</t>
  </si>
  <si>
    <t>Flying
When this creature enters, exile all Zombies, then return all Human creature cards from your graveyard to the battlefield.</t>
  </si>
  <si>
    <t>You may discard a Mountain card rather than pay this spell's mana cost.
Flameshot deals 3 damage divided as you choose among one, two, or three target creatures.</t>
  </si>
  <si>
    <t>(Walls can't attack.)
ocT: Target creature gets +0/+4 until end of turn.</t>
  </si>
  <si>
    <t>Defender (This creature can't attack.)
{T}: Target creature gets +0/+4 until end of turn.</t>
  </si>
  <si>
    <t>+2: Scry 2.
0: Look at the top card of your library. If it's a land card or a creature card with converted mana cost less than or equal to the number of loyalty counters on Nissa, Steward of Elements, you may put that card onto the battlefield.
−6: Untap up to two target lands you control. They become 5/5 Elemental creatures with flying and haste until end of turn. They're still lands.</t>
  </si>
  <si>
    <t>[+2]: Scry 2.
[0]: Look at the top card of your library. If it's a land card or a creature card with mana value less than or equal to the number of loyalty counters on Nissa, you may put that card onto the battlefield.
[−6]: Untap up to two target lands you control. They become 5/5 Elemental creatures with flying and haste until end of turn. They're still lands.</t>
  </si>
  <si>
    <t>Devoid (This card has no color.)
Ingest (Whenever this creature deals combat damage to a player, that player exiles the top card of their library.)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</si>
</sst>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0" fontId="0" fillId="0" borderId="0" xfId="0" applyNumberFormat="1"/>
  </cellXfs>
  <cellStyles count="1">
    <cellStyle name="Normal" xfId="0" builtinId="0"/>
  </cellStyles>
  <dxfs count="209">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4" xr16:uid="{EB2C1431-CB1E-48CB-A9C4-4847C5975FB7}" autoFormatId="16" applyNumberFormats="0" applyBorderFormats="0" applyFontFormats="0" applyPatternFormats="0" applyAlignmentFormats="0" applyWidthHeightFormats="0">
  <queryTableRefresh nextId="40">
    <queryTableFields count="20">
      <queryTableField id="4" name="code" tableColumnId="4"/>
      <queryTableField id="16" name="name" tableColumnId="16"/>
      <queryTableField id="15" name="mtgoCode" tableColumnId="15"/>
      <queryTableField id="2" name="block" tableColumnId="2"/>
      <queryTableField id="20" name="tokenSetCode" tableColumnId="20"/>
      <queryTableField id="18" name="releaseDate" tableColumnId="18"/>
      <queryTableField id="22" name="type" tableColumnId="22"/>
      <queryTableField id="8" name="isOnlineOnly" tableColumnId="8"/>
      <queryTableField id="5" name="isFoilOnly" tableColumnId="5"/>
      <queryTableField id="19" name="tcgplayerGroupId" tableColumnId="19"/>
      <queryTableField id="7" name="isNonFoilOnly" tableColumnId="7"/>
      <queryTableField id="17" name="parentCode" tableColumnId="17"/>
      <queryTableField id="21" name="totalSetSize" tableColumnId="21"/>
      <queryTableField id="1" name="baseSetSize" tableColumnId="1"/>
      <queryTableField id="10" name="keyruneCode" tableColumnId="10"/>
      <queryTableField id="12" name="mcmId" tableColumnId="12"/>
      <queryTableField id="14" name="mcmName" tableColumnId="14"/>
      <queryTableField id="13" name="mcmIdExtras" tableColumnId="13"/>
      <queryTableField id="6" name="isForeignOnly" tableColumnId="6"/>
      <queryTableField id="9" name="isPartialPreview"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DDDAE338-2603-4DE6-ABB9-04B371F89B31}" autoFormatId="16" applyNumberFormats="0" applyBorderFormats="0" applyFontFormats="0" applyPatternFormats="0" applyAlignmentFormats="0" applyWidthHeightFormats="0">
  <queryTableRefresh nextId="8">
    <queryTableFields count="7">
      <queryTableField id="1" name="id" tableColumnId="1"/>
      <queryTableField id="2" name="uuid" tableColumnId="2"/>
      <queryTableField id="3" name="cardsOwned" tableColumnId="3"/>
      <queryTableField id="4" name="cardsForTrade" tableColumnId="4"/>
      <queryTableField id="5" name="condition" tableColumnId="5"/>
      <queryTableField id="6" name="language" tableColumnId="6"/>
      <queryTableField id="7" name="finish"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5" xr16:uid="{A232CB4D-530E-40BD-8829-A14A2AB7657C}" autoFormatId="16" applyNumberFormats="0" applyBorderFormats="0" applyFontFormats="0" applyPatternFormats="0" applyAlignmentFormats="0" applyWidthHeightFormats="0">
  <queryTableRefresh nextId="89">
    <queryTableFields count="53">
      <queryTableField id="1" name="artist" tableColumnId="1"/>
      <queryTableField id="2" name="artistIds" tableColumnId="2"/>
      <queryTableField id="3" name="asciiName" tableColumnId="3"/>
      <queryTableField id="79" name="attractionLights" tableColumnId="32"/>
      <queryTableField id="4" name="availability" tableColumnId="4"/>
      <queryTableField id="5" name="boosterTypes" tableColumnId="5"/>
      <queryTableField id="6" name="borderColor" tableColumnId="6"/>
      <queryTableField id="7" name="colorIdentity" tableColumnId="7"/>
      <queryTableField id="80" name="colorIndicator" tableColumnId="50"/>
      <queryTableField id="8" name="colors" tableColumnId="8"/>
      <queryTableField id="9" name="edhrecSaltiness" tableColumnId="9"/>
      <queryTableField id="10" name="faceName" tableColumnId="10"/>
      <queryTableField id="11" name="finishes" tableColumnId="11"/>
      <queryTableField id="12" name="flavorName" tableColumnId="12"/>
      <queryTableField id="13" name="flavorText" tableColumnId="13"/>
      <queryTableField id="14" name="frameEffects" tableColumnId="14"/>
      <queryTableField id="15" name="frameVersion" tableColumnId="15"/>
      <queryTableField id="16" name="hasFoil" tableColumnId="16"/>
      <queryTableField id="17" name="hasNonFoil" tableColumnId="17"/>
      <queryTableField id="18" name="isFullArt" tableColumnId="18"/>
      <queryTableField id="19" name="isFunny" tableColumnId="19"/>
      <queryTableField id="20" name="isOversized" tableColumnId="20"/>
      <queryTableField id="21" name="isPromo" tableColumnId="21"/>
      <queryTableField id="22" name="isReprint" tableColumnId="22"/>
      <queryTableField id="23" name="isTextless" tableColumnId="23"/>
      <queryTableField id="24" name="keywords" tableColumnId="24"/>
      <queryTableField id="25" name="language" tableColumnId="25"/>
      <queryTableField id="26" name="layout" tableColumnId="26"/>
      <queryTableField id="27" name="manaCost" tableColumnId="27"/>
      <queryTableField id="28" name="name" tableColumnId="28"/>
      <queryTableField id="29" name="number" tableColumnId="29"/>
      <queryTableField id="30" name="orientation" tableColumnId="30"/>
      <queryTableField id="31" name="originalText" tableColumnId="31"/>
      <queryTableField id="33" name="otherFaceIds" tableColumnId="33"/>
      <queryTableField id="34" name="power" tableColumnId="34"/>
      <queryTableField id="81" name="printedType" tableColumnId="51"/>
      <queryTableField id="82" name="producedMana" tableColumnId="52"/>
      <queryTableField id="35" name="promoTypes" tableColumnId="35"/>
      <queryTableField id="36" name="relatedCards" tableColumnId="36"/>
      <queryTableField id="37" name="reverseRelated" tableColumnId="37"/>
      <queryTableField id="38" name="securityStamp" tableColumnId="38"/>
      <queryTableField id="39" name="setCode" tableColumnId="39"/>
      <queryTableField id="40" name="side" tableColumnId="40"/>
      <queryTableField id="41" name="signature" tableColumnId="41"/>
      <queryTableField id="83" name="sourceProducts" tableColumnId="53"/>
      <queryTableField id="42" name="subtypes" tableColumnId="42"/>
      <queryTableField id="43" name="supertypes" tableColumnId="43"/>
      <queryTableField id="44" name="text" tableColumnId="44"/>
      <queryTableField id="45" name="toughness" tableColumnId="45"/>
      <queryTableField id="46" name="type" tableColumnId="46"/>
      <queryTableField id="47" name="types" tableColumnId="47"/>
      <queryTableField id="48" name="uuid" tableColumnId="48"/>
      <queryTableField id="49" name="watermark" tableColumnId="4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 xr16:uid="{098424E4-1443-404C-8585-5866855F8B99}" autoFormatId="16" applyNumberFormats="0" applyBorderFormats="0" applyFontFormats="0" applyPatternFormats="0" applyAlignmentFormats="0" applyWidthHeightFormats="0">
  <queryTableRefresh nextId="83">
    <queryTableFields count="82">
      <queryTableField id="1" name="artist" tableColumnId="1"/>
      <queryTableField id="2" name="artistIds" tableColumnId="2"/>
      <queryTableField id="3" name="asciiName" tableColumnId="3"/>
      <queryTableField id="4" name="attractionLights" tableColumnId="4"/>
      <queryTableField id="5" name="availability" tableColumnId="5"/>
      <queryTableField id="6" name="boosterTypes" tableColumnId="6"/>
      <queryTableField id="7" name="borderColor" tableColumnId="7"/>
      <queryTableField id="8" name="cardParts" tableColumnId="8"/>
      <queryTableField id="9" name="colorIdentity" tableColumnId="9"/>
      <queryTableField id="10" name="colorIndicator" tableColumnId="10"/>
      <queryTableField id="11" name="colors" tableColumnId="11"/>
      <queryTableField id="12" name="defense" tableColumnId="12"/>
      <queryTableField id="13" name="duelDeck" tableColumnId="13"/>
      <queryTableField id="14" name="edhrecRank" tableColumnId="14"/>
      <queryTableField id="15" name="edhrecSaltiness" tableColumnId="15"/>
      <queryTableField id="16" name="faceConvertedManaCost" tableColumnId="16"/>
      <queryTableField id="17" name="faceFlavorName" tableColumnId="17"/>
      <queryTableField id="18" name="faceManaValue" tableColumnId="18"/>
      <queryTableField id="19" name="faceName" tableColumnId="19"/>
      <queryTableField id="20" name="facePrintedName" tableColumnId="20"/>
      <queryTableField id="21" name="finishes" tableColumnId="21"/>
      <queryTableField id="22" name="flavorName" tableColumnId="22"/>
      <queryTableField id="23" name="flavorText" tableColumnId="23"/>
      <queryTableField id="24" name="frameEffects" tableColumnId="24"/>
      <queryTableField id="25" name="frameVersion" tableColumnId="25"/>
      <queryTableField id="26" name="hand" tableColumnId="26"/>
      <queryTableField id="27" name="hasAlternativeDeckLimit" tableColumnId="27"/>
      <queryTableField id="28" name="hasContentWarning" tableColumnId="28"/>
      <queryTableField id="29" name="hasFoil" tableColumnId="29"/>
      <queryTableField id="30" name="hasNonFoil" tableColumnId="30"/>
      <queryTableField id="31" name="isAlternative" tableColumnId="31"/>
      <queryTableField id="32" name="isFullArt" tableColumnId="32"/>
      <queryTableField id="33" name="isFunny" tableColumnId="33"/>
      <queryTableField id="34" name="isGameChanger" tableColumnId="34"/>
      <queryTableField id="35" name="isOnlineOnly" tableColumnId="35"/>
      <queryTableField id="36" name="isOversized" tableColumnId="36"/>
      <queryTableField id="37" name="isPromo" tableColumnId="37"/>
      <queryTableField id="38" name="isRebalanced" tableColumnId="38"/>
      <queryTableField id="39" name="isReprint" tableColumnId="39"/>
      <queryTableField id="40" name="isReserved" tableColumnId="40"/>
      <queryTableField id="41" name="isStorySpotlight" tableColumnId="41"/>
      <queryTableField id="42" name="isTextless" tableColumnId="42"/>
      <queryTableField id="43" name="isTimeshifted" tableColumnId="43"/>
      <queryTableField id="44" name="keywords" tableColumnId="44"/>
      <queryTableField id="45" name="language" tableColumnId="45"/>
      <queryTableField id="46" name="layout" tableColumnId="46"/>
      <queryTableField id="47" name="leadershipSkills" tableColumnId="47"/>
      <queryTableField id="48" name="life" tableColumnId="48"/>
      <queryTableField id="49" name="loyalty" tableColumnId="49"/>
      <queryTableField id="50" name="manaCost" tableColumnId="50"/>
      <queryTableField id="51" name="manaValue" tableColumnId="51"/>
      <queryTableField id="52" name="name" tableColumnId="52"/>
      <queryTableField id="53" name="number" tableColumnId="53"/>
      <queryTableField id="54" name="originalPrintings" tableColumnId="54"/>
      <queryTableField id="55" name="originalReleaseDate" tableColumnId="55"/>
      <queryTableField id="56" name="originalText" tableColumnId="56"/>
      <queryTableField id="57" name="otherFaceIds" tableColumnId="57"/>
      <queryTableField id="58" name="power" tableColumnId="58"/>
      <queryTableField id="59" name="printedName" tableColumnId="59"/>
      <queryTableField id="60" name="printedText" tableColumnId="60"/>
      <queryTableField id="61" name="printedType" tableColumnId="61"/>
      <queryTableField id="62" name="printings" tableColumnId="62"/>
      <queryTableField id="63" name="producedMana" tableColumnId="63"/>
      <queryTableField id="64" name="promoTypes" tableColumnId="64"/>
      <queryTableField id="65" name="rarity" tableColumnId="65"/>
      <queryTableField id="66" name="rebalancedPrintings" tableColumnId="66"/>
      <queryTableField id="67" name="relatedCards" tableColumnId="67"/>
      <queryTableField id="68" name="securityStamp" tableColumnId="68"/>
      <queryTableField id="69" name="setCode" tableColumnId="69"/>
      <queryTableField id="70" name="side" tableColumnId="70"/>
      <queryTableField id="71" name="signature" tableColumnId="71"/>
      <queryTableField id="72" name="sourceProducts" tableColumnId="72"/>
      <queryTableField id="73" name="subsets" tableColumnId="73"/>
      <queryTableField id="74" name="subtypes" tableColumnId="74"/>
      <queryTableField id="75" name="supertypes" tableColumnId="75"/>
      <queryTableField id="76" name="text" tableColumnId="76"/>
      <queryTableField id="77" name="toughness" tableColumnId="77"/>
      <queryTableField id="78" name="type" tableColumnId="78"/>
      <queryTableField id="79" name="types" tableColumnId="79"/>
      <queryTableField id="80" name="uuid" tableColumnId="80"/>
      <queryTableField id="81" name="variations" tableColumnId="81"/>
      <queryTableField id="82" name="watermark" tableColumnId="8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E93FCECD-0EAB-4D45-B45B-BAC4D622898B}" autoFormatId="16" applyNumberFormats="0" applyBorderFormats="0" applyFontFormats="0" applyPatternFormats="0" applyAlignmentFormats="0" applyWidthHeightFormats="0">
  <queryTableRefresh nextId="249">
    <queryTableFields count="82">
      <queryTableField id="157" name="artist" tableColumnId="79"/>
      <queryTableField id="158" name="artistIds" tableColumnId="80"/>
      <queryTableField id="159" name="asciiName" tableColumnId="81"/>
      <queryTableField id="160" name="attractionLights" tableColumnId="82"/>
      <queryTableField id="161" name="availability" tableColumnId="83"/>
      <queryTableField id="162" name="boosterTypes" tableColumnId="84"/>
      <queryTableField id="163" name="borderColor" tableColumnId="85"/>
      <queryTableField id="164" name="cardParts" tableColumnId="86"/>
      <queryTableField id="165" name="colorIdentity" tableColumnId="87"/>
      <queryTableField id="166" name="colorIndicator" tableColumnId="88"/>
      <queryTableField id="167" name="colors" tableColumnId="89"/>
      <queryTableField id="168" name="defense" tableColumnId="90"/>
      <queryTableField id="169" name="duelDeck" tableColumnId="91"/>
      <queryTableField id="170" name="edhrecRank" tableColumnId="92"/>
      <queryTableField id="171" name="edhrecSaltiness" tableColumnId="93"/>
      <queryTableField id="172" name="faceConvertedManaCost" tableColumnId="94"/>
      <queryTableField id="173" name="faceFlavorName" tableColumnId="95"/>
      <queryTableField id="174" name="faceManaValue" tableColumnId="96"/>
      <queryTableField id="175" name="faceName" tableColumnId="97"/>
      <queryTableField id="243" name="facePrintedName" tableColumnId="5"/>
      <queryTableField id="176" name="finishes" tableColumnId="98"/>
      <queryTableField id="177" name="flavorName" tableColumnId="99"/>
      <queryTableField id="178" name="flavorText" tableColumnId="100"/>
      <queryTableField id="179" name="frameEffects" tableColumnId="101"/>
      <queryTableField id="180" name="frameVersion" tableColumnId="102"/>
      <queryTableField id="181" name="hand" tableColumnId="103"/>
      <queryTableField id="182" name="hasAlternativeDeckLimit" tableColumnId="104"/>
      <queryTableField id="183" name="hasContentWarning" tableColumnId="105"/>
      <queryTableField id="184" name="hasFoil" tableColumnId="106"/>
      <queryTableField id="185" name="hasNonFoil" tableColumnId="107"/>
      <queryTableField id="186" name="isAlternative" tableColumnId="108"/>
      <queryTableField id="187" name="isFullArt" tableColumnId="109"/>
      <queryTableField id="188" name="isFunny" tableColumnId="110"/>
      <queryTableField id="235" name="isGameChanger" tableColumnId="1"/>
      <queryTableField id="189" name="isOnlineOnly" tableColumnId="111"/>
      <queryTableField id="190" name="isOversized" tableColumnId="112"/>
      <queryTableField id="191" name="isPromo" tableColumnId="113"/>
      <queryTableField id="192" name="isRebalanced" tableColumnId="114"/>
      <queryTableField id="193" name="isReprint" tableColumnId="115"/>
      <queryTableField id="194" name="isReserved" tableColumnId="116"/>
      <queryTableField id="196" name="isStorySpotlight" tableColumnId="118"/>
      <queryTableField id="197" name="isTextless" tableColumnId="119"/>
      <queryTableField id="198" name="isTimeshifted" tableColumnId="120"/>
      <queryTableField id="199" name="keywords" tableColumnId="121"/>
      <queryTableField id="200" name="language" tableColumnId="122"/>
      <queryTableField id="201" name="layout" tableColumnId="123"/>
      <queryTableField id="202" name="leadershipSkills" tableColumnId="124"/>
      <queryTableField id="203" name="life" tableColumnId="125"/>
      <queryTableField id="204" name="loyalty" tableColumnId="126"/>
      <queryTableField id="205" name="manaCost" tableColumnId="127"/>
      <queryTableField id="206" name="manaValue" tableColumnId="128"/>
      <queryTableField id="207" name="name" tableColumnId="129"/>
      <queryTableField id="208" name="number" tableColumnId="130"/>
      <queryTableField id="209" name="originalPrintings" tableColumnId="131"/>
      <queryTableField id="210" name="originalReleaseDate" tableColumnId="132"/>
      <queryTableField id="211" name="originalText" tableColumnId="133"/>
      <queryTableField id="213" name="otherFaceIds" tableColumnId="135"/>
      <queryTableField id="214" name="power" tableColumnId="136"/>
      <queryTableField id="236" name="printedName" tableColumnId="2"/>
      <queryTableField id="237" name="printedText" tableColumnId="3"/>
      <queryTableField id="238" name="printedType" tableColumnId="4"/>
      <queryTableField id="215" name="printings" tableColumnId="137"/>
      <queryTableField id="244" name="producedMana" tableColumnId="6"/>
      <queryTableField id="216" name="promoTypes" tableColumnId="138"/>
      <queryTableField id="217" name="rarity" tableColumnId="139"/>
      <queryTableField id="218" name="rebalancedPrintings" tableColumnId="140"/>
      <queryTableField id="219" name="relatedCards" tableColumnId="141"/>
      <queryTableField id="220" name="securityStamp" tableColumnId="142"/>
      <queryTableField id="221" name="setCode" tableColumnId="143"/>
      <queryTableField id="222" name="side" tableColumnId="144"/>
      <queryTableField id="223" name="signature" tableColumnId="145"/>
      <queryTableField id="224" name="sourceProducts" tableColumnId="146"/>
      <queryTableField id="225" name="subsets" tableColumnId="147"/>
      <queryTableField id="226" name="subtypes" tableColumnId="148"/>
      <queryTableField id="227" name="supertypes" tableColumnId="149"/>
      <queryTableField id="228" name="text" tableColumnId="150"/>
      <queryTableField id="229" name="toughness" tableColumnId="151"/>
      <queryTableField id="230" name="type" tableColumnId="152"/>
      <queryTableField id="231" name="types" tableColumnId="153"/>
      <queryTableField id="232" name="uuid" tableColumnId="154"/>
      <queryTableField id="245" name="variations" tableColumnId="7"/>
      <queryTableField id="246" name="watermark" tableColumnId="8"/>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E68243-92F7-4315-8CD9-553D01FEA78C}" name="AllCardsViz" displayName="AllCardsViz" ref="A1:G78" totalsRowShown="0">
  <autoFilter ref="A1:G78" xr:uid="{34E68243-92F7-4315-8CD9-553D01FEA78C}"/>
  <sortState xmlns:xlrd2="http://schemas.microsoft.com/office/spreadsheetml/2017/richdata2" ref="A2:F78">
    <sortCondition ref="B1:B78"/>
  </sortState>
  <tableColumns count="7">
    <tableColumn id="1" xr3:uid="{D874ACCE-E71D-44C2-896A-0FCD5525A1F7}" name="uuid" dataDxfId="208">
      <calculatedColumnFormula array="1">IFERROR(INDEX(_xlfn.VSTACK(cards_old[uuid],tokens[uuid]), ROW()-ROW($A$1)),"")</calculatedColumnFormula>
    </tableColumn>
    <tableColumn id="2" xr3:uid="{3637D0FD-EFA9-4458-BFC9-D22D62072579}" name="Name" dataDxfId="207">
      <calculatedColumnFormula>IFERROR(_xlfn.IFNA(INDEX(cards_old[],MATCH(AllCardsViz[[#This Row],[uuid]],cards_old[uuid],0),52),INDEX(tokens[],MATCH(AllCardsViz[[#This Row],[uuid]],tokens[uuid],0),28)),"")</calculatedColumnFormula>
    </tableColumn>
    <tableColumn id="3" xr3:uid="{C22D6FB1-C75A-4465-AEB6-7FCFFBC05E67}" name="Rarity" dataDxfId="206">
      <calculatedColumnFormula>IFERROR(_xlfn.IFNA(INDEX(cards_old[],MATCH(AllCardsViz[[#This Row],[uuid]],cards_old[uuid],0),64),""),"")</calculatedColumnFormula>
    </tableColumn>
    <tableColumn id="4" xr3:uid="{D01260F6-5F67-4745-BA62-3D1455486838}" name="Setcode" dataDxfId="205">
      <calculatedColumnFormula>IFERROR(_xlfn.IFNA(INDEX(cards_old[],MATCH(AllCardsViz[[#This Row],[uuid]],cards_old[uuid],0),68),INDEX(tokens[],MATCH(AllCardsViz[[#This Row],[uuid]],tokens[uuid],0),39)),"")</calculatedColumnFormula>
    </tableColumn>
    <tableColumn id="5" xr3:uid="{7A2F5F33-97AC-440B-9321-969380360320}" name="Side" dataDxfId="204">
      <calculatedColumnFormula>IFERROR(_xlfn.IFNA(INDEX(cards_old[],MATCH(AllCardsViz[[#This Row],[uuid]],cards_old[uuid],0),69),INDEX(tokens[],MATCH(AllCardsViz[[#This Row],[uuid]],tokens[uuid],0),40)),"")</calculatedColumnFormula>
    </tableColumn>
    <tableColumn id="6" xr3:uid="{B8E90193-3CDD-4863-92EA-93E1E6FACF88}" name="Keywords" dataDxfId="203">
      <calculatedColumnFormula>IFERROR(_xlfn.IFNA(INDEX(cards_old[],MATCH(AllCardsViz[[#This Row],[uuid]],cards_old[uuid],0),44),INDEX(tokens[],MATCH(AllCardsViz[[#This Row],[uuid]],tokens[uuid],0),24)),"")</calculatedColumnFormula>
    </tableColumn>
    <tableColumn id="7" xr3:uid="{0997C9D2-AFEC-4B37-8827-325414B5B292}" name="SetName" dataDxfId="202">
      <calculatedColumnFormula>IFERROR(INDEX(sets[],MATCH(AllCardsViz[[#This Row],[Setcode]],sets[code],0),16),INDEX(sets[],MATCH(AllCardsViz[[#This Row],[Setcode]],sets[tokenSetCode],0),16))</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DA6500-7D57-4E10-9B66-DD6AB67080AD}" name="sets" displayName="sets" ref="A1:T47" tableType="queryTable" totalsRowShown="0">
  <autoFilter ref="A1:T47" xr:uid="{D4DA6500-7D57-4E10-9B66-DD6AB67080AD}"/>
  <tableColumns count="20">
    <tableColumn id="4" xr3:uid="{C29BD973-1499-45FA-872A-AAD8CEFF6948}" uniqueName="4" name="code" queryTableFieldId="4" dataDxfId="153"/>
    <tableColumn id="16" xr3:uid="{16FED02B-E90F-406B-ADD8-05CE036568F4}" uniqueName="16" name="name" queryTableFieldId="16" dataDxfId="152"/>
    <tableColumn id="15" xr3:uid="{A17D01D8-1951-447B-89F4-477272864256}" uniqueName="15" name="mtgoCode" queryTableFieldId="15" dataDxfId="151"/>
    <tableColumn id="2" xr3:uid="{22952BF9-72EE-4560-B681-941A554A8463}" uniqueName="2" name="block" queryTableFieldId="2" dataDxfId="150"/>
    <tableColumn id="20" xr3:uid="{B1F7DA75-A64B-4D1A-BE48-5CA2A5C506CB}" uniqueName="20" name="tokenSetCode" queryTableFieldId="20" dataDxfId="149"/>
    <tableColumn id="18" xr3:uid="{C67C482A-3654-4CA0-B2A6-6659D0F0C00F}" uniqueName="18" name="releaseDate" queryTableFieldId="18" dataDxfId="143"/>
    <tableColumn id="22" xr3:uid="{547CD8F3-D2B8-491F-80B8-49449127AD84}" uniqueName="22" name="type" queryTableFieldId="22" dataDxfId="148"/>
    <tableColumn id="8" xr3:uid="{996AEDBE-876D-4089-B554-07DC9A921D00}" uniqueName="8" name="isOnlineOnly" queryTableFieldId="8"/>
    <tableColumn id="5" xr3:uid="{9D26E69C-A843-427F-A095-383959306F85}" uniqueName="5" name="isFoilOnly" queryTableFieldId="5"/>
    <tableColumn id="19" xr3:uid="{30643FD5-18FB-497B-BB8D-5F4C93CC333E}" uniqueName="19" name="tcgplayerGroupId" queryTableFieldId="19"/>
    <tableColumn id="7" xr3:uid="{9B4B288A-7072-4F9C-84F4-EF629F85B910}" uniqueName="7" name="isNonFoilOnly" queryTableFieldId="7"/>
    <tableColumn id="17" xr3:uid="{42FBF08F-9E7D-4A96-966E-067ABFB632B5}" uniqueName="17" name="parentCode" queryTableFieldId="17" dataDxfId="147"/>
    <tableColumn id="21" xr3:uid="{64F117EF-7F0C-4582-9EAB-5E0D13FCD4FD}" uniqueName="21" name="totalSetSize" queryTableFieldId="21"/>
    <tableColumn id="1" xr3:uid="{4CE4A2FB-359D-4F10-B207-4C301E225425}" uniqueName="1" name="baseSetSize" queryTableFieldId="1"/>
    <tableColumn id="10" xr3:uid="{EB47B4D2-864B-4D34-875D-81DF408DB28D}" uniqueName="10" name="keyruneCode" queryTableFieldId="10" dataDxfId="146"/>
    <tableColumn id="12" xr3:uid="{10FCC983-373D-40E7-ADCD-CA76F6B66405}" uniqueName="12" name="mcmId" queryTableFieldId="12"/>
    <tableColumn id="14" xr3:uid="{44E1FE09-FFA4-4472-A97B-D3FE91720C13}" uniqueName="14" name="mcmName" queryTableFieldId="14" dataDxfId="145"/>
    <tableColumn id="13" xr3:uid="{3DD73EAB-BBEA-4D0A-B6D2-D381F4553694}" uniqueName="13" name="mcmIdExtras" queryTableFieldId="13"/>
    <tableColumn id="6" xr3:uid="{0E5981B6-8CC7-4680-9F76-1A5A9420773F}" uniqueName="6" name="isForeignOnly" queryTableFieldId="6" dataDxfId="201"/>
    <tableColumn id="9" xr3:uid="{701160A9-C80E-4C88-B5D6-B38ED86B9AF5}" uniqueName="9" name="isPartialPreview" queryTableFieldId="9" dataDxfId="20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090A01-EB2B-477B-91E5-78F30EDA3DC0}" name="MyCollectionViz" displayName="MyCollectionViz" ref="A1:G23" totalsRowShown="0">
  <autoFilter ref="A1:G23" xr:uid="{5F090A01-EB2B-477B-91E5-78F30EDA3DC0}"/>
  <tableColumns count="7">
    <tableColumn id="1" xr3:uid="{5AA2145E-1606-4D7D-ACF8-382AE417D1EE}" name="uuid" dataDxfId="199">
      <calculatedColumnFormula>myCollection[[#This Row],[uuid]]</calculatedColumnFormula>
    </tableColumn>
    <tableColumn id="2" xr3:uid="{0A36ED79-41DA-4933-B893-CA7152913021}" name="name" dataDxfId="144">
      <calculatedColumnFormula>_xlfn.IFNA(INDEX(cards_old[],MATCH(MyCollectionViz[[#This Row],[uuid]],cards_old[uuid],0),52),INDEX(tokens[],MATCH(MyCollectionViz[[#This Row],[uuid]],tokens[uuid],0),30))</calculatedColumnFormula>
    </tableColumn>
    <tableColumn id="3" xr3:uid="{D175F054-B06E-4D5E-A2CC-1FF5C2DB0A3D}" name="cardsOwned"/>
    <tableColumn id="4" xr3:uid="{A07BAC82-BD20-4655-BE67-BABCF02B85AE}" name="cardsForTrade" dataDxfId="198">
      <calculatedColumnFormula>INDEX(myCollection[],MATCH(MyCollectionViz[[#This Row],[uuid]],myCollection[uuid],0),4)</calculatedColumnFormula>
    </tableColumn>
    <tableColumn id="5" xr3:uid="{A745DA14-952E-404B-B34F-72F527477D94}" name="condition" dataDxfId="197">
      <calculatedColumnFormula>INDEX(myCollection[],MATCH(MyCollectionViz[[#This Row],[uuid]],myCollection[uuid],0),5)</calculatedColumnFormula>
    </tableColumn>
    <tableColumn id="6" xr3:uid="{E2715A45-2EE9-4AF3-8DAA-32CF1C7028DC}" name="language" dataDxfId="196">
      <calculatedColumnFormula>INDEX(myCollection[],MATCH(MyCollectionViz[[#This Row],[uuid]],myCollection[uuid],0),6)</calculatedColumnFormula>
    </tableColumn>
    <tableColumn id="7" xr3:uid="{A6133949-1219-4B62-93DD-77F74A917FF8}" name="finish" dataDxfId="195">
      <calculatedColumnFormula>INDEX(myCollection[],MATCH(MyCollectionViz[[#This Row],[uuid]],myCollection[uuid],0),7)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62FC6-48D8-4EAC-A719-67F6C9D052F3}" name="myCollection" displayName="myCollection" ref="A1:G23" tableType="queryTable" totalsRowShown="0">
  <autoFilter ref="A1:G23" xr:uid="{D0162FC6-48D8-4EAC-A719-67F6C9D052F3}"/>
  <tableColumns count="7">
    <tableColumn id="1" xr3:uid="{1194634A-69C1-47D6-AEDF-E6F5752F2502}" uniqueName="1" name="id" queryTableFieldId="1"/>
    <tableColumn id="2" xr3:uid="{3779148D-F568-4D28-AF26-BD4ED9881535}" uniqueName="2" name="uuid" queryTableFieldId="2" dataDxfId="194"/>
    <tableColumn id="3" xr3:uid="{D4F32A86-49C2-4BEF-8206-A9435B95C91B}" uniqueName="3" name="cardsOwned" queryTableFieldId="3"/>
    <tableColumn id="4" xr3:uid="{D1D2C1AF-9D9C-4996-8472-89734A3332AB}" uniqueName="4" name="cardsForTrade" queryTableFieldId="4"/>
    <tableColumn id="5" xr3:uid="{0852F39D-4757-44F9-BFB0-FB3A6C60AC79}" uniqueName="5" name="condition" queryTableFieldId="5" dataDxfId="193"/>
    <tableColumn id="6" xr3:uid="{3A0CBC4A-5A4C-4081-ADDF-3AD6FC495271}" uniqueName="6" name="language" queryTableFieldId="6" dataDxfId="192"/>
    <tableColumn id="7" xr3:uid="{8CE2EB5F-A72C-4216-A87B-3123B19551E1}" uniqueName="7" name="finish" queryTableFieldId="7" dataDxfId="19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E89A8D-DE6A-4D64-A0D1-758DAA8A7A6B}" name="tokens" displayName="tokens" ref="A1:BA19" tableType="queryTable" totalsRowShown="0">
  <autoFilter ref="A1:BA19" xr:uid="{46E89A8D-DE6A-4D64-A0D1-758DAA8A7A6B}"/>
  <sortState xmlns:xlrd2="http://schemas.microsoft.com/office/spreadsheetml/2017/richdata2" ref="A2:BA19">
    <sortCondition ref="AX1:AX19"/>
  </sortState>
  <tableColumns count="53">
    <tableColumn id="1" xr3:uid="{9FDBE1BB-5716-4308-8031-E654F66121F3}" uniqueName="1" name="artist" queryTableFieldId="1" dataDxfId="190"/>
    <tableColumn id="2" xr3:uid="{47DA5F3E-AEBB-4260-BB13-1862BDFFBC9B}" uniqueName="2" name="artistIds" queryTableFieldId="2" dataDxfId="189"/>
    <tableColumn id="3" xr3:uid="{D883DD7C-9C07-4B23-A19B-918A7269928A}" uniqueName="3" name="asciiName" queryTableFieldId="3" dataDxfId="188"/>
    <tableColumn id="32" xr3:uid="{CDEB8072-74C5-47A3-A6D0-2EBCC263DB03}" uniqueName="32" name="attractionLights" queryTableFieldId="79" dataDxfId="142"/>
    <tableColumn id="4" xr3:uid="{4542CA81-B210-40B3-9061-348025E9DDF5}" uniqueName="4" name="availability" queryTableFieldId="4" dataDxfId="187"/>
    <tableColumn id="5" xr3:uid="{CBEC3D83-3F08-424D-90D0-7F20DA89E0E7}" uniqueName="5" name="boosterTypes" queryTableFieldId="5" dataDxfId="186"/>
    <tableColumn id="6" xr3:uid="{90AC7B9E-0424-4E23-86AA-CD33DE678F97}" uniqueName="6" name="borderColor" queryTableFieldId="6" dataDxfId="185"/>
    <tableColumn id="7" xr3:uid="{7EA65532-FE10-4A94-84A6-1D723AFEC0BF}" uniqueName="7" name="colorIdentity" queryTableFieldId="7" dataDxfId="184"/>
    <tableColumn id="50" xr3:uid="{ECFB7CCF-540A-406E-9126-D6BC6A66571D}" uniqueName="50" name="colorIndicator" queryTableFieldId="80" dataDxfId="141"/>
    <tableColumn id="8" xr3:uid="{02D6D49B-68F3-45E0-B272-08D1E05793C5}" uniqueName="8" name="colors" queryTableFieldId="8" dataDxfId="183"/>
    <tableColumn id="9" xr3:uid="{16AC1D14-99D9-42F8-8AB6-D81CE8C8E208}" uniqueName="9" name="edhrecSaltiness" queryTableFieldId="9"/>
    <tableColumn id="10" xr3:uid="{2E017FE1-290B-4C2B-83F2-FC4867D1FD49}" uniqueName="10" name="faceName" queryTableFieldId="10" dataDxfId="182"/>
    <tableColumn id="11" xr3:uid="{01B29614-D259-401B-85BF-A15B429E1C84}" uniqueName="11" name="finishes" queryTableFieldId="11" dataDxfId="181"/>
    <tableColumn id="12" xr3:uid="{5EB36437-7DD1-4108-9003-7A960C938956}" uniqueName="12" name="flavorName" queryTableFieldId="12" dataDxfId="180"/>
    <tableColumn id="13" xr3:uid="{780CD95E-DD47-45FF-8F81-F5E8E3C34279}" uniqueName="13" name="flavorText" queryTableFieldId="13" dataDxfId="179"/>
    <tableColumn id="14" xr3:uid="{13A31031-155D-40D3-807B-8BCAEC9C75E4}" uniqueName="14" name="frameEffects" queryTableFieldId="14" dataDxfId="178"/>
    <tableColumn id="15" xr3:uid="{1C3BA062-E6DF-4944-9EC7-483C2037D46E}" uniqueName="15" name="frameVersion" queryTableFieldId="15"/>
    <tableColumn id="16" xr3:uid="{808EBA24-4B1D-48B2-B5F1-39C50160BA7C}" uniqueName="16" name="hasFoil" queryTableFieldId="16"/>
    <tableColumn id="17" xr3:uid="{D79AA3E6-BC78-4FFD-99BB-18F0C53EB92B}" uniqueName="17" name="hasNonFoil" queryTableFieldId="17"/>
    <tableColumn id="18" xr3:uid="{0A2BF770-1408-4748-8194-6E256A5C4D07}" uniqueName="18" name="isFullArt" queryTableFieldId="18"/>
    <tableColumn id="19" xr3:uid="{4292E15B-6AB3-473B-9470-68DBAFC1F6FE}" uniqueName="19" name="isFunny" queryTableFieldId="19" dataDxfId="177"/>
    <tableColumn id="20" xr3:uid="{6B980ED7-BB18-43E8-BA76-FD4455FCA2CA}" uniqueName="20" name="isOversized" queryTableFieldId="20" dataDxfId="140"/>
    <tableColumn id="21" xr3:uid="{F71DB861-96BA-485A-AB77-14D3F9A56953}" uniqueName="21" name="isPromo" queryTableFieldId="21" dataDxfId="139"/>
    <tableColumn id="22" xr3:uid="{D92B34A5-6742-4DB2-A08E-FAB751A93EC3}" uniqueName="22" name="isReprint" queryTableFieldId="22"/>
    <tableColumn id="23" xr3:uid="{9B721F9C-A24F-4764-9520-CB33299DC315}" uniqueName="23" name="isTextless" queryTableFieldId="23" dataDxfId="138"/>
    <tableColumn id="24" xr3:uid="{2DC9AF4C-D805-46E4-B354-0902F26BBD83}" uniqueName="24" name="keywords" queryTableFieldId="24" dataDxfId="176"/>
    <tableColumn id="25" xr3:uid="{D62B4B65-9725-4BF6-9B45-4D3A22A893B3}" uniqueName="25" name="language" queryTableFieldId="25" dataDxfId="175"/>
    <tableColumn id="26" xr3:uid="{E81E2D68-FE2C-4159-AF0E-CAA90B2F3848}" uniqueName="26" name="layout" queryTableFieldId="26" dataDxfId="174"/>
    <tableColumn id="27" xr3:uid="{A5803AB2-267A-4225-B84B-55AD6DC8CCCC}" uniqueName="27" name="manaCost" queryTableFieldId="27" dataDxfId="173"/>
    <tableColumn id="28" xr3:uid="{86E52E9F-3EFE-4F3C-8045-262C7E13CA2F}" uniqueName="28" name="name" queryTableFieldId="28" dataDxfId="172"/>
    <tableColumn id="29" xr3:uid="{46BFA774-C0D3-48E3-B727-6B139E8A4A6F}" uniqueName="29" name="number" queryTableFieldId="29" dataDxfId="171"/>
    <tableColumn id="30" xr3:uid="{942B9AB1-7E5A-4EEC-9D76-34FA65A329F7}" uniqueName="30" name="orientation" queryTableFieldId="30" dataDxfId="170"/>
    <tableColumn id="31" xr3:uid="{E1373947-4D6E-4354-8F6A-04E771D97348}" uniqueName="31" name="originalText" queryTableFieldId="31" dataDxfId="169"/>
    <tableColumn id="33" xr3:uid="{BC0AE42D-E463-4584-B873-16A82993E3A3}" uniqueName="33" name="otherFaceIds" queryTableFieldId="33" dataDxfId="168"/>
    <tableColumn id="34" xr3:uid="{704F0E48-0A7E-4709-9AA7-56955B978DF6}" uniqueName="34" name="power" queryTableFieldId="34"/>
    <tableColumn id="51" xr3:uid="{22CF256F-857B-4A0E-9A95-17EE4CE33E8B}" uniqueName="51" name="printedType" queryTableFieldId="81" dataDxfId="137"/>
    <tableColumn id="52" xr3:uid="{54CB9093-9C1B-4556-B08B-DD3232264076}" uniqueName="52" name="producedMana" queryTableFieldId="82" dataDxfId="136"/>
    <tableColumn id="35" xr3:uid="{0785F994-2B56-40D5-862A-E5FE0BA11FD1}" uniqueName="35" name="promoTypes" queryTableFieldId="35" dataDxfId="167"/>
    <tableColumn id="36" xr3:uid="{826B9AF0-E568-491F-AA4B-D8A8A84E9B30}" uniqueName="36" name="relatedCards" queryTableFieldId="36" dataDxfId="166"/>
    <tableColumn id="37" xr3:uid="{DCC99F1E-5972-4EF0-91DC-73AAD4E2B005}" uniqueName="37" name="reverseRelated" queryTableFieldId="37" dataDxfId="165"/>
    <tableColumn id="38" xr3:uid="{07262835-759D-4E8B-A5D7-89EB9FFA6856}" uniqueName="38" name="securityStamp" queryTableFieldId="38" dataDxfId="164"/>
    <tableColumn id="39" xr3:uid="{79922C86-2891-4155-8329-EEFD7356B915}" uniqueName="39" name="setCode" queryTableFieldId="39" dataDxfId="163"/>
    <tableColumn id="40" xr3:uid="{081E02CD-2A2F-4FFF-8F98-835F6C0022FC}" uniqueName="40" name="side" queryTableFieldId="40" dataDxfId="162"/>
    <tableColumn id="41" xr3:uid="{B634F464-1356-4C2A-A559-FF3B95A9FA68}" uniqueName="41" name="signature" queryTableFieldId="41" dataDxfId="161"/>
    <tableColumn id="53" xr3:uid="{EF48DEB5-BEEF-4BD6-A055-D09E743AC399}" uniqueName="53" name="sourceProducts" queryTableFieldId="83" dataDxfId="135"/>
    <tableColumn id="42" xr3:uid="{EF813C5E-D8A2-4B30-80A8-C6628D326D3D}" uniqueName="42" name="subtypes" queryTableFieldId="42" dataDxfId="160"/>
    <tableColumn id="43" xr3:uid="{1338E26F-B73F-4D61-889B-67EA33E9D1C8}" uniqueName="43" name="supertypes" queryTableFieldId="43" dataDxfId="159"/>
    <tableColumn id="44" xr3:uid="{A54F55DD-7D5B-4E51-A2C8-F182630C5DD4}" uniqueName="44" name="text" queryTableFieldId="44" dataDxfId="158"/>
    <tableColumn id="45" xr3:uid="{9496B4A1-737D-474A-84FC-042C801F81A1}" uniqueName="45" name="toughness" queryTableFieldId="45"/>
    <tableColumn id="46" xr3:uid="{ED27E85F-6E01-4D15-80B4-19F77C131197}" uniqueName="46" name="type" queryTableFieldId="46" dataDxfId="157"/>
    <tableColumn id="47" xr3:uid="{66C15199-88CD-4AF4-81EE-E94A276D1E4E}" uniqueName="47" name="types" queryTableFieldId="47" dataDxfId="156"/>
    <tableColumn id="48" xr3:uid="{DA768EE6-21F5-45FD-A324-D8E320C62F2A}" uniqueName="48" name="uuid" queryTableFieldId="48" dataDxfId="155"/>
    <tableColumn id="49" xr3:uid="{0DC3487E-F9A5-4BD7-BC3C-57D9A0B2C85E}" uniqueName="49" name="watermark" queryTableFieldId="49" dataDxfId="15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0986496-2728-4FAA-B73B-DF2E92142018}" name="cards" displayName="cards" ref="A1:CD47" tableType="queryTable" totalsRowShown="0">
  <autoFilter ref="A1:CD47" xr:uid="{A0986496-2728-4FAA-B73B-DF2E92142018}"/>
  <tableColumns count="82">
    <tableColumn id="1" xr3:uid="{0E018CF9-1D0E-412E-A7F0-CD6C0E3EA342}" uniqueName="1" name="artist" queryTableFieldId="1" dataDxfId="134"/>
    <tableColumn id="2" xr3:uid="{45D11F96-8D7E-4E64-B816-76BD22040BF9}" uniqueName="2" name="artistIds" queryTableFieldId="2" dataDxfId="133"/>
    <tableColumn id="3" xr3:uid="{2FAA9FBA-C9D0-44EA-AB68-B08C4877507F}" uniqueName="3" name="asciiName" queryTableFieldId="3" dataDxfId="132"/>
    <tableColumn id="4" xr3:uid="{5D2D56A7-B472-418F-97B6-9308E86CE306}" uniqueName="4" name="attractionLights" queryTableFieldId="4" dataDxfId="131"/>
    <tableColumn id="5" xr3:uid="{7756CD34-A455-4A11-919D-42550C220E00}" uniqueName="5" name="availability" queryTableFieldId="5" dataDxfId="130"/>
    <tableColumn id="6" xr3:uid="{53A69662-E891-4532-BF8F-F7947F148B0F}" uniqueName="6" name="boosterTypes" queryTableFieldId="6" dataDxfId="129"/>
    <tableColumn id="7" xr3:uid="{CA4F5A5C-4BFA-436E-83C2-EF2A9E914917}" uniqueName="7" name="borderColor" queryTableFieldId="7" dataDxfId="128"/>
    <tableColumn id="8" xr3:uid="{881DC3F0-F0DC-4971-B66A-606D01A7EF76}" uniqueName="8" name="cardParts" queryTableFieldId="8" dataDxfId="127"/>
    <tableColumn id="9" xr3:uid="{6AE93A2A-EBB0-4D4C-9688-FE43555F6D5B}" uniqueName="9" name="colorIdentity" queryTableFieldId="9" dataDxfId="126"/>
    <tableColumn id="10" xr3:uid="{DFB9C93D-4A1A-4B39-9C7D-3E3FC61D43C9}" uniqueName="10" name="colorIndicator" queryTableFieldId="10" dataDxfId="125"/>
    <tableColumn id="11" xr3:uid="{E0E09DED-0A4E-4042-B00C-B3FF8BD26FE3}" uniqueName="11" name="colors" queryTableFieldId="11" dataDxfId="124"/>
    <tableColumn id="12" xr3:uid="{43A81861-09B8-4554-9D2E-C83ED3E44F01}" uniqueName="12" name="defense" queryTableFieldId="12" dataDxfId="123"/>
    <tableColumn id="13" xr3:uid="{75DFF2E9-33BA-4FCC-8BB5-1A8B5FC0EFEF}" uniqueName="13" name="duelDeck" queryTableFieldId="13" dataDxfId="122"/>
    <tableColumn id="14" xr3:uid="{7AB2991A-2E00-44E2-92E9-E04405AF1451}" uniqueName="14" name="edhrecRank" queryTableFieldId="14"/>
    <tableColumn id="15" xr3:uid="{6A2DE117-3280-4C9A-B86C-2A1C6E17B414}" uniqueName="15" name="edhrecSaltiness" queryTableFieldId="15"/>
    <tableColumn id="16" xr3:uid="{4B49B321-F2CA-4C57-95CF-DEF6361FB3A2}" uniqueName="16" name="faceConvertedManaCost" queryTableFieldId="16"/>
    <tableColumn id="17" xr3:uid="{2617FB21-B042-4167-B895-34D4B8DC3D37}" uniqueName="17" name="faceFlavorName" queryTableFieldId="17" dataDxfId="121"/>
    <tableColumn id="18" xr3:uid="{AC7D32D1-FB54-4B82-A039-F43525B84DEE}" uniqueName="18" name="faceManaValue" queryTableFieldId="18"/>
    <tableColumn id="19" xr3:uid="{EFAECC32-BCCB-46D8-9CAD-F6E17ED52F6A}" uniqueName="19" name="faceName" queryTableFieldId="19" dataDxfId="120"/>
    <tableColumn id="20" xr3:uid="{BD969AC4-35D2-4E83-9441-C16B57E57368}" uniqueName="20" name="facePrintedName" queryTableFieldId="20" dataDxfId="119"/>
    <tableColumn id="21" xr3:uid="{8044E2DC-A29B-4508-9212-8B7E661E4BE3}" uniqueName="21" name="finishes" queryTableFieldId="21" dataDxfId="118"/>
    <tableColumn id="22" xr3:uid="{3927DD2E-AEE2-4683-8BEC-D5EC68F294A5}" uniqueName="22" name="flavorName" queryTableFieldId="22" dataDxfId="117"/>
    <tableColumn id="23" xr3:uid="{AD84A17B-8111-4C1E-B801-00208646CF25}" uniqueName="23" name="flavorText" queryTableFieldId="23" dataDxfId="116"/>
    <tableColumn id="24" xr3:uid="{2D8A0AA6-4D80-498D-8834-65E249C3949B}" uniqueName="24" name="frameEffects" queryTableFieldId="24" dataDxfId="115"/>
    <tableColumn id="25" xr3:uid="{E8963F87-A11F-464E-99D9-DDFBE8AE9656}" uniqueName="25" name="frameVersion" queryTableFieldId="25"/>
    <tableColumn id="26" xr3:uid="{633B04AD-EE98-43BF-8F66-9ED0584554B6}" uniqueName="26" name="hand" queryTableFieldId="26"/>
    <tableColumn id="27" xr3:uid="{1E1740DB-3468-4074-85F0-A4EA78AE9E99}" uniqueName="27" name="hasAlternativeDeckLimit" queryTableFieldId="27" dataDxfId="114"/>
    <tableColumn id="28" xr3:uid="{F752CD3F-86A1-4150-A86A-F458F133B5B3}" uniqueName="28" name="hasContentWarning" queryTableFieldId="28" dataDxfId="113"/>
    <tableColumn id="29" xr3:uid="{4618B9EE-ECAE-4E35-847D-B415B5DB43B2}" uniqueName="29" name="hasFoil" queryTableFieldId="29"/>
    <tableColumn id="30" xr3:uid="{5D9929A3-9C96-44CA-8E70-D9305009655C}" uniqueName="30" name="hasNonFoil" queryTableFieldId="30"/>
    <tableColumn id="31" xr3:uid="{3CA84199-F3A1-496A-8640-9F3DA3510636}" uniqueName="31" name="isAlternative" queryTableFieldId="31"/>
    <tableColumn id="32" xr3:uid="{5C7C232F-3C3D-4B30-8977-E9E32F70A433}" uniqueName="32" name="isFullArt" queryTableFieldId="32"/>
    <tableColumn id="33" xr3:uid="{206FDDA8-47A0-4FD1-B5EC-20D3E8A63D47}" uniqueName="33" name="isFunny" queryTableFieldId="33"/>
    <tableColumn id="34" xr3:uid="{03439AC4-CC09-4955-B4C4-822705479DE2}" uniqueName="34" name="isGameChanger" queryTableFieldId="34"/>
    <tableColumn id="35" xr3:uid="{67B46311-1BAF-48A7-957B-472BC4E16237}" uniqueName="35" name="isOnlineOnly" queryTableFieldId="35"/>
    <tableColumn id="36" xr3:uid="{390D9798-9ADE-44B0-AA48-6BC4E25A0DC6}" uniqueName="36" name="isOversized" queryTableFieldId="36"/>
    <tableColumn id="37" xr3:uid="{4B3DC17D-BA8F-48ED-9E39-433E834A184F}" uniqueName="37" name="isPromo" queryTableFieldId="37"/>
    <tableColumn id="38" xr3:uid="{12CE255B-5C20-4A56-963C-3DEA9A942DEA}" uniqueName="38" name="isRebalanced" queryTableFieldId="38"/>
    <tableColumn id="39" xr3:uid="{73ED069B-F69A-4FCD-9747-1BED8AC3FC17}" uniqueName="39" name="isReprint" queryTableFieldId="39"/>
    <tableColumn id="40" xr3:uid="{CFABA48B-53DD-4769-BC2E-4E6DDE196B74}" uniqueName="40" name="isReserved" queryTableFieldId="40"/>
    <tableColumn id="41" xr3:uid="{C261D4C4-C9B1-4CB3-ACF7-F9DE7912DF22}" uniqueName="41" name="isStorySpotlight" queryTableFieldId="41"/>
    <tableColumn id="42" xr3:uid="{6975876B-1AC0-4260-8E6E-F9FC0B204392}" uniqueName="42" name="isTextless" queryTableFieldId="42"/>
    <tableColumn id="43" xr3:uid="{87F11715-520E-4126-88C6-EBF9ED84D1B3}" uniqueName="43" name="isTimeshifted" queryTableFieldId="43"/>
    <tableColumn id="44" xr3:uid="{67E91EF4-ED08-4E1E-A955-3391E16067A8}" uniqueName="44" name="keywords" queryTableFieldId="44" dataDxfId="112"/>
    <tableColumn id="45" xr3:uid="{798FAA1A-E324-4539-B8F6-F6235863F55B}" uniqueName="45" name="language" queryTableFieldId="45" dataDxfId="111"/>
    <tableColumn id="46" xr3:uid="{DE4D51C6-A5A7-49EF-8BF8-5661E5D91670}" uniqueName="46" name="layout" queryTableFieldId="46" dataDxfId="110"/>
    <tableColumn id="47" xr3:uid="{631ACA9A-90F8-462B-B6B6-D0830781CEBE}" uniqueName="47" name="leadershipSkills" queryTableFieldId="47" dataDxfId="109"/>
    <tableColumn id="48" xr3:uid="{E43816C7-517D-45F0-911F-77AD58215C4F}" uniqueName="48" name="life" queryTableFieldId="48" dataDxfId="108"/>
    <tableColumn id="49" xr3:uid="{BA3C45C2-5291-41E6-9A05-C14CEA0129EF}" uniqueName="49" name="loyalty" queryTableFieldId="49" dataDxfId="107"/>
    <tableColumn id="50" xr3:uid="{A037F17B-6D1A-49C3-8E75-635A1AFE73CB}" uniqueName="50" name="manaCost" queryTableFieldId="50" dataDxfId="106"/>
    <tableColumn id="51" xr3:uid="{02AED0F7-C85F-4869-9AFC-AD4742775232}" uniqueName="51" name="manaValue" queryTableFieldId="51" dataDxfId="105"/>
    <tableColumn id="52" xr3:uid="{34CFA9DB-A17A-4A6F-8A03-74503F562FB6}" uniqueName="52" name="name" queryTableFieldId="52" dataDxfId="104"/>
    <tableColumn id="53" xr3:uid="{1FBF199D-2860-49A5-9CB9-8EC1A682AEC4}" uniqueName="53" name="number" queryTableFieldId="53" dataDxfId="103"/>
    <tableColumn id="54" xr3:uid="{50F0ABE2-B6AD-4B91-AF36-32BE601E7805}" uniqueName="54" name="originalPrintings" queryTableFieldId="54"/>
    <tableColumn id="55" xr3:uid="{8E3FB295-EC8C-4634-9311-C0EB97F44F99}" uniqueName="55" name="originalReleaseDate" queryTableFieldId="55" dataDxfId="102"/>
    <tableColumn id="56" xr3:uid="{B444ECFF-DB19-41F8-88F7-E839E9744A10}" uniqueName="56" name="originalText" queryTableFieldId="56" dataDxfId="101"/>
    <tableColumn id="57" xr3:uid="{0387E236-E7ED-470D-A6B9-BBE7DF46F392}" uniqueName="57" name="otherFaceIds" queryTableFieldId="57" dataDxfId="100"/>
    <tableColumn id="58" xr3:uid="{1B50A35C-D9DF-42D0-966A-3801FCA8AD18}" uniqueName="58" name="power" queryTableFieldId="58"/>
    <tableColumn id="59" xr3:uid="{81CE1513-4B7F-4C74-9D5F-EA6CA276D66C}" uniqueName="59" name="printedName" queryTableFieldId="59" dataDxfId="99"/>
    <tableColumn id="60" xr3:uid="{364E9510-0C30-4F72-808F-13E19FF5EE6C}" uniqueName="60" name="printedText" queryTableFieldId="60" dataDxfId="98"/>
    <tableColumn id="61" xr3:uid="{00BB6C16-ED21-4F6A-90E4-0044CD8EC128}" uniqueName="61" name="printedType" queryTableFieldId="61" dataDxfId="97"/>
    <tableColumn id="62" xr3:uid="{6A49DA91-C5CB-4FE1-9815-D0FAC4CBBE9D}" uniqueName="62" name="printings" queryTableFieldId="62" dataDxfId="96"/>
    <tableColumn id="63" xr3:uid="{EB022AE5-15CE-4DEE-B580-021D17E9A35D}" uniqueName="63" name="producedMana" queryTableFieldId="63" dataDxfId="95"/>
    <tableColumn id="64" xr3:uid="{AB356CA1-8E16-433C-940A-67A61EF5F322}" uniqueName="64" name="promoTypes" queryTableFieldId="64" dataDxfId="94"/>
    <tableColumn id="65" xr3:uid="{CCDB6980-378F-4F93-8B88-EDC430297979}" uniqueName="65" name="rarity" queryTableFieldId="65" dataDxfId="93"/>
    <tableColumn id="66" xr3:uid="{117E4065-4D61-4374-9A72-43AC62DA49AD}" uniqueName="66" name="rebalancedPrintings" queryTableFieldId="66" dataDxfId="92"/>
    <tableColumn id="67" xr3:uid="{DE17F23A-B4AD-4CD5-AEDF-A0A5F5E4A5AF}" uniqueName="67" name="relatedCards" queryTableFieldId="67" dataDxfId="91"/>
    <tableColumn id="68" xr3:uid="{6E443E60-C07D-4BD9-8CF5-7F260511C01E}" uniqueName="68" name="securityStamp" queryTableFieldId="68" dataDxfId="90"/>
    <tableColumn id="69" xr3:uid="{22F92BD4-EEB5-4E94-A8C0-A7D83039B15E}" uniqueName="69" name="setCode" queryTableFieldId="69" dataDxfId="89"/>
    <tableColumn id="70" xr3:uid="{2643C189-A33D-46D7-A569-5A9117AB475E}" uniqueName="70" name="side" queryTableFieldId="70" dataDxfId="88"/>
    <tableColumn id="71" xr3:uid="{E4A42D33-7554-4575-AD1E-5C44D029002D}" uniqueName="71" name="signature" queryTableFieldId="71" dataDxfId="87"/>
    <tableColumn id="72" xr3:uid="{59E57E22-EF45-4917-8566-093287026404}" uniqueName="72" name="sourceProducts" queryTableFieldId="72" dataDxfId="86"/>
    <tableColumn id="73" xr3:uid="{814BCC92-0190-44B0-998C-FDA070F83BAC}" uniqueName="73" name="subsets" queryTableFieldId="73" dataDxfId="85"/>
    <tableColumn id="74" xr3:uid="{1F719C3B-20A0-45F7-9064-C865F6BF038B}" uniqueName="74" name="subtypes" queryTableFieldId="74" dataDxfId="84"/>
    <tableColumn id="75" xr3:uid="{9EC32D6F-4D66-4CB5-9BC5-1D08F9C33534}" uniqueName="75" name="supertypes" queryTableFieldId="75" dataDxfId="83"/>
    <tableColumn id="76" xr3:uid="{B50345F8-0C42-44A7-81CC-569542005B8A}" uniqueName="76" name="text" queryTableFieldId="76" dataDxfId="82"/>
    <tableColumn id="77" xr3:uid="{2B98FBF9-D5E3-422D-9324-2E5E953793EE}" uniqueName="77" name="toughness" queryTableFieldId="77" dataDxfId="81"/>
    <tableColumn id="78" xr3:uid="{291BA504-2EE3-42FF-95E7-2F596A4FFDA6}" uniqueName="78" name="type" queryTableFieldId="78" dataDxfId="80"/>
    <tableColumn id="79" xr3:uid="{1E27681E-89F2-4122-9EDA-BEF8F73A7353}" uniqueName="79" name="types" queryTableFieldId="79" dataDxfId="79"/>
    <tableColumn id="80" xr3:uid="{E73E31EF-68CE-4A99-807C-A893840A5166}" uniqueName="80" name="uuid" queryTableFieldId="80" dataDxfId="78"/>
    <tableColumn id="81" xr3:uid="{EABADD6F-4235-456E-B3C7-D3BE87EA3EF1}" uniqueName="81" name="variations" queryTableFieldId="81" dataDxfId="77"/>
    <tableColumn id="82" xr3:uid="{B07D33C7-D171-4F4C-A48C-B213225EC084}" uniqueName="82" name="watermark" queryTableFieldId="82" dataDxfId="7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CDB9453-FB7C-483A-B746-90ED5B58A999}" name="cards_old" displayName="cards_old" ref="A1:CD110" tableType="queryTable" totalsRowShown="0">
  <autoFilter ref="A1:CD110" xr:uid="{7CDB9453-FB7C-483A-B746-90ED5B58A999}"/>
  <tableColumns count="82">
    <tableColumn id="79" xr3:uid="{166095A7-9F19-44BF-8CE9-04C32E335E28}" uniqueName="79" name="artist" queryTableFieldId="157" dataDxfId="75"/>
    <tableColumn id="80" xr3:uid="{049D00D5-5AB0-42E1-99D8-83AEA30B3A61}" uniqueName="80" name="artistIds" queryTableFieldId="158" dataDxfId="74"/>
    <tableColumn id="81" xr3:uid="{2311BDB2-DC84-483D-8559-1D7C22D89F6C}" uniqueName="81" name="asciiName" queryTableFieldId="159" dataDxfId="73"/>
    <tableColumn id="82" xr3:uid="{BE561D9C-4D72-4D02-A2EE-7984581A2685}" uniqueName="82" name="attractionLights" queryTableFieldId="160" dataDxfId="72"/>
    <tableColumn id="83" xr3:uid="{21FDCBFA-0D44-4DC6-9E50-852B3EF204A5}" uniqueName="83" name="availability" queryTableFieldId="161" dataDxfId="71"/>
    <tableColumn id="84" xr3:uid="{B70F7863-51E5-4041-A83C-9AF16462CBD6}" uniqueName="84" name="boosterTypes" queryTableFieldId="162" dataDxfId="70"/>
    <tableColumn id="85" xr3:uid="{0AF5B613-8261-462A-BA64-E93AC770FF26}" uniqueName="85" name="borderColor" queryTableFieldId="163" dataDxfId="69"/>
    <tableColumn id="86" xr3:uid="{1CDA3894-6E51-4334-92C3-EADAFEBF88B1}" uniqueName="86" name="cardParts" queryTableFieldId="164" dataDxfId="68"/>
    <tableColumn id="87" xr3:uid="{0D96F187-602C-4CEC-9E17-96695BE65F54}" uniqueName="87" name="colorIdentity" queryTableFieldId="165" dataDxfId="67"/>
    <tableColumn id="88" xr3:uid="{63B6B9F2-6DA9-490F-A005-0EEF5963935D}" uniqueName="88" name="colorIndicator" queryTableFieldId="166" dataDxfId="66"/>
    <tableColumn id="89" xr3:uid="{9C8374FA-4856-4131-915E-D6E73FA1473D}" uniqueName="89" name="colors" queryTableFieldId="167" dataDxfId="65"/>
    <tableColumn id="90" xr3:uid="{33AAB37F-F56A-4621-B40F-3DF9FA230D69}" uniqueName="90" name="defense" queryTableFieldId="168" dataDxfId="64"/>
    <tableColumn id="91" xr3:uid="{CAE86331-B905-42A7-B24D-77C3E62C9B79}" uniqueName="91" name="duelDeck" queryTableFieldId="169" dataDxfId="63"/>
    <tableColumn id="92" xr3:uid="{754465B8-636B-4394-BE91-83B8A9C65E62}" uniqueName="92" name="edhrecRank" queryTableFieldId="170" dataDxfId="62"/>
    <tableColumn id="93" xr3:uid="{A6B481DB-77C7-4600-BD99-8628D6B51F4C}" uniqueName="93" name="edhrecSaltiness" queryTableFieldId="171" dataDxfId="61"/>
    <tableColumn id="94" xr3:uid="{0069D866-8E62-420E-8C0A-EFF7510693FB}" uniqueName="94" name="faceConvertedManaCost" queryTableFieldId="172" dataDxfId="60"/>
    <tableColumn id="95" xr3:uid="{EE85716A-E482-4DFF-823C-8D46B399D631}" uniqueName="95" name="faceFlavorName" queryTableFieldId="173" dataDxfId="59"/>
    <tableColumn id="96" xr3:uid="{6D396E92-2E30-44ED-A3F2-36FFD116E68B}" uniqueName="96" name="faceManaValue" queryTableFieldId="174"/>
    <tableColumn id="97" xr3:uid="{1327E24C-3FB4-4E94-BFBC-B21868C973A8}" uniqueName="97" name="faceName" queryTableFieldId="175" dataDxfId="58"/>
    <tableColumn id="5" xr3:uid="{AFC49513-2AEF-471C-99EB-0148D91955B6}" uniqueName="5" name="facePrintedName" queryTableFieldId="243" dataDxfId="57"/>
    <tableColumn id="98" xr3:uid="{F2FD9F47-BE12-4298-9DEB-8BB713939679}" uniqueName="98" name="finishes" queryTableFieldId="176" dataDxfId="56"/>
    <tableColumn id="99" xr3:uid="{5DDB8935-0BA8-4C25-88D2-4C5BB42C21DA}" uniqueName="99" name="flavorName" queryTableFieldId="177" dataDxfId="55"/>
    <tableColumn id="100" xr3:uid="{AF5170B0-9B52-43CF-AEF6-75218205CF70}" uniqueName="100" name="flavorText" queryTableFieldId="178" dataDxfId="54"/>
    <tableColumn id="101" xr3:uid="{0B44373D-2E45-44EF-87C0-57949F28DBD1}" uniqueName="101" name="frameEffects" queryTableFieldId="179" dataDxfId="53"/>
    <tableColumn id="102" xr3:uid="{AE61EA4C-6624-4738-95EF-CAE6AA8EC8FD}" uniqueName="102" name="frameVersion" queryTableFieldId="180" dataDxfId="52"/>
    <tableColumn id="103" xr3:uid="{DF354283-C49E-4014-85E0-3BFD1CB44904}" uniqueName="103" name="hand" queryTableFieldId="181" dataDxfId="51"/>
    <tableColumn id="104" xr3:uid="{B05215A3-5BD7-4A82-A2E4-2FAE35AC31FA}" uniqueName="104" name="hasAlternativeDeckLimit" queryTableFieldId="182" dataDxfId="50"/>
    <tableColumn id="105" xr3:uid="{D362A846-044F-4924-A78B-DB0942189E09}" uniqueName="105" name="hasContentWarning" queryTableFieldId="183" dataDxfId="49"/>
    <tableColumn id="106" xr3:uid="{82B77C6E-16C5-43C5-AC8A-5E4B8BFB1409}" uniqueName="106" name="hasFoil" queryTableFieldId="184"/>
    <tableColumn id="107" xr3:uid="{F9FE44A7-BD4F-45F0-BB75-C005A4A5E1E0}" uniqueName="107" name="hasNonFoil" queryTableFieldId="185" dataDxfId="48"/>
    <tableColumn id="108" xr3:uid="{4D1E2DCE-0833-4239-B653-9563DA1627D3}" uniqueName="108" name="isAlternative" queryTableFieldId="186" dataDxfId="47"/>
    <tableColumn id="109" xr3:uid="{EA931BB2-79F1-431E-AE0B-664304950ABA}" uniqueName="109" name="isFullArt" queryTableFieldId="187"/>
    <tableColumn id="110" xr3:uid="{AC98CA80-71EF-4176-A590-F17100A15AA5}" uniqueName="110" name="isFunny" queryTableFieldId="188" dataDxfId="46"/>
    <tableColumn id="1" xr3:uid="{2A93300A-B165-4985-A975-DFFBDD131CC4}" uniqueName="1" name="isGameChanger" queryTableFieldId="235" dataDxfId="45"/>
    <tableColumn id="111" xr3:uid="{29164784-384F-40C2-B5B3-99580696A519}" uniqueName="111" name="isOnlineOnly" queryTableFieldId="189"/>
    <tableColumn id="112" xr3:uid="{98413CF0-B8DD-4E73-BA1D-40D5F80FEAF5}" uniqueName="112" name="isOversized" queryTableFieldId="190" dataDxfId="44"/>
    <tableColumn id="113" xr3:uid="{B73CCF64-CFE8-4647-845E-B06A52593CD0}" uniqueName="113" name="isPromo" queryTableFieldId="191"/>
    <tableColumn id="114" xr3:uid="{FD11A991-2A77-499B-8C5F-1F6A61CAF57A}" uniqueName="114" name="isRebalanced" queryTableFieldId="192" dataDxfId="43"/>
    <tableColumn id="115" xr3:uid="{DFEB8685-B3EA-479A-905B-D703642C133F}" uniqueName="115" name="isReprint" queryTableFieldId="193"/>
    <tableColumn id="116" xr3:uid="{688F895A-15B4-4D29-B8AA-78B0AD145502}" uniqueName="116" name="isReserved" queryTableFieldId="194" dataDxfId="42"/>
    <tableColumn id="118" xr3:uid="{BB022890-8E9D-4889-93ED-BF0E3D57E4B0}" uniqueName="118" name="isStorySpotlight" queryTableFieldId="196" dataDxfId="41"/>
    <tableColumn id="119" xr3:uid="{96E50297-D897-47C5-9F9F-440BA7DD7272}" uniqueName="119" name="isTextless" queryTableFieldId="197" dataDxfId="40"/>
    <tableColumn id="120" xr3:uid="{2F3778E9-5B7D-4633-85E0-64133CABC2BA}" uniqueName="120" name="isTimeshifted" queryTableFieldId="198" dataDxfId="39"/>
    <tableColumn id="121" xr3:uid="{95516A4C-DDFE-4E00-B7B6-D69C7FFF9D6B}" uniqueName="121" name="keywords" queryTableFieldId="199" dataDxfId="38"/>
    <tableColumn id="122" xr3:uid="{0C5C32FD-9FFA-4A79-A922-04437851E8BF}" uniqueName="122" name="language" queryTableFieldId="200" dataDxfId="37"/>
    <tableColumn id="123" xr3:uid="{3DC2E2AC-53C4-40AA-A895-68BDC2B63761}" uniqueName="123" name="layout" queryTableFieldId="201" dataDxfId="36"/>
    <tableColumn id="124" xr3:uid="{E1F226B3-7F62-4467-BBF7-4F706E271973}" uniqueName="124" name="leadershipSkills" queryTableFieldId="202" dataDxfId="35"/>
    <tableColumn id="125" xr3:uid="{903E1F41-436A-4213-8027-5B1A2FAF1514}" uniqueName="125" name="life" queryTableFieldId="203" dataDxfId="34"/>
    <tableColumn id="126" xr3:uid="{0E4DFC09-701C-4497-BC55-53113EADF1BF}" uniqueName="126" name="loyalty" queryTableFieldId="204" dataDxfId="33"/>
    <tableColumn id="127" xr3:uid="{6B2EB389-4D36-464F-95B0-EC5A380AC0BB}" uniqueName="127" name="manaCost" queryTableFieldId="205" dataDxfId="32"/>
    <tableColumn id="128" xr3:uid="{EBF17516-3708-4504-BB0D-583E6788C99B}" uniqueName="128" name="manaValue" queryTableFieldId="206" dataDxfId="31"/>
    <tableColumn id="129" xr3:uid="{BA2754A1-E8CF-43AF-B386-1C021A822076}" uniqueName="129" name="name" queryTableFieldId="207" dataDxfId="30"/>
    <tableColumn id="130" xr3:uid="{7FB6121D-16A6-4B25-9053-81CDD077DE68}" uniqueName="130" name="number" queryTableFieldId="208" dataDxfId="29"/>
    <tableColumn id="131" xr3:uid="{DA352C07-E861-4108-BB7D-782E1CF34636}" uniqueName="131" name="originalPrintings" queryTableFieldId="209" dataDxfId="28"/>
    <tableColumn id="132" xr3:uid="{6BDC7AD9-1A18-4D4F-9D0F-FF0057C421B3}" uniqueName="132" name="originalReleaseDate" queryTableFieldId="210" dataDxfId="27"/>
    <tableColumn id="133" xr3:uid="{12C7EF48-F4B4-4C32-BCAB-51113E54E0E7}" uniqueName="133" name="originalText" queryTableFieldId="211" dataDxfId="26"/>
    <tableColumn id="135" xr3:uid="{C77F8EBF-555B-4EFE-976D-740AE1DA0DE3}" uniqueName="135" name="otherFaceIds" queryTableFieldId="213" dataDxfId="25"/>
    <tableColumn id="136" xr3:uid="{75D7B2EE-3AEB-4F8A-A223-EA0AA16CD534}" uniqueName="136" name="power" queryTableFieldId="214" dataDxfId="24"/>
    <tableColumn id="2" xr3:uid="{C765485F-EE44-4748-8E9A-27288DF15DD5}" uniqueName="2" name="printedName" queryTableFieldId="236" dataDxfId="23"/>
    <tableColumn id="3" xr3:uid="{47F01982-5EF1-47AB-BA1F-FFEC1B6DAC54}" uniqueName="3" name="printedText" queryTableFieldId="237" dataDxfId="22"/>
    <tableColumn id="4" xr3:uid="{E5E31154-9658-42D9-8E88-DCEFC88AEB5C}" uniqueName="4" name="printedType" queryTableFieldId="238" dataDxfId="21"/>
    <tableColumn id="137" xr3:uid="{F923D774-F096-461F-AA46-E1DE52C38EE0}" uniqueName="137" name="printings" queryTableFieldId="215" dataDxfId="20"/>
    <tableColumn id="6" xr3:uid="{7789A008-5E32-48DE-8D69-CDECF81B8C77}" uniqueName="6" name="producedMana" queryTableFieldId="244" dataDxfId="19"/>
    <tableColumn id="138" xr3:uid="{DC3F0136-F866-4A21-8D29-E8F7C8724273}" uniqueName="138" name="promoTypes" queryTableFieldId="216" dataDxfId="18"/>
    <tableColumn id="139" xr3:uid="{4F75228F-E314-4C16-A508-504A3498F8A2}" uniqueName="139" name="rarity" queryTableFieldId="217" dataDxfId="17"/>
    <tableColumn id="140" xr3:uid="{24D57BEB-5931-411F-9831-A66460198C04}" uniqueName="140" name="rebalancedPrintings" queryTableFieldId="218" dataDxfId="16"/>
    <tableColumn id="141" xr3:uid="{8A9A0B0C-56E2-45BB-9D84-6B1A3748C24E}" uniqueName="141" name="relatedCards" queryTableFieldId="219" dataDxfId="15"/>
    <tableColumn id="142" xr3:uid="{4B9DC134-6A53-4113-9275-A0E4817FF332}" uniqueName="142" name="securityStamp" queryTableFieldId="220" dataDxfId="14"/>
    <tableColumn id="143" xr3:uid="{08BC8DCC-FBCC-4C5F-8EC7-A1119192A6D0}" uniqueName="143" name="setCode" queryTableFieldId="221" dataDxfId="13"/>
    <tableColumn id="144" xr3:uid="{0ABEB395-67E0-43FD-AB13-166314B861BB}" uniqueName="144" name="side" queryTableFieldId="222" dataDxfId="12"/>
    <tableColumn id="145" xr3:uid="{159BC6CE-7E52-4ABB-BD57-14FF17A5F30B}" uniqueName="145" name="signature" queryTableFieldId="223" dataDxfId="11"/>
    <tableColumn id="146" xr3:uid="{1F953678-A0EC-4B10-B036-66A79A237457}" uniqueName="146" name="sourceProducts" queryTableFieldId="224" dataDxfId="10"/>
    <tableColumn id="147" xr3:uid="{6FAC02E8-A10C-4C39-B6EB-ADF9D66BA03F}" uniqueName="147" name="subsets" queryTableFieldId="225" dataDxfId="9"/>
    <tableColumn id="148" xr3:uid="{9E9A7ED3-EFC4-4363-8317-2C65148A5B1F}" uniqueName="148" name="subtypes" queryTableFieldId="226" dataDxfId="8"/>
    <tableColumn id="149" xr3:uid="{AADF3CFA-E17B-4504-A7DE-1D570DBD3C36}" uniqueName="149" name="supertypes" queryTableFieldId="227" dataDxfId="7"/>
    <tableColumn id="150" xr3:uid="{1F9C90B4-7982-4779-973A-9FA0ACB0DCC9}" uniqueName="150" name="text" queryTableFieldId="228" dataDxfId="6"/>
    <tableColumn id="151" xr3:uid="{2CF64FEA-2294-417C-8B18-1EBCEDBFFF73}" uniqueName="151" name="toughness" queryTableFieldId="229" dataDxfId="5"/>
    <tableColumn id="152" xr3:uid="{E16DA901-C362-43AA-9012-06EBDB7A27D6}" uniqueName="152" name="type" queryTableFieldId="230" dataDxfId="4"/>
    <tableColumn id="153" xr3:uid="{C7AFA157-7741-41DA-AD45-72E3F024CDD0}" uniqueName="153" name="types" queryTableFieldId="231" dataDxfId="3"/>
    <tableColumn id="154" xr3:uid="{55A447FB-671A-481C-BF37-0888E8FEDEA8}" uniqueName="154" name="uuid" queryTableFieldId="232" dataDxfId="2"/>
    <tableColumn id="7" xr3:uid="{200136CA-CB8E-46D8-A6A3-C3AE44DC6006}" uniqueName="7" name="variations" queryTableFieldId="245" dataDxfId="1"/>
    <tableColumn id="8" xr3:uid="{80A7E1D4-7464-40A7-926F-C17EADF985D7}" uniqueName="8" name="watermark" queryTableFieldId="246" dataDxfId="0"/>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7DC420-C76A-4526-92FF-1F804BF20789}" name="FolderPath" displayName="FolderPath" ref="A1:A2" totalsRowShown="0">
  <autoFilter ref="A1:A2" xr:uid="{167DC420-C76A-4526-92FF-1F804BF20789}"/>
  <tableColumns count="1">
    <tableColumn id="1" xr3:uid="{C1487E7E-BD09-4A70-8BA7-383E82B61CA3}" name="Path">
      <calculatedColumnFormula array="1">LEFT(CELL("filename",A2),FIND("[",CELL("filename",A2))-1)&amp;"CsvSeedTables\"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FD9F-DD15-4247-BD4F-9413D9D6816A}">
  <dimension ref="A1:G78"/>
  <sheetViews>
    <sheetView workbookViewId="0">
      <selection activeCell="A6" sqref="A6"/>
    </sheetView>
  </sheetViews>
  <sheetFormatPr defaultRowHeight="15" x14ac:dyDescent="0.25"/>
  <cols>
    <col min="1" max="2" width="50.85546875" bestFit="1" customWidth="1"/>
    <col min="3" max="3" width="11.42578125" bestFit="1" customWidth="1"/>
    <col min="4" max="4" width="10.7109375" bestFit="1" customWidth="1"/>
    <col min="6" max="6" width="33.42578125" bestFit="1" customWidth="1"/>
    <col min="7" max="7" width="32.5703125" bestFit="1" customWidth="1"/>
  </cols>
  <sheetData>
    <row r="1" spans="1:7" x14ac:dyDescent="0.25">
      <c r="A1" t="s">
        <v>325</v>
      </c>
      <c r="B1" t="s">
        <v>0</v>
      </c>
      <c r="C1" t="s">
        <v>2</v>
      </c>
      <c r="D1" t="s">
        <v>684</v>
      </c>
      <c r="E1" t="s">
        <v>1</v>
      </c>
      <c r="F1" t="s">
        <v>686</v>
      </c>
      <c r="G1" t="s">
        <v>797</v>
      </c>
    </row>
    <row r="2" spans="1:7" x14ac:dyDescent="0.25">
      <c r="A2" t="str" cm="1">
        <f t="array" ref="A2">IFERROR(INDEX(_xlfn.VSTACK(cards_old[uuid],tokens[uuid]), ROW()-ROW($A$1)),"")</f>
        <v/>
      </c>
      <c r="B2" t="str">
        <f>IFERROR(_xlfn.IFNA(INDEX(cards_old[],MATCH(AllCardsViz[[#This Row],[uuid]],cards_old[uuid],0),52),INDEX(tokens[],MATCH(AllCardsViz[[#This Row],[uuid]],tokens[uuid],0),28)),"")</f>
        <v>Once Upon a Time</v>
      </c>
      <c r="C2" t="str">
        <f>IFERROR(_xlfn.IFNA(INDEX(cards_old[],MATCH(AllCardsViz[[#This Row],[uuid]],cards_old[uuid],0),64),""),"")</f>
        <v/>
      </c>
      <c r="D2" t="str">
        <f>IFERROR(_xlfn.IFNA(INDEX(cards_old[],MATCH(AllCardsViz[[#This Row],[uuid]],cards_old[uuid],0),68),INDEX(tokens[],MATCH(AllCardsViz[[#This Row],[uuid]],tokens[uuid],0),39)),"")</f>
        <v/>
      </c>
      <c r="E2" t="str">
        <f>IFERROR(_xlfn.IFNA(INDEX(cards_old[],MATCH(AllCardsViz[[#This Row],[uuid]],cards_old[uuid],0),69),INDEX(tokens[],MATCH(AllCardsViz[[#This Row],[uuid]],tokens[uuid],0),40)),"")</f>
        <v/>
      </c>
      <c r="F2" t="str">
        <f>IFERROR(_xlfn.IFNA(INDEX(cards_old[],MATCH(AllCardsViz[[#This Row],[uuid]],cards_old[uuid],0),44),INDEX(tokens[],MATCH(AllCardsViz[[#This Row],[uuid]],tokens[uuid],0),24)),"")</f>
        <v/>
      </c>
      <c r="G2">
        <f>IFERROR(INDEX(sets[],MATCH(AllCardsViz[[#This Row],[Setcode]],sets[code],0),16),INDEX(sets[],MATCH(AllCardsViz[[#This Row],[Setcode]],sets[tokenSetCode],0),16))</f>
        <v>6</v>
      </c>
    </row>
    <row r="3" spans="1:7" x14ac:dyDescent="0.25">
      <c r="A3" t="str" cm="1">
        <f t="array" ref="A3">IFERROR(INDEX(_xlfn.VSTACK(cards_old[uuid],tokens[uuid]), ROW()-ROW($A$1)),"")</f>
        <v/>
      </c>
      <c r="B3" t="str">
        <f>IFERROR(_xlfn.IFNA(INDEX(cards_old[],MATCH(AllCardsViz[[#This Row],[uuid]],cards_old[uuid],0),52),INDEX(tokens[],MATCH(AllCardsViz[[#This Row],[uuid]],tokens[uuid],0),28)),"")</f>
        <v>Once Upon a Time</v>
      </c>
      <c r="C3" t="str">
        <f>IFERROR(_xlfn.IFNA(INDEX(cards_old[],MATCH(AllCardsViz[[#This Row],[uuid]],cards_old[uuid],0),64),""),"")</f>
        <v/>
      </c>
      <c r="D3" t="str">
        <f>IFERROR(_xlfn.IFNA(INDEX(cards_old[],MATCH(AllCardsViz[[#This Row],[uuid]],cards_old[uuid],0),68),INDEX(tokens[],MATCH(AllCardsViz[[#This Row],[uuid]],tokens[uuid],0),39)),"")</f>
        <v/>
      </c>
      <c r="E3" t="str">
        <f>IFERROR(_xlfn.IFNA(INDEX(cards_old[],MATCH(AllCardsViz[[#This Row],[uuid]],cards_old[uuid],0),69),INDEX(tokens[],MATCH(AllCardsViz[[#This Row],[uuid]],tokens[uuid],0),40)),"")</f>
        <v/>
      </c>
      <c r="F3" t="str">
        <f>IFERROR(_xlfn.IFNA(INDEX(cards_old[],MATCH(AllCardsViz[[#This Row],[uuid]],cards_old[uuid],0),44),INDEX(tokens[],MATCH(AllCardsViz[[#This Row],[uuid]],tokens[uuid],0),24)),"")</f>
        <v/>
      </c>
      <c r="G3">
        <f>IFERROR(INDEX(sets[],MATCH(AllCardsViz[[#This Row],[Setcode]],sets[code],0),16),INDEX(sets[],MATCH(AllCardsViz[[#This Row],[Setcode]],sets[tokenSetCode],0),16))</f>
        <v>6</v>
      </c>
    </row>
    <row r="4" spans="1:7" x14ac:dyDescent="0.25">
      <c r="A4" t="str" cm="1">
        <f t="array" ref="A4">IFERROR(INDEX(_xlfn.VSTACK(cards_old[uuid],tokens[uuid]), ROW()-ROW($A$1)),"")</f>
        <v/>
      </c>
      <c r="B4" t="str">
        <f>IFERROR(_xlfn.IFNA(INDEX(cards_old[],MATCH(AllCardsViz[[#This Row],[uuid]],cards_old[uuid],0),52),INDEX(tokens[],MATCH(AllCardsViz[[#This Row],[uuid]],tokens[uuid],0),28)),"")</f>
        <v>Once Upon a Time</v>
      </c>
      <c r="C4" t="str">
        <f>IFERROR(_xlfn.IFNA(INDEX(cards_old[],MATCH(AllCardsViz[[#This Row],[uuid]],cards_old[uuid],0),64),""),"")</f>
        <v/>
      </c>
      <c r="D4" t="str">
        <f>IFERROR(_xlfn.IFNA(INDEX(cards_old[],MATCH(AllCardsViz[[#This Row],[uuid]],cards_old[uuid],0),68),INDEX(tokens[],MATCH(AllCardsViz[[#This Row],[uuid]],tokens[uuid],0),39)),"")</f>
        <v/>
      </c>
      <c r="E4" t="str">
        <f>IFERROR(_xlfn.IFNA(INDEX(cards_old[],MATCH(AllCardsViz[[#This Row],[uuid]],cards_old[uuid],0),69),INDEX(tokens[],MATCH(AllCardsViz[[#This Row],[uuid]],tokens[uuid],0),40)),"")</f>
        <v/>
      </c>
      <c r="F4" t="str">
        <f>IFERROR(_xlfn.IFNA(INDEX(cards_old[],MATCH(AllCardsViz[[#This Row],[uuid]],cards_old[uuid],0),44),INDEX(tokens[],MATCH(AllCardsViz[[#This Row],[uuid]],tokens[uuid],0),24)),"")</f>
        <v/>
      </c>
      <c r="G4">
        <f>IFERROR(INDEX(sets[],MATCH(AllCardsViz[[#This Row],[Setcode]],sets[code],0),16),INDEX(sets[],MATCH(AllCardsViz[[#This Row],[Setcode]],sets[tokenSetCode],0),16))</f>
        <v>6</v>
      </c>
    </row>
    <row r="5" spans="1:7" x14ac:dyDescent="0.25">
      <c r="A5" t="str" cm="1">
        <f t="array" ref="A5">IFERROR(INDEX(_xlfn.VSTACK(cards_old[uuid],tokens[uuid]), ROW()-ROW($A$1)),"")</f>
        <v/>
      </c>
      <c r="B5" t="str">
        <f>IFERROR(_xlfn.IFNA(INDEX(cards_old[],MATCH(AllCardsViz[[#This Row],[uuid]],cards_old[uuid],0),52),INDEX(tokens[],MATCH(AllCardsViz[[#This Row],[uuid]],tokens[uuid],0),28)),"")</f>
        <v>Once Upon a Time</v>
      </c>
      <c r="C5" t="str">
        <f>IFERROR(_xlfn.IFNA(INDEX(cards_old[],MATCH(AllCardsViz[[#This Row],[uuid]],cards_old[uuid],0),64),""),"")</f>
        <v/>
      </c>
      <c r="D5" t="str">
        <f>IFERROR(_xlfn.IFNA(INDEX(cards_old[],MATCH(AllCardsViz[[#This Row],[uuid]],cards_old[uuid],0),68),INDEX(tokens[],MATCH(AllCardsViz[[#This Row],[uuid]],tokens[uuid],0),39)),"")</f>
        <v/>
      </c>
      <c r="E5" t="str">
        <f>IFERROR(_xlfn.IFNA(INDEX(cards_old[],MATCH(AllCardsViz[[#This Row],[uuid]],cards_old[uuid],0),69),INDEX(tokens[],MATCH(AllCardsViz[[#This Row],[uuid]],tokens[uuid],0),40)),"")</f>
        <v/>
      </c>
      <c r="F5" t="str">
        <f>IFERROR(_xlfn.IFNA(INDEX(cards_old[],MATCH(AllCardsViz[[#This Row],[uuid]],cards_old[uuid],0),44),INDEX(tokens[],MATCH(AllCardsViz[[#This Row],[uuid]],tokens[uuid],0),24)),"")</f>
        <v/>
      </c>
      <c r="G5">
        <f>IFERROR(INDEX(sets[],MATCH(AllCardsViz[[#This Row],[Setcode]],sets[code],0),16),INDEX(sets[],MATCH(AllCardsViz[[#This Row],[Setcode]],sets[tokenSetCode],0),16))</f>
        <v>6</v>
      </c>
    </row>
    <row r="6" spans="1:7" x14ac:dyDescent="0.25">
      <c r="A6" t="str" cm="1">
        <f t="array" ref="A6">IFERROR(INDEX(_xlfn.VSTACK(cards_old[uuid],tokens[uuid]), ROW()-ROW($A$1)),"")</f>
        <v/>
      </c>
      <c r="B6" t="str">
        <f>IFERROR(_xlfn.IFNA(INDEX(cards_old[],MATCH(AllCardsViz[[#This Row],[uuid]],cards_old[uuid],0),52),INDEX(tokens[],MATCH(AllCardsViz[[#This Row],[uuid]],tokens[uuid],0),28)),"")</f>
        <v>Once Upon a Time</v>
      </c>
      <c r="C6" t="str">
        <f>IFERROR(_xlfn.IFNA(INDEX(cards_old[],MATCH(AllCardsViz[[#This Row],[uuid]],cards_old[uuid],0),64),""),"")</f>
        <v/>
      </c>
      <c r="D6" t="str">
        <f>IFERROR(_xlfn.IFNA(INDEX(cards_old[],MATCH(AllCardsViz[[#This Row],[uuid]],cards_old[uuid],0),68),INDEX(tokens[],MATCH(AllCardsViz[[#This Row],[uuid]],tokens[uuid],0),39)),"")</f>
        <v/>
      </c>
      <c r="E6" t="str">
        <f>IFERROR(_xlfn.IFNA(INDEX(cards_old[],MATCH(AllCardsViz[[#This Row],[uuid]],cards_old[uuid],0),69),INDEX(tokens[],MATCH(AllCardsViz[[#This Row],[uuid]],tokens[uuid],0),40)),"")</f>
        <v/>
      </c>
      <c r="F6" t="str">
        <f>IFERROR(_xlfn.IFNA(INDEX(cards_old[],MATCH(AllCardsViz[[#This Row],[uuid]],cards_old[uuid],0),44),INDEX(tokens[],MATCH(AllCardsViz[[#This Row],[uuid]],tokens[uuid],0),24)),"")</f>
        <v/>
      </c>
      <c r="G6">
        <f>IFERROR(INDEX(sets[],MATCH(AllCardsViz[[#This Row],[Setcode]],sets[code],0),16),INDEX(sets[],MATCH(AllCardsViz[[#This Row],[Setcode]],sets[tokenSetCode],0),16))</f>
        <v>6</v>
      </c>
    </row>
    <row r="7" spans="1:7" x14ac:dyDescent="0.25">
      <c r="A7" t="str" cm="1">
        <f t="array" ref="A7">IFERROR(INDEX(_xlfn.VSTACK(cards_old[uuid],tokens[uuid]), ROW()-ROW($A$1)),"")</f>
        <v/>
      </c>
      <c r="B7" t="str">
        <f>IFERROR(_xlfn.IFNA(INDEX(cards_old[],MATCH(AllCardsViz[[#This Row],[uuid]],cards_old[uuid],0),52),INDEX(tokens[],MATCH(AllCardsViz[[#This Row],[uuid]],tokens[uuid],0),28)),"")</f>
        <v>Once Upon a Time</v>
      </c>
      <c r="C7" t="str">
        <f>IFERROR(_xlfn.IFNA(INDEX(cards_old[],MATCH(AllCardsViz[[#This Row],[uuid]],cards_old[uuid],0),64),""),"")</f>
        <v/>
      </c>
      <c r="D7" t="str">
        <f>IFERROR(_xlfn.IFNA(INDEX(cards_old[],MATCH(AllCardsViz[[#This Row],[uuid]],cards_old[uuid],0),68),INDEX(tokens[],MATCH(AllCardsViz[[#This Row],[uuid]],tokens[uuid],0),39)),"")</f>
        <v/>
      </c>
      <c r="E7" t="str">
        <f>IFERROR(_xlfn.IFNA(INDEX(cards_old[],MATCH(AllCardsViz[[#This Row],[uuid]],cards_old[uuid],0),69),INDEX(tokens[],MATCH(AllCardsViz[[#This Row],[uuid]],tokens[uuid],0),40)),"")</f>
        <v/>
      </c>
      <c r="F7" t="str">
        <f>IFERROR(_xlfn.IFNA(INDEX(cards_old[],MATCH(AllCardsViz[[#This Row],[uuid]],cards_old[uuid],0),44),INDEX(tokens[],MATCH(AllCardsViz[[#This Row],[uuid]],tokens[uuid],0),24)),"")</f>
        <v/>
      </c>
      <c r="G7">
        <f>IFERROR(INDEX(sets[],MATCH(AllCardsViz[[#This Row],[Setcode]],sets[code],0),16),INDEX(sets[],MATCH(AllCardsViz[[#This Row],[Setcode]],sets[tokenSetCode],0),16))</f>
        <v>6</v>
      </c>
    </row>
    <row r="8" spans="1:7" x14ac:dyDescent="0.25">
      <c r="A8" t="str" cm="1">
        <f t="array" ref="A8">IFERROR(INDEX(_xlfn.VSTACK(cards_old[uuid],tokens[uuid]), ROW()-ROW($A$1)),"")</f>
        <v/>
      </c>
      <c r="B8" t="str">
        <f>IFERROR(_xlfn.IFNA(INDEX(cards_old[],MATCH(AllCardsViz[[#This Row],[uuid]],cards_old[uuid],0),52),INDEX(tokens[],MATCH(AllCardsViz[[#This Row],[uuid]],tokens[uuid],0),28)),"")</f>
        <v>Once Upon a Time</v>
      </c>
      <c r="C8" t="str">
        <f>IFERROR(_xlfn.IFNA(INDEX(cards_old[],MATCH(AllCardsViz[[#This Row],[uuid]],cards_old[uuid],0),64),""),"")</f>
        <v/>
      </c>
      <c r="D8" t="str">
        <f>IFERROR(_xlfn.IFNA(INDEX(cards_old[],MATCH(AllCardsViz[[#This Row],[uuid]],cards_old[uuid],0),68),INDEX(tokens[],MATCH(AllCardsViz[[#This Row],[uuid]],tokens[uuid],0),39)),"")</f>
        <v/>
      </c>
      <c r="E8" t="str">
        <f>IFERROR(_xlfn.IFNA(INDEX(cards_old[],MATCH(AllCardsViz[[#This Row],[uuid]],cards_old[uuid],0),69),INDEX(tokens[],MATCH(AllCardsViz[[#This Row],[uuid]],tokens[uuid],0),40)),"")</f>
        <v/>
      </c>
      <c r="F8" t="str">
        <f>IFERROR(_xlfn.IFNA(INDEX(cards_old[],MATCH(AllCardsViz[[#This Row],[uuid]],cards_old[uuid],0),44),INDEX(tokens[],MATCH(AllCardsViz[[#This Row],[uuid]],tokens[uuid],0),24)),"")</f>
        <v/>
      </c>
      <c r="G8">
        <f>IFERROR(INDEX(sets[],MATCH(AllCardsViz[[#This Row],[Setcode]],sets[code],0),16),INDEX(sets[],MATCH(AllCardsViz[[#This Row],[Setcode]],sets[tokenSetCode],0),16))</f>
        <v>6</v>
      </c>
    </row>
    <row r="9" spans="1:7" x14ac:dyDescent="0.25">
      <c r="A9" t="str" cm="1">
        <f t="array" ref="A9">IFERROR(INDEX(_xlfn.VSTACK(cards_old[uuid],tokens[uuid]), ROW()-ROW($A$1)),"")</f>
        <v/>
      </c>
      <c r="B9" t="str">
        <f>IFERROR(_xlfn.IFNA(INDEX(cards_old[],MATCH(AllCardsViz[[#This Row],[uuid]],cards_old[uuid],0),52),INDEX(tokens[],MATCH(AllCardsViz[[#This Row],[uuid]],tokens[uuid],0),28)),"")</f>
        <v>Once Upon a Time</v>
      </c>
      <c r="C9" t="str">
        <f>IFERROR(_xlfn.IFNA(INDEX(cards_old[],MATCH(AllCardsViz[[#This Row],[uuid]],cards_old[uuid],0),64),""),"")</f>
        <v/>
      </c>
      <c r="D9" t="str">
        <f>IFERROR(_xlfn.IFNA(INDEX(cards_old[],MATCH(AllCardsViz[[#This Row],[uuid]],cards_old[uuid],0),68),INDEX(tokens[],MATCH(AllCardsViz[[#This Row],[uuid]],tokens[uuid],0),39)),"")</f>
        <v/>
      </c>
      <c r="E9" t="str">
        <f>IFERROR(_xlfn.IFNA(INDEX(cards_old[],MATCH(AllCardsViz[[#This Row],[uuid]],cards_old[uuid],0),69),INDEX(tokens[],MATCH(AllCardsViz[[#This Row],[uuid]],tokens[uuid],0),40)),"")</f>
        <v/>
      </c>
      <c r="F9" t="str">
        <f>IFERROR(_xlfn.IFNA(INDEX(cards_old[],MATCH(AllCardsViz[[#This Row],[uuid]],cards_old[uuid],0),44),INDEX(tokens[],MATCH(AllCardsViz[[#This Row],[uuid]],tokens[uuid],0),24)),"")</f>
        <v/>
      </c>
      <c r="G9">
        <f>IFERROR(INDEX(sets[],MATCH(AllCardsViz[[#This Row],[Setcode]],sets[code],0),16),INDEX(sets[],MATCH(AllCardsViz[[#This Row],[Setcode]],sets[tokenSetCode],0),16))</f>
        <v>6</v>
      </c>
    </row>
    <row r="10" spans="1:7" x14ac:dyDescent="0.25">
      <c r="A10" t="str" cm="1">
        <f t="array" ref="A10">IFERROR(INDEX(_xlfn.VSTACK(cards_old[uuid],tokens[uuid]), ROW()-ROW($A$1)),"")</f>
        <v/>
      </c>
      <c r="B10" t="str">
        <f>IFERROR(_xlfn.IFNA(INDEX(cards_old[],MATCH(AllCardsViz[[#This Row],[uuid]],cards_old[uuid],0),52),INDEX(tokens[],MATCH(AllCardsViz[[#This Row],[uuid]],tokens[uuid],0),28)),"")</f>
        <v>Once Upon a Time</v>
      </c>
      <c r="C10" t="str">
        <f>IFERROR(_xlfn.IFNA(INDEX(cards_old[],MATCH(AllCardsViz[[#This Row],[uuid]],cards_old[uuid],0),64),""),"")</f>
        <v/>
      </c>
      <c r="D10" t="str">
        <f>IFERROR(_xlfn.IFNA(INDEX(cards_old[],MATCH(AllCardsViz[[#This Row],[uuid]],cards_old[uuid],0),68),INDEX(tokens[],MATCH(AllCardsViz[[#This Row],[uuid]],tokens[uuid],0),39)),"")</f>
        <v/>
      </c>
      <c r="E10" t="str">
        <f>IFERROR(_xlfn.IFNA(INDEX(cards_old[],MATCH(AllCardsViz[[#This Row],[uuid]],cards_old[uuid],0),69),INDEX(tokens[],MATCH(AllCardsViz[[#This Row],[uuid]],tokens[uuid],0),40)),"")</f>
        <v/>
      </c>
      <c r="F10" t="str">
        <f>IFERROR(_xlfn.IFNA(INDEX(cards_old[],MATCH(AllCardsViz[[#This Row],[uuid]],cards_old[uuid],0),44),INDEX(tokens[],MATCH(AllCardsViz[[#This Row],[uuid]],tokens[uuid],0),24)),"")</f>
        <v/>
      </c>
      <c r="G10">
        <f>IFERROR(INDEX(sets[],MATCH(AllCardsViz[[#This Row],[Setcode]],sets[code],0),16),INDEX(sets[],MATCH(AllCardsViz[[#This Row],[Setcode]],sets[tokenSetCode],0),16))</f>
        <v>6</v>
      </c>
    </row>
    <row r="11" spans="1:7" x14ac:dyDescent="0.25">
      <c r="A11" t="str" cm="1">
        <f t="array" ref="A11">IFERROR(INDEX(_xlfn.VSTACK(cards_old[uuid],tokens[uuid]), ROW()-ROW($A$1)),"")</f>
        <v/>
      </c>
      <c r="B11" t="str">
        <f>IFERROR(_xlfn.IFNA(INDEX(cards_old[],MATCH(AllCardsViz[[#This Row],[uuid]],cards_old[uuid],0),52),INDEX(tokens[],MATCH(AllCardsViz[[#This Row],[uuid]],tokens[uuid],0),28)),"")</f>
        <v>Once Upon a Time</v>
      </c>
      <c r="C11" t="str">
        <f>IFERROR(_xlfn.IFNA(INDEX(cards_old[],MATCH(AllCardsViz[[#This Row],[uuid]],cards_old[uuid],0),64),""),"")</f>
        <v/>
      </c>
      <c r="D11" t="str">
        <f>IFERROR(_xlfn.IFNA(INDEX(cards_old[],MATCH(AllCardsViz[[#This Row],[uuid]],cards_old[uuid],0),68),INDEX(tokens[],MATCH(AllCardsViz[[#This Row],[uuid]],tokens[uuid],0),39)),"")</f>
        <v/>
      </c>
      <c r="E11" t="str">
        <f>IFERROR(_xlfn.IFNA(INDEX(cards_old[],MATCH(AllCardsViz[[#This Row],[uuid]],cards_old[uuid],0),69),INDEX(tokens[],MATCH(AllCardsViz[[#This Row],[uuid]],tokens[uuid],0),40)),"")</f>
        <v/>
      </c>
      <c r="F11" t="str">
        <f>IFERROR(_xlfn.IFNA(INDEX(cards_old[],MATCH(AllCardsViz[[#This Row],[uuid]],cards_old[uuid],0),44),INDEX(tokens[],MATCH(AllCardsViz[[#This Row],[uuid]],tokens[uuid],0),24)),"")</f>
        <v/>
      </c>
      <c r="G11">
        <f>IFERROR(INDEX(sets[],MATCH(AllCardsViz[[#This Row],[Setcode]],sets[code],0),16),INDEX(sets[],MATCH(AllCardsViz[[#This Row],[Setcode]],sets[tokenSetCode],0),16))</f>
        <v>6</v>
      </c>
    </row>
    <row r="12" spans="1:7" x14ac:dyDescent="0.25">
      <c r="A12" t="str" cm="1">
        <f t="array" ref="A12">IFERROR(INDEX(_xlfn.VSTACK(cards_old[uuid],tokens[uuid]), ROW()-ROW($A$1)),"")</f>
        <v/>
      </c>
      <c r="B12" t="str">
        <f>IFERROR(_xlfn.IFNA(INDEX(cards_old[],MATCH(AllCardsViz[[#This Row],[uuid]],cards_old[uuid],0),52),INDEX(tokens[],MATCH(AllCardsViz[[#This Row],[uuid]],tokens[uuid],0),28)),"")</f>
        <v>Once Upon a Time</v>
      </c>
      <c r="C12" t="str">
        <f>IFERROR(_xlfn.IFNA(INDEX(cards_old[],MATCH(AllCardsViz[[#This Row],[uuid]],cards_old[uuid],0),64),""),"")</f>
        <v/>
      </c>
      <c r="D12" t="str">
        <f>IFERROR(_xlfn.IFNA(INDEX(cards_old[],MATCH(AllCardsViz[[#This Row],[uuid]],cards_old[uuid],0),68),INDEX(tokens[],MATCH(AllCardsViz[[#This Row],[uuid]],tokens[uuid],0),39)),"")</f>
        <v/>
      </c>
      <c r="E12" t="str">
        <f>IFERROR(_xlfn.IFNA(INDEX(cards_old[],MATCH(AllCardsViz[[#This Row],[uuid]],cards_old[uuid],0),69),INDEX(tokens[],MATCH(AllCardsViz[[#This Row],[uuid]],tokens[uuid],0),40)),"")</f>
        <v/>
      </c>
      <c r="F12" t="str">
        <f>IFERROR(_xlfn.IFNA(INDEX(cards_old[],MATCH(AllCardsViz[[#This Row],[uuid]],cards_old[uuid],0),44),INDEX(tokens[],MATCH(AllCardsViz[[#This Row],[uuid]],tokens[uuid],0),24)),"")</f>
        <v/>
      </c>
      <c r="G12">
        <f>IFERROR(INDEX(sets[],MATCH(AllCardsViz[[#This Row],[Setcode]],sets[code],0),16),INDEX(sets[],MATCH(AllCardsViz[[#This Row],[Setcode]],sets[tokenSetCode],0),16))</f>
        <v>6</v>
      </c>
    </row>
    <row r="13" spans="1:7" x14ac:dyDescent="0.25">
      <c r="A13" t="str" cm="1">
        <f t="array" ref="A13">IFERROR(INDEX(_xlfn.VSTACK(cards_old[uuid],tokens[uuid]), ROW()-ROW($A$1)),"")</f>
        <v/>
      </c>
      <c r="B13" t="str">
        <f>IFERROR(_xlfn.IFNA(INDEX(cards_old[],MATCH(AllCardsViz[[#This Row],[uuid]],cards_old[uuid],0),52),INDEX(tokens[],MATCH(AllCardsViz[[#This Row],[uuid]],tokens[uuid],0),28)),"")</f>
        <v>Once Upon a Time</v>
      </c>
      <c r="C13" t="str">
        <f>IFERROR(_xlfn.IFNA(INDEX(cards_old[],MATCH(AllCardsViz[[#This Row],[uuid]],cards_old[uuid],0),64),""),"")</f>
        <v/>
      </c>
      <c r="D13" t="str">
        <f>IFERROR(_xlfn.IFNA(INDEX(cards_old[],MATCH(AllCardsViz[[#This Row],[uuid]],cards_old[uuid],0),68),INDEX(tokens[],MATCH(AllCardsViz[[#This Row],[uuid]],tokens[uuid],0),39)),"")</f>
        <v/>
      </c>
      <c r="E13" t="str">
        <f>IFERROR(_xlfn.IFNA(INDEX(cards_old[],MATCH(AllCardsViz[[#This Row],[uuid]],cards_old[uuid],0),69),INDEX(tokens[],MATCH(AllCardsViz[[#This Row],[uuid]],tokens[uuid],0),40)),"")</f>
        <v/>
      </c>
      <c r="F13" t="str">
        <f>IFERROR(_xlfn.IFNA(INDEX(cards_old[],MATCH(AllCardsViz[[#This Row],[uuid]],cards_old[uuid],0),44),INDEX(tokens[],MATCH(AllCardsViz[[#This Row],[uuid]],tokens[uuid],0),24)),"")</f>
        <v/>
      </c>
      <c r="G13">
        <f>IFERROR(INDEX(sets[],MATCH(AllCardsViz[[#This Row],[Setcode]],sets[code],0),16),INDEX(sets[],MATCH(AllCardsViz[[#This Row],[Setcode]],sets[tokenSetCode],0),16))</f>
        <v>6</v>
      </c>
    </row>
    <row r="14" spans="1:7" x14ac:dyDescent="0.25">
      <c r="A14" t="str" cm="1">
        <f t="array" ref="A14">IFERROR(INDEX(_xlfn.VSTACK(cards_old[uuid],tokens[uuid]), ROW()-ROW($A$1)),"")</f>
        <v/>
      </c>
      <c r="B14" t="str">
        <f>IFERROR(_xlfn.IFNA(INDEX(cards_old[],MATCH(AllCardsViz[[#This Row],[uuid]],cards_old[uuid],0),52),INDEX(tokens[],MATCH(AllCardsViz[[#This Row],[uuid]],tokens[uuid],0),28)),"")</f>
        <v>Once Upon a Time</v>
      </c>
      <c r="C14" t="str">
        <f>IFERROR(_xlfn.IFNA(INDEX(cards_old[],MATCH(AllCardsViz[[#This Row],[uuid]],cards_old[uuid],0),64),""),"")</f>
        <v/>
      </c>
      <c r="D14" t="str">
        <f>IFERROR(_xlfn.IFNA(INDEX(cards_old[],MATCH(AllCardsViz[[#This Row],[uuid]],cards_old[uuid],0),68),INDEX(tokens[],MATCH(AllCardsViz[[#This Row],[uuid]],tokens[uuid],0),39)),"")</f>
        <v/>
      </c>
      <c r="E14" t="str">
        <f>IFERROR(_xlfn.IFNA(INDEX(cards_old[],MATCH(AllCardsViz[[#This Row],[uuid]],cards_old[uuid],0),69),INDEX(tokens[],MATCH(AllCardsViz[[#This Row],[uuid]],tokens[uuid],0),40)),"")</f>
        <v/>
      </c>
      <c r="F14" t="str">
        <f>IFERROR(_xlfn.IFNA(INDEX(cards_old[],MATCH(AllCardsViz[[#This Row],[uuid]],cards_old[uuid],0),44),INDEX(tokens[],MATCH(AllCardsViz[[#This Row],[uuid]],tokens[uuid],0),24)),"")</f>
        <v/>
      </c>
      <c r="G14">
        <f>IFERROR(INDEX(sets[],MATCH(AllCardsViz[[#This Row],[Setcode]],sets[code],0),16),INDEX(sets[],MATCH(AllCardsViz[[#This Row],[Setcode]],sets[tokenSetCode],0),16))</f>
        <v>6</v>
      </c>
    </row>
    <row r="15" spans="1:7" x14ac:dyDescent="0.25">
      <c r="A15" t="str" cm="1">
        <f t="array" ref="A15">IFERROR(INDEX(_xlfn.VSTACK(cards_old[uuid],tokens[uuid]), ROW()-ROW($A$1)),"")</f>
        <v/>
      </c>
      <c r="B15" t="str">
        <f>IFERROR(_xlfn.IFNA(INDEX(cards_old[],MATCH(AllCardsViz[[#This Row],[uuid]],cards_old[uuid],0),52),INDEX(tokens[],MATCH(AllCardsViz[[#This Row],[uuid]],tokens[uuid],0),28)),"")</f>
        <v>Once Upon a Time</v>
      </c>
      <c r="C15" t="str">
        <f>IFERROR(_xlfn.IFNA(INDEX(cards_old[],MATCH(AllCardsViz[[#This Row],[uuid]],cards_old[uuid],0),64),""),"")</f>
        <v/>
      </c>
      <c r="D15" t="str">
        <f>IFERROR(_xlfn.IFNA(INDEX(cards_old[],MATCH(AllCardsViz[[#This Row],[uuid]],cards_old[uuid],0),68),INDEX(tokens[],MATCH(AllCardsViz[[#This Row],[uuid]],tokens[uuid],0),39)),"")</f>
        <v/>
      </c>
      <c r="E15" t="str">
        <f>IFERROR(_xlfn.IFNA(INDEX(cards_old[],MATCH(AllCardsViz[[#This Row],[uuid]],cards_old[uuid],0),69),INDEX(tokens[],MATCH(AllCardsViz[[#This Row],[uuid]],tokens[uuid],0),40)),"")</f>
        <v/>
      </c>
      <c r="F15" t="str">
        <f>IFERROR(_xlfn.IFNA(INDEX(cards_old[],MATCH(AllCardsViz[[#This Row],[uuid]],cards_old[uuid],0),44),INDEX(tokens[],MATCH(AllCardsViz[[#This Row],[uuid]],tokens[uuid],0),24)),"")</f>
        <v/>
      </c>
      <c r="G15">
        <f>IFERROR(INDEX(sets[],MATCH(AllCardsViz[[#This Row],[Setcode]],sets[code],0),16),INDEX(sets[],MATCH(AllCardsViz[[#This Row],[Setcode]],sets[tokenSetCode],0),16))</f>
        <v>6</v>
      </c>
    </row>
    <row r="16" spans="1:7" x14ac:dyDescent="0.25">
      <c r="A16" t="str" cm="1">
        <f t="array" ref="A16">IFERROR(INDEX(_xlfn.VSTACK(cards_old[uuid],tokens[uuid]), ROW()-ROW($A$1)),"")</f>
        <v/>
      </c>
      <c r="B16" t="str">
        <f>IFERROR(_xlfn.IFNA(INDEX(cards_old[],MATCH(AllCardsViz[[#This Row],[uuid]],cards_old[uuid],0),52),INDEX(tokens[],MATCH(AllCardsViz[[#This Row],[uuid]],tokens[uuid],0),28)),"")</f>
        <v>Once Upon a Time</v>
      </c>
      <c r="C16" t="str">
        <f>IFERROR(_xlfn.IFNA(INDEX(cards_old[],MATCH(AllCardsViz[[#This Row],[uuid]],cards_old[uuid],0),64),""),"")</f>
        <v/>
      </c>
      <c r="D16" t="str">
        <f>IFERROR(_xlfn.IFNA(INDEX(cards_old[],MATCH(AllCardsViz[[#This Row],[uuid]],cards_old[uuid],0),68),INDEX(tokens[],MATCH(AllCardsViz[[#This Row],[uuid]],tokens[uuid],0),39)),"")</f>
        <v/>
      </c>
      <c r="E16" t="str">
        <f>IFERROR(_xlfn.IFNA(INDEX(cards_old[],MATCH(AllCardsViz[[#This Row],[uuid]],cards_old[uuid],0),69),INDEX(tokens[],MATCH(AllCardsViz[[#This Row],[uuid]],tokens[uuid],0),40)),"")</f>
        <v/>
      </c>
      <c r="F16" t="str">
        <f>IFERROR(_xlfn.IFNA(INDEX(cards_old[],MATCH(AllCardsViz[[#This Row],[uuid]],cards_old[uuid],0),44),INDEX(tokens[],MATCH(AllCardsViz[[#This Row],[uuid]],tokens[uuid],0),24)),"")</f>
        <v/>
      </c>
      <c r="G16">
        <f>IFERROR(INDEX(sets[],MATCH(AllCardsViz[[#This Row],[Setcode]],sets[code],0),16),INDEX(sets[],MATCH(AllCardsViz[[#This Row],[Setcode]],sets[tokenSetCode],0),16))</f>
        <v>6</v>
      </c>
    </row>
    <row r="17" spans="1:7" x14ac:dyDescent="0.25">
      <c r="A17" t="str" cm="1">
        <f t="array" ref="A17">IFERROR(INDEX(_xlfn.VSTACK(cards_old[uuid],tokens[uuid]), ROW()-ROW($A$1)),"")</f>
        <v/>
      </c>
      <c r="B17" t="str">
        <f>IFERROR(_xlfn.IFNA(INDEX(cards_old[],MATCH(AllCardsViz[[#This Row],[uuid]],cards_old[uuid],0),52),INDEX(tokens[],MATCH(AllCardsViz[[#This Row],[uuid]],tokens[uuid],0),28)),"")</f>
        <v>Once Upon a Time</v>
      </c>
      <c r="C17" t="str">
        <f>IFERROR(_xlfn.IFNA(INDEX(cards_old[],MATCH(AllCardsViz[[#This Row],[uuid]],cards_old[uuid],0),64),""),"")</f>
        <v/>
      </c>
      <c r="D17" t="str">
        <f>IFERROR(_xlfn.IFNA(INDEX(cards_old[],MATCH(AllCardsViz[[#This Row],[uuid]],cards_old[uuid],0),68),INDEX(tokens[],MATCH(AllCardsViz[[#This Row],[uuid]],tokens[uuid],0),39)),"")</f>
        <v/>
      </c>
      <c r="E17" t="str">
        <f>IFERROR(_xlfn.IFNA(INDEX(cards_old[],MATCH(AllCardsViz[[#This Row],[uuid]],cards_old[uuid],0),69),INDEX(tokens[],MATCH(AllCardsViz[[#This Row],[uuid]],tokens[uuid],0),40)),"")</f>
        <v/>
      </c>
      <c r="F17" t="str">
        <f>IFERROR(_xlfn.IFNA(INDEX(cards_old[],MATCH(AllCardsViz[[#This Row],[uuid]],cards_old[uuid],0),44),INDEX(tokens[],MATCH(AllCardsViz[[#This Row],[uuid]],tokens[uuid],0),24)),"")</f>
        <v/>
      </c>
      <c r="G17">
        <f>IFERROR(INDEX(sets[],MATCH(AllCardsViz[[#This Row],[Setcode]],sets[code],0),16),INDEX(sets[],MATCH(AllCardsViz[[#This Row],[Setcode]],sets[tokenSetCode],0),16))</f>
        <v>6</v>
      </c>
    </row>
    <row r="18" spans="1:7" x14ac:dyDescent="0.25">
      <c r="A18" t="str" cm="1">
        <f t="array" ref="A18">IFERROR(INDEX(_xlfn.VSTACK(cards_old[uuid],tokens[uuid]), ROW()-ROW($A$1)),"")</f>
        <v/>
      </c>
      <c r="B18" t="str">
        <f>IFERROR(_xlfn.IFNA(INDEX(cards_old[],MATCH(AllCardsViz[[#This Row],[uuid]],cards_old[uuid],0),52),INDEX(tokens[],MATCH(AllCardsViz[[#This Row],[uuid]],tokens[uuid],0),28)),"")</f>
        <v>Once Upon a Time</v>
      </c>
      <c r="C18" t="str">
        <f>IFERROR(_xlfn.IFNA(INDEX(cards_old[],MATCH(AllCardsViz[[#This Row],[uuid]],cards_old[uuid],0),64),""),"")</f>
        <v/>
      </c>
      <c r="D18" t="str">
        <f>IFERROR(_xlfn.IFNA(INDEX(cards_old[],MATCH(AllCardsViz[[#This Row],[uuid]],cards_old[uuid],0),68),INDEX(tokens[],MATCH(AllCardsViz[[#This Row],[uuid]],tokens[uuid],0),39)),"")</f>
        <v/>
      </c>
      <c r="E18" t="str">
        <f>IFERROR(_xlfn.IFNA(INDEX(cards_old[],MATCH(AllCardsViz[[#This Row],[uuid]],cards_old[uuid],0),69),INDEX(tokens[],MATCH(AllCardsViz[[#This Row],[uuid]],tokens[uuid],0),40)),"")</f>
        <v/>
      </c>
      <c r="F18" t="str">
        <f>IFERROR(_xlfn.IFNA(INDEX(cards_old[],MATCH(AllCardsViz[[#This Row],[uuid]],cards_old[uuid],0),44),INDEX(tokens[],MATCH(AllCardsViz[[#This Row],[uuid]],tokens[uuid],0),24)),"")</f>
        <v/>
      </c>
      <c r="G18">
        <f>IFERROR(INDEX(sets[],MATCH(AllCardsViz[[#This Row],[Setcode]],sets[code],0),16),INDEX(sets[],MATCH(AllCardsViz[[#This Row],[Setcode]],sets[tokenSetCode],0),16))</f>
        <v>6</v>
      </c>
    </row>
    <row r="19" spans="1:7" x14ac:dyDescent="0.25">
      <c r="A19" t="str" cm="1">
        <f t="array" ref="A19">IFERROR(INDEX(_xlfn.VSTACK(cards_old[uuid],tokens[uuid]), ROW()-ROW($A$1)),"")</f>
        <v/>
      </c>
      <c r="B19" t="str">
        <f>IFERROR(_xlfn.IFNA(INDEX(cards_old[],MATCH(AllCardsViz[[#This Row],[uuid]],cards_old[uuid],0),52),INDEX(tokens[],MATCH(AllCardsViz[[#This Row],[uuid]],tokens[uuid],0),28)),"")</f>
        <v>Once Upon a Time</v>
      </c>
      <c r="C19" t="str">
        <f>IFERROR(_xlfn.IFNA(INDEX(cards_old[],MATCH(AllCardsViz[[#This Row],[uuid]],cards_old[uuid],0),64),""),"")</f>
        <v/>
      </c>
      <c r="D19" t="str">
        <f>IFERROR(_xlfn.IFNA(INDEX(cards_old[],MATCH(AllCardsViz[[#This Row],[uuid]],cards_old[uuid],0),68),INDEX(tokens[],MATCH(AllCardsViz[[#This Row],[uuid]],tokens[uuid],0),39)),"")</f>
        <v/>
      </c>
      <c r="E19" t="str">
        <f>IFERROR(_xlfn.IFNA(INDEX(cards_old[],MATCH(AllCardsViz[[#This Row],[uuid]],cards_old[uuid],0),69),INDEX(tokens[],MATCH(AllCardsViz[[#This Row],[uuid]],tokens[uuid],0),40)),"")</f>
        <v/>
      </c>
      <c r="F19" t="str">
        <f>IFERROR(_xlfn.IFNA(INDEX(cards_old[],MATCH(AllCardsViz[[#This Row],[uuid]],cards_old[uuid],0),44),INDEX(tokens[],MATCH(AllCardsViz[[#This Row],[uuid]],tokens[uuid],0),24)),"")</f>
        <v/>
      </c>
      <c r="G19">
        <f>IFERROR(INDEX(sets[],MATCH(AllCardsViz[[#This Row],[Setcode]],sets[code],0),16),INDEX(sets[],MATCH(AllCardsViz[[#This Row],[Setcode]],sets[tokenSetCode],0),16))</f>
        <v>6</v>
      </c>
    </row>
    <row r="20" spans="1:7" x14ac:dyDescent="0.25">
      <c r="A20" t="str" cm="1">
        <f t="array" ref="A20">IFERROR(INDEX(_xlfn.VSTACK(cards_old[uuid],tokens[uuid]), ROW()-ROW($A$1)),"")</f>
        <v/>
      </c>
      <c r="B20" t="str">
        <f>IFERROR(_xlfn.IFNA(INDEX(cards_old[],MATCH(AllCardsViz[[#This Row],[uuid]],cards_old[uuid],0),52),INDEX(tokens[],MATCH(AllCardsViz[[#This Row],[uuid]],tokens[uuid],0),28)),"")</f>
        <v>Once Upon a Time</v>
      </c>
      <c r="C20" t="str">
        <f>IFERROR(_xlfn.IFNA(INDEX(cards_old[],MATCH(AllCardsViz[[#This Row],[uuid]],cards_old[uuid],0),64),""),"")</f>
        <v/>
      </c>
      <c r="D20" t="str">
        <f>IFERROR(_xlfn.IFNA(INDEX(cards_old[],MATCH(AllCardsViz[[#This Row],[uuid]],cards_old[uuid],0),68),INDEX(tokens[],MATCH(AllCardsViz[[#This Row],[uuid]],tokens[uuid],0),39)),"")</f>
        <v/>
      </c>
      <c r="E20" t="str">
        <f>IFERROR(_xlfn.IFNA(INDEX(cards_old[],MATCH(AllCardsViz[[#This Row],[uuid]],cards_old[uuid],0),69),INDEX(tokens[],MATCH(AllCardsViz[[#This Row],[uuid]],tokens[uuid],0),40)),"")</f>
        <v/>
      </c>
      <c r="F20" t="str">
        <f>IFERROR(_xlfn.IFNA(INDEX(cards_old[],MATCH(AllCardsViz[[#This Row],[uuid]],cards_old[uuid],0),44),INDEX(tokens[],MATCH(AllCardsViz[[#This Row],[uuid]],tokens[uuid],0),24)),"")</f>
        <v/>
      </c>
      <c r="G20">
        <f>IFERROR(INDEX(sets[],MATCH(AllCardsViz[[#This Row],[Setcode]],sets[code],0),16),INDEX(sets[],MATCH(AllCardsViz[[#This Row],[Setcode]],sets[tokenSetCode],0),16))</f>
        <v>6</v>
      </c>
    </row>
    <row r="21" spans="1:7" x14ac:dyDescent="0.25">
      <c r="A21" t="str" cm="1">
        <f t="array" ref="A21">IFERROR(INDEX(_xlfn.VSTACK(cards_old[uuid],tokens[uuid]), ROW()-ROW($A$1)),"")</f>
        <v/>
      </c>
      <c r="B21" t="str">
        <f>IFERROR(_xlfn.IFNA(INDEX(cards_old[],MATCH(AllCardsViz[[#This Row],[uuid]],cards_old[uuid],0),52),INDEX(tokens[],MATCH(AllCardsViz[[#This Row],[uuid]],tokens[uuid],0),28)),"")</f>
        <v>Once Upon a Time</v>
      </c>
      <c r="C21" t="str">
        <f>IFERROR(_xlfn.IFNA(INDEX(cards_old[],MATCH(AllCardsViz[[#This Row],[uuid]],cards_old[uuid],0),64),""),"")</f>
        <v/>
      </c>
      <c r="D21" t="str">
        <f>IFERROR(_xlfn.IFNA(INDEX(cards_old[],MATCH(AllCardsViz[[#This Row],[uuid]],cards_old[uuid],0),68),INDEX(tokens[],MATCH(AllCardsViz[[#This Row],[uuid]],tokens[uuid],0),39)),"")</f>
        <v/>
      </c>
      <c r="E21" t="str">
        <f>IFERROR(_xlfn.IFNA(INDEX(cards_old[],MATCH(AllCardsViz[[#This Row],[uuid]],cards_old[uuid],0),69),INDEX(tokens[],MATCH(AllCardsViz[[#This Row],[uuid]],tokens[uuid],0),40)),"")</f>
        <v/>
      </c>
      <c r="F21" t="str">
        <f>IFERROR(_xlfn.IFNA(INDEX(cards_old[],MATCH(AllCardsViz[[#This Row],[uuid]],cards_old[uuid],0),44),INDEX(tokens[],MATCH(AllCardsViz[[#This Row],[uuid]],tokens[uuid],0),24)),"")</f>
        <v/>
      </c>
      <c r="G21">
        <f>IFERROR(INDEX(sets[],MATCH(AllCardsViz[[#This Row],[Setcode]],sets[code],0),16),INDEX(sets[],MATCH(AllCardsViz[[#This Row],[Setcode]],sets[tokenSetCode],0),16))</f>
        <v>6</v>
      </c>
    </row>
    <row r="22" spans="1:7" x14ac:dyDescent="0.25">
      <c r="A22" t="str" cm="1">
        <f t="array" ref="A22">IFERROR(INDEX(_xlfn.VSTACK(cards_old[uuid],tokens[uuid]), ROW()-ROW($A$1)),"")</f>
        <v/>
      </c>
      <c r="B22" t="str">
        <f>IFERROR(_xlfn.IFNA(INDEX(cards_old[],MATCH(AllCardsViz[[#This Row],[uuid]],cards_old[uuid],0),52),INDEX(tokens[],MATCH(AllCardsViz[[#This Row],[uuid]],tokens[uuid],0),28)),"")</f>
        <v>Once Upon a Time</v>
      </c>
      <c r="C22" t="str">
        <f>IFERROR(_xlfn.IFNA(INDEX(cards_old[],MATCH(AllCardsViz[[#This Row],[uuid]],cards_old[uuid],0),64),""),"")</f>
        <v/>
      </c>
      <c r="D22" t="str">
        <f>IFERROR(_xlfn.IFNA(INDEX(cards_old[],MATCH(AllCardsViz[[#This Row],[uuid]],cards_old[uuid],0),68),INDEX(tokens[],MATCH(AllCardsViz[[#This Row],[uuid]],tokens[uuid],0),39)),"")</f>
        <v/>
      </c>
      <c r="E22" t="str">
        <f>IFERROR(_xlfn.IFNA(INDEX(cards_old[],MATCH(AllCardsViz[[#This Row],[uuid]],cards_old[uuid],0),69),INDEX(tokens[],MATCH(AllCardsViz[[#This Row],[uuid]],tokens[uuid],0),40)),"")</f>
        <v/>
      </c>
      <c r="F22" t="str">
        <f>IFERROR(_xlfn.IFNA(INDEX(cards_old[],MATCH(AllCardsViz[[#This Row],[uuid]],cards_old[uuid],0),44),INDEX(tokens[],MATCH(AllCardsViz[[#This Row],[uuid]],tokens[uuid],0),24)),"")</f>
        <v/>
      </c>
      <c r="G22">
        <f>IFERROR(INDEX(sets[],MATCH(AllCardsViz[[#This Row],[Setcode]],sets[code],0),16),INDEX(sets[],MATCH(AllCardsViz[[#This Row],[Setcode]],sets[tokenSetCode],0),16))</f>
        <v>6</v>
      </c>
    </row>
    <row r="23" spans="1:7" x14ac:dyDescent="0.25">
      <c r="A23" t="str" cm="1">
        <f t="array" ref="A23">IFERROR(INDEX(_xlfn.VSTACK(cards_old[uuid],tokens[uuid]), ROW()-ROW($A$1)),"")</f>
        <v/>
      </c>
      <c r="B23" t="str">
        <f>IFERROR(_xlfn.IFNA(INDEX(cards_old[],MATCH(AllCardsViz[[#This Row],[uuid]],cards_old[uuid],0),52),INDEX(tokens[],MATCH(AllCardsViz[[#This Row],[uuid]],tokens[uuid],0),28)),"")</f>
        <v>Once Upon a Time</v>
      </c>
      <c r="C23" t="str">
        <f>IFERROR(_xlfn.IFNA(INDEX(cards_old[],MATCH(AllCardsViz[[#This Row],[uuid]],cards_old[uuid],0),64),""),"")</f>
        <v/>
      </c>
      <c r="D23" t="str">
        <f>IFERROR(_xlfn.IFNA(INDEX(cards_old[],MATCH(AllCardsViz[[#This Row],[uuid]],cards_old[uuid],0),68),INDEX(tokens[],MATCH(AllCardsViz[[#This Row],[uuid]],tokens[uuid],0),39)),"")</f>
        <v/>
      </c>
      <c r="E23" t="str">
        <f>IFERROR(_xlfn.IFNA(INDEX(cards_old[],MATCH(AllCardsViz[[#This Row],[uuid]],cards_old[uuid],0),69),INDEX(tokens[],MATCH(AllCardsViz[[#This Row],[uuid]],tokens[uuid],0),40)),"")</f>
        <v/>
      </c>
      <c r="F23" t="str">
        <f>IFERROR(_xlfn.IFNA(INDEX(cards_old[],MATCH(AllCardsViz[[#This Row],[uuid]],cards_old[uuid],0),44),INDEX(tokens[],MATCH(AllCardsViz[[#This Row],[uuid]],tokens[uuid],0),24)),"")</f>
        <v/>
      </c>
      <c r="G23">
        <f>IFERROR(INDEX(sets[],MATCH(AllCardsViz[[#This Row],[Setcode]],sets[code],0),16),INDEX(sets[],MATCH(AllCardsViz[[#This Row],[Setcode]],sets[tokenSetCode],0),16))</f>
        <v>6</v>
      </c>
    </row>
    <row r="24" spans="1:7" x14ac:dyDescent="0.25">
      <c r="A24" t="str" cm="1">
        <f t="array" ref="A24">IFERROR(INDEX(_xlfn.VSTACK(cards_old[uuid],tokens[uuid]), ROW()-ROW($A$1)),"")</f>
        <v/>
      </c>
      <c r="B24" t="str">
        <f>IFERROR(_xlfn.IFNA(INDEX(cards_old[],MATCH(AllCardsViz[[#This Row],[uuid]],cards_old[uuid],0),52),INDEX(tokens[],MATCH(AllCardsViz[[#This Row],[uuid]],tokens[uuid],0),28)),"")</f>
        <v>Once Upon a Time</v>
      </c>
      <c r="C24" t="str">
        <f>IFERROR(_xlfn.IFNA(INDEX(cards_old[],MATCH(AllCardsViz[[#This Row],[uuid]],cards_old[uuid],0),64),""),"")</f>
        <v/>
      </c>
      <c r="D24" t="str">
        <f>IFERROR(_xlfn.IFNA(INDEX(cards_old[],MATCH(AllCardsViz[[#This Row],[uuid]],cards_old[uuid],0),68),INDEX(tokens[],MATCH(AllCardsViz[[#This Row],[uuid]],tokens[uuid],0),39)),"")</f>
        <v/>
      </c>
      <c r="E24" t="str">
        <f>IFERROR(_xlfn.IFNA(INDEX(cards_old[],MATCH(AllCardsViz[[#This Row],[uuid]],cards_old[uuid],0),69),INDEX(tokens[],MATCH(AllCardsViz[[#This Row],[uuid]],tokens[uuid],0),40)),"")</f>
        <v/>
      </c>
      <c r="F24" t="str">
        <f>IFERROR(_xlfn.IFNA(INDEX(cards_old[],MATCH(AllCardsViz[[#This Row],[uuid]],cards_old[uuid],0),44),INDEX(tokens[],MATCH(AllCardsViz[[#This Row],[uuid]],tokens[uuid],0),24)),"")</f>
        <v/>
      </c>
      <c r="G24">
        <f>IFERROR(INDEX(sets[],MATCH(AllCardsViz[[#This Row],[Setcode]],sets[code],0),16),INDEX(sets[],MATCH(AllCardsViz[[#This Row],[Setcode]],sets[tokenSetCode],0),16))</f>
        <v>6</v>
      </c>
    </row>
    <row r="25" spans="1:7" x14ac:dyDescent="0.25">
      <c r="A25" t="str" cm="1">
        <f t="array" ref="A25">IFERROR(INDEX(_xlfn.VSTACK(cards_old[uuid],tokens[uuid]), ROW()-ROW($A$1)),"")</f>
        <v>358c5647-9f47-5f5d-9497-36336d8c7bb9</v>
      </c>
      <c r="B25" t="str">
        <f>IFERROR(_xlfn.IFNA(INDEX(cards_old[],MATCH(AllCardsViz[[#This Row],[uuid]],cards_old[uuid],0),52),INDEX(tokens[],MATCH(AllCardsViz[[#This Row],[uuid]],tokens[uuid],0),28)),"")</f>
        <v>Plummet</v>
      </c>
      <c r="C25" t="str">
        <f>IFERROR(_xlfn.IFNA(INDEX(cards_old[],MATCH(AllCardsViz[[#This Row],[uuid]],cards_old[uuid],0),64),""),"")</f>
        <v/>
      </c>
      <c r="D25" t="str">
        <f>IFERROR(_xlfn.IFNA(INDEX(cards_old[],MATCH(AllCardsViz[[#This Row],[uuid]],cards_old[uuid],0),68),INDEX(tokens[],MATCH(AllCardsViz[[#This Row],[uuid]],tokens[uuid],0),39)),"")</f>
        <v/>
      </c>
      <c r="E25" t="str">
        <f>IFERROR(_xlfn.IFNA(INDEX(cards_old[],MATCH(AllCardsViz[[#This Row],[uuid]],cards_old[uuid],0),69),INDEX(tokens[],MATCH(AllCardsViz[[#This Row],[uuid]],tokens[uuid],0),40)),"")</f>
        <v>BFZ</v>
      </c>
      <c r="F25" t="str">
        <f>IFERROR(_xlfn.IFNA(INDEX(cards_old[],MATCH(AllCardsViz[[#This Row],[uuid]],cards_old[uuid],0),44),INDEX(tokens[],MATCH(AllCardsViz[[#This Row],[uuid]],tokens[uuid],0),24)),"")</f>
        <v/>
      </c>
      <c r="G25">
        <f>IFERROR(INDEX(sets[],MATCH(AllCardsViz[[#This Row],[Setcode]],sets[code],0),16),INDEX(sets[],MATCH(AllCardsViz[[#This Row],[Setcode]],sets[tokenSetCode],0),16))</f>
        <v>6</v>
      </c>
    </row>
    <row r="26" spans="1:7" x14ac:dyDescent="0.25">
      <c r="A26" t="str" cm="1">
        <f t="array" ref="A26">IFERROR(INDEX(_xlfn.VSTACK(cards_old[uuid],tokens[uuid]), ROW()-ROW($A$1)),"")</f>
        <v/>
      </c>
      <c r="B26" t="str">
        <f>IFERROR(_xlfn.IFNA(INDEX(cards_old[],MATCH(AllCardsViz[[#This Row],[uuid]],cards_old[uuid],0),52),INDEX(tokens[],MATCH(AllCardsViz[[#This Row],[uuid]],tokens[uuid],0),28)),"")</f>
        <v>Once Upon a Time</v>
      </c>
      <c r="C26" t="str">
        <f>IFERROR(_xlfn.IFNA(INDEX(cards_old[],MATCH(AllCardsViz[[#This Row],[uuid]],cards_old[uuid],0),64),""),"")</f>
        <v/>
      </c>
      <c r="D26" t="str">
        <f>IFERROR(_xlfn.IFNA(INDEX(cards_old[],MATCH(AllCardsViz[[#This Row],[uuid]],cards_old[uuid],0),68),INDEX(tokens[],MATCH(AllCardsViz[[#This Row],[uuid]],tokens[uuid],0),39)),"")</f>
        <v/>
      </c>
      <c r="E26" t="str">
        <f>IFERROR(_xlfn.IFNA(INDEX(cards_old[],MATCH(AllCardsViz[[#This Row],[uuid]],cards_old[uuid],0),69),INDEX(tokens[],MATCH(AllCardsViz[[#This Row],[uuid]],tokens[uuid],0),40)),"")</f>
        <v/>
      </c>
      <c r="F26" t="str">
        <f>IFERROR(_xlfn.IFNA(INDEX(cards_old[],MATCH(AllCardsViz[[#This Row],[uuid]],cards_old[uuid],0),44),INDEX(tokens[],MATCH(AllCardsViz[[#This Row],[uuid]],tokens[uuid],0),24)),"")</f>
        <v/>
      </c>
      <c r="G26">
        <f>IFERROR(INDEX(sets[],MATCH(AllCardsViz[[#This Row],[Setcode]],sets[code],0),16),INDEX(sets[],MATCH(AllCardsViz[[#This Row],[Setcode]],sets[tokenSetCode],0),16))</f>
        <v>6</v>
      </c>
    </row>
    <row r="27" spans="1:7" x14ac:dyDescent="0.25">
      <c r="A27" t="str" cm="1">
        <f t="array" ref="A27">IFERROR(INDEX(_xlfn.VSTACK(cards_old[uuid],tokens[uuid]), ROW()-ROW($A$1)),"")</f>
        <v/>
      </c>
      <c r="B27" t="str">
        <f>IFERROR(_xlfn.IFNA(INDEX(cards_old[],MATCH(AllCardsViz[[#This Row],[uuid]],cards_old[uuid],0),52),INDEX(tokens[],MATCH(AllCardsViz[[#This Row],[uuid]],tokens[uuid],0),28)),"")</f>
        <v>Once Upon a Time</v>
      </c>
      <c r="C27" t="str">
        <f>IFERROR(_xlfn.IFNA(INDEX(cards_old[],MATCH(AllCardsViz[[#This Row],[uuid]],cards_old[uuid],0),64),""),"")</f>
        <v/>
      </c>
      <c r="D27" t="str">
        <f>IFERROR(_xlfn.IFNA(INDEX(cards_old[],MATCH(AllCardsViz[[#This Row],[uuid]],cards_old[uuid],0),68),INDEX(tokens[],MATCH(AllCardsViz[[#This Row],[uuid]],tokens[uuid],0),39)),"")</f>
        <v/>
      </c>
      <c r="E27" t="str">
        <f>IFERROR(_xlfn.IFNA(INDEX(cards_old[],MATCH(AllCardsViz[[#This Row],[uuid]],cards_old[uuid],0),69),INDEX(tokens[],MATCH(AllCardsViz[[#This Row],[uuid]],tokens[uuid],0),40)),"")</f>
        <v/>
      </c>
      <c r="F27" t="str">
        <f>IFERROR(_xlfn.IFNA(INDEX(cards_old[],MATCH(AllCardsViz[[#This Row],[uuid]],cards_old[uuid],0),44),INDEX(tokens[],MATCH(AllCardsViz[[#This Row],[uuid]],tokens[uuid],0),24)),"")</f>
        <v/>
      </c>
      <c r="G27">
        <f>IFERROR(INDEX(sets[],MATCH(AllCardsViz[[#This Row],[Setcode]],sets[code],0),16),INDEX(sets[],MATCH(AllCardsViz[[#This Row],[Setcode]],sets[tokenSetCode],0),16))</f>
        <v>6</v>
      </c>
    </row>
    <row r="28" spans="1:7" x14ac:dyDescent="0.25">
      <c r="A28" t="str" cm="1">
        <f t="array" ref="A28">IFERROR(INDEX(_xlfn.VSTACK(cards_old[uuid],tokens[uuid]), ROW()-ROW($A$1)),"")</f>
        <v/>
      </c>
      <c r="B28" t="str">
        <f>IFERROR(_xlfn.IFNA(INDEX(cards_old[],MATCH(AllCardsViz[[#This Row],[uuid]],cards_old[uuid],0),52),INDEX(tokens[],MATCH(AllCardsViz[[#This Row],[uuid]],tokens[uuid],0),28)),"")</f>
        <v>Once Upon a Time</v>
      </c>
      <c r="C28" t="str">
        <f>IFERROR(_xlfn.IFNA(INDEX(cards_old[],MATCH(AllCardsViz[[#This Row],[uuid]],cards_old[uuid],0),64),""),"")</f>
        <v/>
      </c>
      <c r="D28" t="str">
        <f>IFERROR(_xlfn.IFNA(INDEX(cards_old[],MATCH(AllCardsViz[[#This Row],[uuid]],cards_old[uuid],0),68),INDEX(tokens[],MATCH(AllCardsViz[[#This Row],[uuid]],tokens[uuid],0),39)),"")</f>
        <v/>
      </c>
      <c r="E28" t="str">
        <f>IFERROR(_xlfn.IFNA(INDEX(cards_old[],MATCH(AllCardsViz[[#This Row],[uuid]],cards_old[uuid],0),69),INDEX(tokens[],MATCH(AllCardsViz[[#This Row],[uuid]],tokens[uuid],0),40)),"")</f>
        <v/>
      </c>
      <c r="F28" t="str">
        <f>IFERROR(_xlfn.IFNA(INDEX(cards_old[],MATCH(AllCardsViz[[#This Row],[uuid]],cards_old[uuid],0),44),INDEX(tokens[],MATCH(AllCardsViz[[#This Row],[uuid]],tokens[uuid],0),24)),"")</f>
        <v/>
      </c>
      <c r="G28">
        <f>IFERROR(INDEX(sets[],MATCH(AllCardsViz[[#This Row],[Setcode]],sets[code],0),16),INDEX(sets[],MATCH(AllCardsViz[[#This Row],[Setcode]],sets[tokenSetCode],0),16))</f>
        <v>6</v>
      </c>
    </row>
    <row r="29" spans="1:7" x14ac:dyDescent="0.25">
      <c r="A29" t="str" cm="1">
        <f t="array" ref="A29">IFERROR(INDEX(_xlfn.VSTACK(cards_old[uuid],tokens[uuid]), ROW()-ROW($A$1)),"")</f>
        <v/>
      </c>
      <c r="B29" t="str">
        <f>IFERROR(_xlfn.IFNA(INDEX(cards_old[],MATCH(AllCardsViz[[#This Row],[uuid]],cards_old[uuid],0),52),INDEX(tokens[],MATCH(AllCardsViz[[#This Row],[uuid]],tokens[uuid],0),28)),"")</f>
        <v>Once Upon a Time</v>
      </c>
      <c r="C29" t="str">
        <f>IFERROR(_xlfn.IFNA(INDEX(cards_old[],MATCH(AllCardsViz[[#This Row],[uuid]],cards_old[uuid],0),64),""),"")</f>
        <v/>
      </c>
      <c r="D29" t="str">
        <f>IFERROR(_xlfn.IFNA(INDEX(cards_old[],MATCH(AllCardsViz[[#This Row],[uuid]],cards_old[uuid],0),68),INDEX(tokens[],MATCH(AllCardsViz[[#This Row],[uuid]],tokens[uuid],0),39)),"")</f>
        <v/>
      </c>
      <c r="E29" t="str">
        <f>IFERROR(_xlfn.IFNA(INDEX(cards_old[],MATCH(AllCardsViz[[#This Row],[uuid]],cards_old[uuid],0),69),INDEX(tokens[],MATCH(AllCardsViz[[#This Row],[uuid]],tokens[uuid],0),40)),"")</f>
        <v/>
      </c>
      <c r="F29" t="str">
        <f>IFERROR(_xlfn.IFNA(INDEX(cards_old[],MATCH(AllCardsViz[[#This Row],[uuid]],cards_old[uuid],0),44),INDEX(tokens[],MATCH(AllCardsViz[[#This Row],[uuid]],tokens[uuid],0),24)),"")</f>
        <v/>
      </c>
      <c r="G29">
        <f>IFERROR(INDEX(sets[],MATCH(AllCardsViz[[#This Row],[Setcode]],sets[code],0),16),INDEX(sets[],MATCH(AllCardsViz[[#This Row],[Setcode]],sets[tokenSetCode],0),16))</f>
        <v>6</v>
      </c>
    </row>
    <row r="30" spans="1:7" x14ac:dyDescent="0.25">
      <c r="A30" t="str" cm="1">
        <f t="array" ref="A30">IFERROR(INDEX(_xlfn.VSTACK(cards_old[uuid],tokens[uuid]), ROW()-ROW($A$1)),"")</f>
        <v/>
      </c>
      <c r="B30" t="str">
        <f>IFERROR(_xlfn.IFNA(INDEX(cards_old[],MATCH(AllCardsViz[[#This Row],[uuid]],cards_old[uuid],0),52),INDEX(tokens[],MATCH(AllCardsViz[[#This Row],[uuid]],tokens[uuid],0),28)),"")</f>
        <v>Once Upon a Time</v>
      </c>
      <c r="C30" t="str">
        <f>IFERROR(_xlfn.IFNA(INDEX(cards_old[],MATCH(AllCardsViz[[#This Row],[uuid]],cards_old[uuid],0),64),""),"")</f>
        <v/>
      </c>
      <c r="D30" t="str">
        <f>IFERROR(_xlfn.IFNA(INDEX(cards_old[],MATCH(AllCardsViz[[#This Row],[uuid]],cards_old[uuid],0),68),INDEX(tokens[],MATCH(AllCardsViz[[#This Row],[uuid]],tokens[uuid],0),39)),"")</f>
        <v/>
      </c>
      <c r="E30" t="str">
        <f>IFERROR(_xlfn.IFNA(INDEX(cards_old[],MATCH(AllCardsViz[[#This Row],[uuid]],cards_old[uuid],0),69),INDEX(tokens[],MATCH(AllCardsViz[[#This Row],[uuid]],tokens[uuid],0),40)),"")</f>
        <v/>
      </c>
      <c r="F30" t="str">
        <f>IFERROR(_xlfn.IFNA(INDEX(cards_old[],MATCH(AllCardsViz[[#This Row],[uuid]],cards_old[uuid],0),44),INDEX(tokens[],MATCH(AllCardsViz[[#This Row],[uuid]],tokens[uuid],0),24)),"")</f>
        <v/>
      </c>
      <c r="G30">
        <f>IFERROR(INDEX(sets[],MATCH(AllCardsViz[[#This Row],[Setcode]],sets[code],0),16),INDEX(sets[],MATCH(AllCardsViz[[#This Row],[Setcode]],sets[tokenSetCode],0),16))</f>
        <v>6</v>
      </c>
    </row>
    <row r="31" spans="1:7" x14ac:dyDescent="0.25">
      <c r="A31" t="str" cm="1">
        <f t="array" ref="A31">IFERROR(INDEX(_xlfn.VSTACK(cards_old[uuid],tokens[uuid]), ROW()-ROW($A$1)),"")</f>
        <v/>
      </c>
      <c r="B31" t="str">
        <f>IFERROR(_xlfn.IFNA(INDEX(cards_old[],MATCH(AllCardsViz[[#This Row],[uuid]],cards_old[uuid],0),52),INDEX(tokens[],MATCH(AllCardsViz[[#This Row],[uuid]],tokens[uuid],0),28)),"")</f>
        <v>Once Upon a Time</v>
      </c>
      <c r="C31" t="str">
        <f>IFERROR(_xlfn.IFNA(INDEX(cards_old[],MATCH(AllCardsViz[[#This Row],[uuid]],cards_old[uuid],0),64),""),"")</f>
        <v/>
      </c>
      <c r="D31" t="str">
        <f>IFERROR(_xlfn.IFNA(INDEX(cards_old[],MATCH(AllCardsViz[[#This Row],[uuid]],cards_old[uuid],0),68),INDEX(tokens[],MATCH(AllCardsViz[[#This Row],[uuid]],tokens[uuid],0),39)),"")</f>
        <v/>
      </c>
      <c r="E31" t="str">
        <f>IFERROR(_xlfn.IFNA(INDEX(cards_old[],MATCH(AllCardsViz[[#This Row],[uuid]],cards_old[uuid],0),69),INDEX(tokens[],MATCH(AllCardsViz[[#This Row],[uuid]],tokens[uuid],0),40)),"")</f>
        <v/>
      </c>
      <c r="F31" t="str">
        <f>IFERROR(_xlfn.IFNA(INDEX(cards_old[],MATCH(AllCardsViz[[#This Row],[uuid]],cards_old[uuid],0),44),INDEX(tokens[],MATCH(AllCardsViz[[#This Row],[uuid]],tokens[uuid],0),24)),"")</f>
        <v/>
      </c>
      <c r="G31">
        <f>IFERROR(INDEX(sets[],MATCH(AllCardsViz[[#This Row],[Setcode]],sets[code],0),16),INDEX(sets[],MATCH(AllCardsViz[[#This Row],[Setcode]],sets[tokenSetCode],0),16))</f>
        <v>6</v>
      </c>
    </row>
    <row r="32" spans="1:7" x14ac:dyDescent="0.25">
      <c r="A32" t="str" cm="1">
        <f t="array" ref="A32">IFERROR(INDEX(_xlfn.VSTACK(cards_old[uuid],tokens[uuid]), ROW()-ROW($A$1)),"")</f>
        <v/>
      </c>
      <c r="B32" t="str">
        <f>IFERROR(_xlfn.IFNA(INDEX(cards_old[],MATCH(AllCardsViz[[#This Row],[uuid]],cards_old[uuid],0),52),INDEX(tokens[],MATCH(AllCardsViz[[#This Row],[uuid]],tokens[uuid],0),28)),"")</f>
        <v>Once Upon a Time</v>
      </c>
      <c r="C32" t="str">
        <f>IFERROR(_xlfn.IFNA(INDEX(cards_old[],MATCH(AllCardsViz[[#This Row],[uuid]],cards_old[uuid],0),64),""),"")</f>
        <v/>
      </c>
      <c r="D32" t="str">
        <f>IFERROR(_xlfn.IFNA(INDEX(cards_old[],MATCH(AllCardsViz[[#This Row],[uuid]],cards_old[uuid],0),68),INDEX(tokens[],MATCH(AllCardsViz[[#This Row],[uuid]],tokens[uuid],0),39)),"")</f>
        <v/>
      </c>
      <c r="E32" t="str">
        <f>IFERROR(_xlfn.IFNA(INDEX(cards_old[],MATCH(AllCardsViz[[#This Row],[uuid]],cards_old[uuid],0),69),INDEX(tokens[],MATCH(AllCardsViz[[#This Row],[uuid]],tokens[uuid],0),40)),"")</f>
        <v/>
      </c>
      <c r="F32" t="str">
        <f>IFERROR(_xlfn.IFNA(INDEX(cards_old[],MATCH(AllCardsViz[[#This Row],[uuid]],cards_old[uuid],0),44),INDEX(tokens[],MATCH(AllCardsViz[[#This Row],[uuid]],tokens[uuid],0),24)),"")</f>
        <v/>
      </c>
      <c r="G32">
        <f>IFERROR(INDEX(sets[],MATCH(AllCardsViz[[#This Row],[Setcode]],sets[code],0),16),INDEX(sets[],MATCH(AllCardsViz[[#This Row],[Setcode]],sets[tokenSetCode],0),16))</f>
        <v>6</v>
      </c>
    </row>
    <row r="33" spans="1:7" x14ac:dyDescent="0.25">
      <c r="A33" t="str" cm="1">
        <f t="array" ref="A33">IFERROR(INDEX(_xlfn.VSTACK(cards_old[uuid],tokens[uuid]), ROW()-ROW($A$1)),"")</f>
        <v/>
      </c>
      <c r="B33" t="str">
        <f>IFERROR(_xlfn.IFNA(INDEX(cards_old[],MATCH(AllCardsViz[[#This Row],[uuid]],cards_old[uuid],0),52),INDEX(tokens[],MATCH(AllCardsViz[[#This Row],[uuid]],tokens[uuid],0),28)),"")</f>
        <v>Once Upon a Time</v>
      </c>
      <c r="C33" t="str">
        <f>IFERROR(_xlfn.IFNA(INDEX(cards_old[],MATCH(AllCardsViz[[#This Row],[uuid]],cards_old[uuid],0),64),""),"")</f>
        <v/>
      </c>
      <c r="D33" t="str">
        <f>IFERROR(_xlfn.IFNA(INDEX(cards_old[],MATCH(AllCardsViz[[#This Row],[uuid]],cards_old[uuid],0),68),INDEX(tokens[],MATCH(AllCardsViz[[#This Row],[uuid]],tokens[uuid],0),39)),"")</f>
        <v/>
      </c>
      <c r="E33" t="str">
        <f>IFERROR(_xlfn.IFNA(INDEX(cards_old[],MATCH(AllCardsViz[[#This Row],[uuid]],cards_old[uuid],0),69),INDEX(tokens[],MATCH(AllCardsViz[[#This Row],[uuid]],tokens[uuid],0),40)),"")</f>
        <v/>
      </c>
      <c r="F33" t="str">
        <f>IFERROR(_xlfn.IFNA(INDEX(cards_old[],MATCH(AllCardsViz[[#This Row],[uuid]],cards_old[uuid],0),44),INDEX(tokens[],MATCH(AllCardsViz[[#This Row],[uuid]],tokens[uuid],0),24)),"")</f>
        <v/>
      </c>
      <c r="G33">
        <f>IFERROR(INDEX(sets[],MATCH(AllCardsViz[[#This Row],[Setcode]],sets[code],0),16),INDEX(sets[],MATCH(AllCardsViz[[#This Row],[Setcode]],sets[tokenSetCode],0),16))</f>
        <v>6</v>
      </c>
    </row>
    <row r="34" spans="1:7" x14ac:dyDescent="0.25">
      <c r="A34" t="str" cm="1">
        <f t="array" ref="A34">IFERROR(INDEX(_xlfn.VSTACK(cards_old[uuid],tokens[uuid]), ROW()-ROW($A$1)),"")</f>
        <v/>
      </c>
      <c r="B34" t="str">
        <f>IFERROR(_xlfn.IFNA(INDEX(cards_old[],MATCH(AllCardsViz[[#This Row],[uuid]],cards_old[uuid],0),52),INDEX(tokens[],MATCH(AllCardsViz[[#This Row],[uuid]],tokens[uuid],0),28)),"")</f>
        <v>Once Upon a Time</v>
      </c>
      <c r="C34" t="str">
        <f>IFERROR(_xlfn.IFNA(INDEX(cards_old[],MATCH(AllCardsViz[[#This Row],[uuid]],cards_old[uuid],0),64),""),"")</f>
        <v/>
      </c>
      <c r="D34" t="str">
        <f>IFERROR(_xlfn.IFNA(INDEX(cards_old[],MATCH(AllCardsViz[[#This Row],[uuid]],cards_old[uuid],0),68),INDEX(tokens[],MATCH(AllCardsViz[[#This Row],[uuid]],tokens[uuid],0),39)),"")</f>
        <v/>
      </c>
      <c r="E34" t="str">
        <f>IFERROR(_xlfn.IFNA(INDEX(cards_old[],MATCH(AllCardsViz[[#This Row],[uuid]],cards_old[uuid],0),69),INDEX(tokens[],MATCH(AllCardsViz[[#This Row],[uuid]],tokens[uuid],0),40)),"")</f>
        <v/>
      </c>
      <c r="F34" t="str">
        <f>IFERROR(_xlfn.IFNA(INDEX(cards_old[],MATCH(AllCardsViz[[#This Row],[uuid]],cards_old[uuid],0),44),INDEX(tokens[],MATCH(AllCardsViz[[#This Row],[uuid]],tokens[uuid],0),24)),"")</f>
        <v/>
      </c>
      <c r="G34">
        <f>IFERROR(INDEX(sets[],MATCH(AllCardsViz[[#This Row],[Setcode]],sets[code],0),16),INDEX(sets[],MATCH(AllCardsViz[[#This Row],[Setcode]],sets[tokenSetCode],0),16))</f>
        <v>6</v>
      </c>
    </row>
    <row r="35" spans="1:7" x14ac:dyDescent="0.25">
      <c r="A35" t="str" cm="1">
        <f t="array" ref="A35">IFERROR(INDEX(_xlfn.VSTACK(cards_old[uuid],tokens[uuid]), ROW()-ROW($A$1)),"")</f>
        <v/>
      </c>
      <c r="B35" t="str">
        <f>IFERROR(_xlfn.IFNA(INDEX(cards_old[],MATCH(AllCardsViz[[#This Row],[uuid]],cards_old[uuid],0),52),INDEX(tokens[],MATCH(AllCardsViz[[#This Row],[uuid]],tokens[uuid],0),28)),"")</f>
        <v>Once Upon a Time</v>
      </c>
      <c r="C35" t="str">
        <f>IFERROR(_xlfn.IFNA(INDEX(cards_old[],MATCH(AllCardsViz[[#This Row],[uuid]],cards_old[uuid],0),64),""),"")</f>
        <v/>
      </c>
      <c r="D35" t="str">
        <f>IFERROR(_xlfn.IFNA(INDEX(cards_old[],MATCH(AllCardsViz[[#This Row],[uuid]],cards_old[uuid],0),68),INDEX(tokens[],MATCH(AllCardsViz[[#This Row],[uuid]],tokens[uuid],0),39)),"")</f>
        <v/>
      </c>
      <c r="E35" t="str">
        <f>IFERROR(_xlfn.IFNA(INDEX(cards_old[],MATCH(AllCardsViz[[#This Row],[uuid]],cards_old[uuid],0),69),INDEX(tokens[],MATCH(AllCardsViz[[#This Row],[uuid]],tokens[uuid],0),40)),"")</f>
        <v/>
      </c>
      <c r="F35" t="str">
        <f>IFERROR(_xlfn.IFNA(INDEX(cards_old[],MATCH(AllCardsViz[[#This Row],[uuid]],cards_old[uuid],0),44),INDEX(tokens[],MATCH(AllCardsViz[[#This Row],[uuid]],tokens[uuid],0),24)),"")</f>
        <v/>
      </c>
      <c r="G35">
        <f>IFERROR(INDEX(sets[],MATCH(AllCardsViz[[#This Row],[Setcode]],sets[code],0),16),INDEX(sets[],MATCH(AllCardsViz[[#This Row],[Setcode]],sets[tokenSetCode],0),16))</f>
        <v>6</v>
      </c>
    </row>
    <row r="36" spans="1:7" x14ac:dyDescent="0.25">
      <c r="A36" t="str" cm="1">
        <f t="array" ref="A36">IFERROR(INDEX(_xlfn.VSTACK(cards_old[uuid],tokens[uuid]), ROW()-ROW($A$1)),"")</f>
        <v/>
      </c>
      <c r="B36" t="str">
        <f>IFERROR(_xlfn.IFNA(INDEX(cards_old[],MATCH(AllCardsViz[[#This Row],[uuid]],cards_old[uuid],0),52),INDEX(tokens[],MATCH(AllCardsViz[[#This Row],[uuid]],tokens[uuid],0),28)),"")</f>
        <v>Once Upon a Time</v>
      </c>
      <c r="C36" t="str">
        <f>IFERROR(_xlfn.IFNA(INDEX(cards_old[],MATCH(AllCardsViz[[#This Row],[uuid]],cards_old[uuid],0),64),""),"")</f>
        <v/>
      </c>
      <c r="D36" t="str">
        <f>IFERROR(_xlfn.IFNA(INDEX(cards_old[],MATCH(AllCardsViz[[#This Row],[uuid]],cards_old[uuid],0),68),INDEX(tokens[],MATCH(AllCardsViz[[#This Row],[uuid]],tokens[uuid],0),39)),"")</f>
        <v/>
      </c>
      <c r="E36" t="str">
        <f>IFERROR(_xlfn.IFNA(INDEX(cards_old[],MATCH(AllCardsViz[[#This Row],[uuid]],cards_old[uuid],0),69),INDEX(tokens[],MATCH(AllCardsViz[[#This Row],[uuid]],tokens[uuid],0),40)),"")</f>
        <v/>
      </c>
      <c r="F36" t="str">
        <f>IFERROR(_xlfn.IFNA(INDEX(cards_old[],MATCH(AllCardsViz[[#This Row],[uuid]],cards_old[uuid],0),44),INDEX(tokens[],MATCH(AllCardsViz[[#This Row],[uuid]],tokens[uuid],0),24)),"")</f>
        <v/>
      </c>
      <c r="G36">
        <f>IFERROR(INDEX(sets[],MATCH(AllCardsViz[[#This Row],[Setcode]],sets[code],0),16),INDEX(sets[],MATCH(AllCardsViz[[#This Row],[Setcode]],sets[tokenSetCode],0),16))</f>
        <v>6</v>
      </c>
    </row>
    <row r="37" spans="1:7" x14ac:dyDescent="0.25">
      <c r="A37" t="str" cm="1">
        <f t="array" ref="A37">IFERROR(INDEX(_xlfn.VSTACK(cards_old[uuid],tokens[uuid]), ROW()-ROW($A$1)),"")</f>
        <v/>
      </c>
      <c r="B37" t="str">
        <f>IFERROR(_xlfn.IFNA(INDEX(cards_old[],MATCH(AllCardsViz[[#This Row],[uuid]],cards_old[uuid],0),52),INDEX(tokens[],MATCH(AllCardsViz[[#This Row],[uuid]],tokens[uuid],0),28)),"")</f>
        <v>Once Upon a Time</v>
      </c>
      <c r="C37" t="str">
        <f>IFERROR(_xlfn.IFNA(INDEX(cards_old[],MATCH(AllCardsViz[[#This Row],[uuid]],cards_old[uuid],0),64),""),"")</f>
        <v/>
      </c>
      <c r="D37" t="str">
        <f>IFERROR(_xlfn.IFNA(INDEX(cards_old[],MATCH(AllCardsViz[[#This Row],[uuid]],cards_old[uuid],0),68),INDEX(tokens[],MATCH(AllCardsViz[[#This Row],[uuid]],tokens[uuid],0),39)),"")</f>
        <v/>
      </c>
      <c r="E37" t="str">
        <f>IFERROR(_xlfn.IFNA(INDEX(cards_old[],MATCH(AllCardsViz[[#This Row],[uuid]],cards_old[uuid],0),69),INDEX(tokens[],MATCH(AllCardsViz[[#This Row],[uuid]],tokens[uuid],0),40)),"")</f>
        <v/>
      </c>
      <c r="F37" t="str">
        <f>IFERROR(_xlfn.IFNA(INDEX(cards_old[],MATCH(AllCardsViz[[#This Row],[uuid]],cards_old[uuid],0),44),INDEX(tokens[],MATCH(AllCardsViz[[#This Row],[uuid]],tokens[uuid],0),24)),"")</f>
        <v/>
      </c>
      <c r="G37">
        <f>IFERROR(INDEX(sets[],MATCH(AllCardsViz[[#This Row],[Setcode]],sets[code],0),16),INDEX(sets[],MATCH(AllCardsViz[[#This Row],[Setcode]],sets[tokenSetCode],0),16))</f>
        <v>6</v>
      </c>
    </row>
    <row r="38" spans="1:7" x14ac:dyDescent="0.25">
      <c r="A38" t="str" cm="1">
        <f t="array" ref="A38">IFERROR(INDEX(_xlfn.VSTACK(cards_old[uuid],tokens[uuid]), ROW()-ROW($A$1)),"")</f>
        <v/>
      </c>
      <c r="B38" t="str">
        <f>IFERROR(_xlfn.IFNA(INDEX(cards_old[],MATCH(AllCardsViz[[#This Row],[uuid]],cards_old[uuid],0),52),INDEX(tokens[],MATCH(AllCardsViz[[#This Row],[uuid]],tokens[uuid],0),28)),"")</f>
        <v>Once Upon a Time</v>
      </c>
      <c r="C38" t="str">
        <f>IFERROR(_xlfn.IFNA(INDEX(cards_old[],MATCH(AllCardsViz[[#This Row],[uuid]],cards_old[uuid],0),64),""),"")</f>
        <v/>
      </c>
      <c r="D38" t="str">
        <f>IFERROR(_xlfn.IFNA(INDEX(cards_old[],MATCH(AllCardsViz[[#This Row],[uuid]],cards_old[uuid],0),68),INDEX(tokens[],MATCH(AllCardsViz[[#This Row],[uuid]],tokens[uuid],0),39)),"")</f>
        <v/>
      </c>
      <c r="E38" t="str">
        <f>IFERROR(_xlfn.IFNA(INDEX(cards_old[],MATCH(AllCardsViz[[#This Row],[uuid]],cards_old[uuid],0),69),INDEX(tokens[],MATCH(AllCardsViz[[#This Row],[uuid]],tokens[uuid],0),40)),"")</f>
        <v/>
      </c>
      <c r="F38" t="str">
        <f>IFERROR(_xlfn.IFNA(INDEX(cards_old[],MATCH(AllCardsViz[[#This Row],[uuid]],cards_old[uuid],0),44),INDEX(tokens[],MATCH(AllCardsViz[[#This Row],[uuid]],tokens[uuid],0),24)),"")</f>
        <v/>
      </c>
      <c r="G38">
        <f>IFERROR(INDEX(sets[],MATCH(AllCardsViz[[#This Row],[Setcode]],sets[code],0),16),INDEX(sets[],MATCH(AllCardsViz[[#This Row],[Setcode]],sets[tokenSetCode],0),16))</f>
        <v>6</v>
      </c>
    </row>
    <row r="39" spans="1:7" x14ac:dyDescent="0.25">
      <c r="A39" t="str" cm="1">
        <f t="array" ref="A39">IFERROR(INDEX(_xlfn.VSTACK(cards_old[uuid],tokens[uuid]), ROW()-ROW($A$1)),"")</f>
        <v/>
      </c>
      <c r="B39" t="str">
        <f>IFERROR(_xlfn.IFNA(INDEX(cards_old[],MATCH(AllCardsViz[[#This Row],[uuid]],cards_old[uuid],0),52),INDEX(tokens[],MATCH(AllCardsViz[[#This Row],[uuid]],tokens[uuid],0),28)),"")</f>
        <v>Once Upon a Time</v>
      </c>
      <c r="C39" t="str">
        <f>IFERROR(_xlfn.IFNA(INDEX(cards_old[],MATCH(AllCardsViz[[#This Row],[uuid]],cards_old[uuid],0),64),""),"")</f>
        <v/>
      </c>
      <c r="D39" t="str">
        <f>IFERROR(_xlfn.IFNA(INDEX(cards_old[],MATCH(AllCardsViz[[#This Row],[uuid]],cards_old[uuid],0),68),INDEX(tokens[],MATCH(AllCardsViz[[#This Row],[uuid]],tokens[uuid],0),39)),"")</f>
        <v/>
      </c>
      <c r="E39" t="str">
        <f>IFERROR(_xlfn.IFNA(INDEX(cards_old[],MATCH(AllCardsViz[[#This Row],[uuid]],cards_old[uuid],0),69),INDEX(tokens[],MATCH(AllCardsViz[[#This Row],[uuid]],tokens[uuid],0),40)),"")</f>
        <v/>
      </c>
      <c r="F39" t="str">
        <f>IFERROR(_xlfn.IFNA(INDEX(cards_old[],MATCH(AllCardsViz[[#This Row],[uuid]],cards_old[uuid],0),44),INDEX(tokens[],MATCH(AllCardsViz[[#This Row],[uuid]],tokens[uuid],0),24)),"")</f>
        <v/>
      </c>
      <c r="G39">
        <f>IFERROR(INDEX(sets[],MATCH(AllCardsViz[[#This Row],[Setcode]],sets[code],0),16),INDEX(sets[],MATCH(AllCardsViz[[#This Row],[Setcode]],sets[tokenSetCode],0),16))</f>
        <v>6</v>
      </c>
    </row>
    <row r="40" spans="1:7" x14ac:dyDescent="0.25">
      <c r="A40" t="str" cm="1">
        <f t="array" ref="A40">IFERROR(INDEX(_xlfn.VSTACK(cards_old[uuid],tokens[uuid]), ROW()-ROW($A$1)),"")</f>
        <v/>
      </c>
      <c r="B40" t="str">
        <f>IFERROR(_xlfn.IFNA(INDEX(cards_old[],MATCH(AllCardsViz[[#This Row],[uuid]],cards_old[uuid],0),52),INDEX(tokens[],MATCH(AllCardsViz[[#This Row],[uuid]],tokens[uuid],0),28)),"")</f>
        <v>Once Upon a Time</v>
      </c>
      <c r="C40" t="str">
        <f>IFERROR(_xlfn.IFNA(INDEX(cards_old[],MATCH(AllCardsViz[[#This Row],[uuid]],cards_old[uuid],0),64),""),"")</f>
        <v/>
      </c>
      <c r="D40" t="str">
        <f>IFERROR(_xlfn.IFNA(INDEX(cards_old[],MATCH(AllCardsViz[[#This Row],[uuid]],cards_old[uuid],0),68),INDEX(tokens[],MATCH(AllCardsViz[[#This Row],[uuid]],tokens[uuid],0),39)),"")</f>
        <v/>
      </c>
      <c r="E40" t="str">
        <f>IFERROR(_xlfn.IFNA(INDEX(cards_old[],MATCH(AllCardsViz[[#This Row],[uuid]],cards_old[uuid],0),69),INDEX(tokens[],MATCH(AllCardsViz[[#This Row],[uuid]],tokens[uuid],0),40)),"")</f>
        <v/>
      </c>
      <c r="F40" t="str">
        <f>IFERROR(_xlfn.IFNA(INDEX(cards_old[],MATCH(AllCardsViz[[#This Row],[uuid]],cards_old[uuid],0),44),INDEX(tokens[],MATCH(AllCardsViz[[#This Row],[uuid]],tokens[uuid],0),24)),"")</f>
        <v/>
      </c>
      <c r="G40">
        <f>IFERROR(INDEX(sets[],MATCH(AllCardsViz[[#This Row],[Setcode]],sets[code],0),16),INDEX(sets[],MATCH(AllCardsViz[[#This Row],[Setcode]],sets[tokenSetCode],0),16))</f>
        <v>6</v>
      </c>
    </row>
    <row r="41" spans="1:7" x14ac:dyDescent="0.25">
      <c r="A41" t="str" cm="1">
        <f t="array" ref="A41">IFERROR(INDEX(_xlfn.VSTACK(cards_old[uuid],tokens[uuid]), ROW()-ROW($A$1)),"")</f>
        <v/>
      </c>
      <c r="B41" t="str">
        <f>IFERROR(_xlfn.IFNA(INDEX(cards_old[],MATCH(AllCardsViz[[#This Row],[uuid]],cards_old[uuid],0),52),INDEX(tokens[],MATCH(AllCardsViz[[#This Row],[uuid]],tokens[uuid],0),28)),"")</f>
        <v>Once Upon a Time</v>
      </c>
      <c r="C41" t="str">
        <f>IFERROR(_xlfn.IFNA(INDEX(cards_old[],MATCH(AllCardsViz[[#This Row],[uuid]],cards_old[uuid],0),64),""),"")</f>
        <v/>
      </c>
      <c r="D41" t="str">
        <f>IFERROR(_xlfn.IFNA(INDEX(cards_old[],MATCH(AllCardsViz[[#This Row],[uuid]],cards_old[uuid],0),68),INDEX(tokens[],MATCH(AllCardsViz[[#This Row],[uuid]],tokens[uuid],0),39)),"")</f>
        <v/>
      </c>
      <c r="E41" t="str">
        <f>IFERROR(_xlfn.IFNA(INDEX(cards_old[],MATCH(AllCardsViz[[#This Row],[uuid]],cards_old[uuid],0),69),INDEX(tokens[],MATCH(AllCardsViz[[#This Row],[uuid]],tokens[uuid],0),40)),"")</f>
        <v/>
      </c>
      <c r="F41" t="str">
        <f>IFERROR(_xlfn.IFNA(INDEX(cards_old[],MATCH(AllCardsViz[[#This Row],[uuid]],cards_old[uuid],0),44),INDEX(tokens[],MATCH(AllCardsViz[[#This Row],[uuid]],tokens[uuid],0),24)),"")</f>
        <v/>
      </c>
      <c r="G41">
        <f>IFERROR(INDEX(sets[],MATCH(AllCardsViz[[#This Row],[Setcode]],sets[code],0),16),INDEX(sets[],MATCH(AllCardsViz[[#This Row],[Setcode]],sets[tokenSetCode],0),16))</f>
        <v>6</v>
      </c>
    </row>
    <row r="42" spans="1:7" x14ac:dyDescent="0.25">
      <c r="A42" t="str" cm="1">
        <f t="array" ref="A42">IFERROR(INDEX(_xlfn.VSTACK(cards_old[uuid],tokens[uuid]), ROW()-ROW($A$1)),"")</f>
        <v>5e6a3099-2597-5755-8a6f-67f1569a3b8a</v>
      </c>
      <c r="B42" t="str">
        <f>IFERROR(_xlfn.IFNA(INDEX(cards_old[],MATCH(AllCardsViz[[#This Row],[uuid]],cards_old[uuid],0),52),INDEX(tokens[],MATCH(AllCardsViz[[#This Row],[uuid]],tokens[uuid],0),28)),"")</f>
        <v>Leave No Trace</v>
      </c>
      <c r="C42" t="str">
        <f>IFERROR(_xlfn.IFNA(INDEX(cards_old[],MATCH(AllCardsViz[[#This Row],[uuid]],cards_old[uuid],0),64),""),"")</f>
        <v/>
      </c>
      <c r="D42" t="str">
        <f>IFERROR(_xlfn.IFNA(INDEX(cards_old[],MATCH(AllCardsViz[[#This Row],[uuid]],cards_old[uuid],0),68),INDEX(tokens[],MATCH(AllCardsViz[[#This Row],[uuid]],tokens[uuid],0),39)),"")</f>
        <v/>
      </c>
      <c r="E42" t="str">
        <f>IFERROR(_xlfn.IFNA(INDEX(cards_old[],MATCH(AllCardsViz[[#This Row],[uuid]],cards_old[uuid],0),69),INDEX(tokens[],MATCH(AllCardsViz[[#This Row],[uuid]],tokens[uuid],0),40)),"")</f>
        <v>RAV</v>
      </c>
      <c r="F42" t="str">
        <f>IFERROR(_xlfn.IFNA(INDEX(cards_old[],MATCH(AllCardsViz[[#This Row],[uuid]],cards_old[uuid],0),44),INDEX(tokens[],MATCH(AllCardsViz[[#This Row],[uuid]],tokens[uuid],0),24)),"")</f>
        <v>Radiance</v>
      </c>
      <c r="G42">
        <f>IFERROR(INDEX(sets[],MATCH(AllCardsViz[[#This Row],[Setcode]],sets[code],0),16),INDEX(sets[],MATCH(AllCardsViz[[#This Row],[Setcode]],sets[tokenSetCode],0),16))</f>
        <v>6</v>
      </c>
    </row>
    <row r="43" spans="1:7" x14ac:dyDescent="0.25">
      <c r="A43" t="str" cm="1">
        <f t="array" ref="A43">IFERROR(INDEX(_xlfn.VSTACK(cards_old[uuid],tokens[uuid]), ROW()-ROW($A$1)),"")</f>
        <v/>
      </c>
      <c r="B43" t="str">
        <f>IFERROR(_xlfn.IFNA(INDEX(cards_old[],MATCH(AllCardsViz[[#This Row],[uuid]],cards_old[uuid],0),52),INDEX(tokens[],MATCH(AllCardsViz[[#This Row],[uuid]],tokens[uuid],0),28)),"")</f>
        <v>Once Upon a Time</v>
      </c>
      <c r="C43" t="str">
        <f>IFERROR(_xlfn.IFNA(INDEX(cards_old[],MATCH(AllCardsViz[[#This Row],[uuid]],cards_old[uuid],0),64),""),"")</f>
        <v/>
      </c>
      <c r="D43" t="str">
        <f>IFERROR(_xlfn.IFNA(INDEX(cards_old[],MATCH(AllCardsViz[[#This Row],[uuid]],cards_old[uuid],0),68),INDEX(tokens[],MATCH(AllCardsViz[[#This Row],[uuid]],tokens[uuid],0),39)),"")</f>
        <v/>
      </c>
      <c r="E43" t="str">
        <f>IFERROR(_xlfn.IFNA(INDEX(cards_old[],MATCH(AllCardsViz[[#This Row],[uuid]],cards_old[uuid],0),69),INDEX(tokens[],MATCH(AllCardsViz[[#This Row],[uuid]],tokens[uuid],0),40)),"")</f>
        <v/>
      </c>
      <c r="F43" t="str">
        <f>IFERROR(_xlfn.IFNA(INDEX(cards_old[],MATCH(AllCardsViz[[#This Row],[uuid]],cards_old[uuid],0),44),INDEX(tokens[],MATCH(AllCardsViz[[#This Row],[uuid]],tokens[uuid],0),24)),"")</f>
        <v/>
      </c>
      <c r="G43">
        <f>IFERROR(INDEX(sets[],MATCH(AllCardsViz[[#This Row],[Setcode]],sets[code],0),16),INDEX(sets[],MATCH(AllCardsViz[[#This Row],[Setcode]],sets[tokenSetCode],0),16))</f>
        <v>6</v>
      </c>
    </row>
    <row r="44" spans="1:7" x14ac:dyDescent="0.25">
      <c r="A44" t="str" cm="1">
        <f t="array" ref="A44">IFERROR(INDEX(_xlfn.VSTACK(cards_old[uuid],tokens[uuid]), ROW()-ROW($A$1)),"")</f>
        <v/>
      </c>
      <c r="B44" t="str">
        <f>IFERROR(_xlfn.IFNA(INDEX(cards_old[],MATCH(AllCardsViz[[#This Row],[uuid]],cards_old[uuid],0),52),INDEX(tokens[],MATCH(AllCardsViz[[#This Row],[uuid]],tokens[uuid],0),28)),"")</f>
        <v>Once Upon a Time</v>
      </c>
      <c r="C44" t="str">
        <f>IFERROR(_xlfn.IFNA(INDEX(cards_old[],MATCH(AllCardsViz[[#This Row],[uuid]],cards_old[uuid],0),64),""),"")</f>
        <v/>
      </c>
      <c r="D44" t="str">
        <f>IFERROR(_xlfn.IFNA(INDEX(cards_old[],MATCH(AllCardsViz[[#This Row],[uuid]],cards_old[uuid],0),68),INDEX(tokens[],MATCH(AllCardsViz[[#This Row],[uuid]],tokens[uuid],0),39)),"")</f>
        <v/>
      </c>
      <c r="E44" t="str">
        <f>IFERROR(_xlfn.IFNA(INDEX(cards_old[],MATCH(AllCardsViz[[#This Row],[uuid]],cards_old[uuid],0),69),INDEX(tokens[],MATCH(AllCardsViz[[#This Row],[uuid]],tokens[uuid],0),40)),"")</f>
        <v/>
      </c>
      <c r="F44" t="str">
        <f>IFERROR(_xlfn.IFNA(INDEX(cards_old[],MATCH(AllCardsViz[[#This Row],[uuid]],cards_old[uuid],0),44),INDEX(tokens[],MATCH(AllCardsViz[[#This Row],[uuid]],tokens[uuid],0),24)),"")</f>
        <v/>
      </c>
      <c r="G44">
        <f>IFERROR(INDEX(sets[],MATCH(AllCardsViz[[#This Row],[Setcode]],sets[code],0),16),INDEX(sets[],MATCH(AllCardsViz[[#This Row],[Setcode]],sets[tokenSetCode],0),16))</f>
        <v>6</v>
      </c>
    </row>
    <row r="45" spans="1:7" x14ac:dyDescent="0.25">
      <c r="A45" t="str" cm="1">
        <f t="array" ref="A45">IFERROR(INDEX(_xlfn.VSTACK(cards_old[uuid],tokens[uuid]), ROW()-ROW($A$1)),"")</f>
        <v/>
      </c>
      <c r="B45" t="str">
        <f>IFERROR(_xlfn.IFNA(INDEX(cards_old[],MATCH(AllCardsViz[[#This Row],[uuid]],cards_old[uuid],0),52),INDEX(tokens[],MATCH(AllCardsViz[[#This Row],[uuid]],tokens[uuid],0),28)),"")</f>
        <v>Once Upon a Time</v>
      </c>
      <c r="C45" t="str">
        <f>IFERROR(_xlfn.IFNA(INDEX(cards_old[],MATCH(AllCardsViz[[#This Row],[uuid]],cards_old[uuid],0),64),""),"")</f>
        <v/>
      </c>
      <c r="D45" t="str">
        <f>IFERROR(_xlfn.IFNA(INDEX(cards_old[],MATCH(AllCardsViz[[#This Row],[uuid]],cards_old[uuid],0),68),INDEX(tokens[],MATCH(AllCardsViz[[#This Row],[uuid]],tokens[uuid],0),39)),"")</f>
        <v/>
      </c>
      <c r="E45" t="str">
        <f>IFERROR(_xlfn.IFNA(INDEX(cards_old[],MATCH(AllCardsViz[[#This Row],[uuid]],cards_old[uuid],0),69),INDEX(tokens[],MATCH(AllCardsViz[[#This Row],[uuid]],tokens[uuid],0),40)),"")</f>
        <v/>
      </c>
      <c r="F45" t="str">
        <f>IFERROR(_xlfn.IFNA(INDEX(cards_old[],MATCH(AllCardsViz[[#This Row],[uuid]],cards_old[uuid],0),44),INDEX(tokens[],MATCH(AllCardsViz[[#This Row],[uuid]],tokens[uuid],0),24)),"")</f>
        <v/>
      </c>
      <c r="G45">
        <f>IFERROR(INDEX(sets[],MATCH(AllCardsViz[[#This Row],[Setcode]],sets[code],0),16),INDEX(sets[],MATCH(AllCardsViz[[#This Row],[Setcode]],sets[tokenSetCode],0),16))</f>
        <v>6</v>
      </c>
    </row>
    <row r="46" spans="1:7" x14ac:dyDescent="0.25">
      <c r="A46" t="str" cm="1">
        <f t="array" ref="A46">IFERROR(INDEX(_xlfn.VSTACK(cards_old[uuid],tokens[uuid]), ROW()-ROW($A$1)),"")</f>
        <v/>
      </c>
      <c r="B46" t="str">
        <f>IFERROR(_xlfn.IFNA(INDEX(cards_old[],MATCH(AllCardsViz[[#This Row],[uuid]],cards_old[uuid],0),52),INDEX(tokens[],MATCH(AllCardsViz[[#This Row],[uuid]],tokens[uuid],0),28)),"")</f>
        <v>Once Upon a Time</v>
      </c>
      <c r="C46" t="str">
        <f>IFERROR(_xlfn.IFNA(INDEX(cards_old[],MATCH(AllCardsViz[[#This Row],[uuid]],cards_old[uuid],0),64),""),"")</f>
        <v/>
      </c>
      <c r="D46" t="str">
        <f>IFERROR(_xlfn.IFNA(INDEX(cards_old[],MATCH(AllCardsViz[[#This Row],[uuid]],cards_old[uuid],0),68),INDEX(tokens[],MATCH(AllCardsViz[[#This Row],[uuid]],tokens[uuid],0),39)),"")</f>
        <v/>
      </c>
      <c r="E46" t="str">
        <f>IFERROR(_xlfn.IFNA(INDEX(cards_old[],MATCH(AllCardsViz[[#This Row],[uuid]],cards_old[uuid],0),69),INDEX(tokens[],MATCH(AllCardsViz[[#This Row],[uuid]],tokens[uuid],0),40)),"")</f>
        <v/>
      </c>
      <c r="F46" t="str">
        <f>IFERROR(_xlfn.IFNA(INDEX(cards_old[],MATCH(AllCardsViz[[#This Row],[uuid]],cards_old[uuid],0),44),INDEX(tokens[],MATCH(AllCardsViz[[#This Row],[uuid]],tokens[uuid],0),24)),"")</f>
        <v/>
      </c>
      <c r="G46">
        <f>IFERROR(INDEX(sets[],MATCH(AllCardsViz[[#This Row],[Setcode]],sets[code],0),16),INDEX(sets[],MATCH(AllCardsViz[[#This Row],[Setcode]],sets[tokenSetCode],0),16))</f>
        <v>6</v>
      </c>
    </row>
    <row r="47" spans="1:7" x14ac:dyDescent="0.25">
      <c r="A47" t="str" cm="1">
        <f t="array" ref="A47">IFERROR(INDEX(_xlfn.VSTACK(cards_old[uuid],tokens[uuid]), ROW()-ROW($A$1)),"")</f>
        <v/>
      </c>
      <c r="B47" t="str">
        <f>IFERROR(_xlfn.IFNA(INDEX(cards_old[],MATCH(AllCardsViz[[#This Row],[uuid]],cards_old[uuid],0),52),INDEX(tokens[],MATCH(AllCardsViz[[#This Row],[uuid]],tokens[uuid],0),28)),"")</f>
        <v>Once Upon a Time</v>
      </c>
      <c r="C47" t="str">
        <f>IFERROR(_xlfn.IFNA(INDEX(cards_old[],MATCH(AllCardsViz[[#This Row],[uuid]],cards_old[uuid],0),64),""),"")</f>
        <v/>
      </c>
      <c r="D47" t="str">
        <f>IFERROR(_xlfn.IFNA(INDEX(cards_old[],MATCH(AllCardsViz[[#This Row],[uuid]],cards_old[uuid],0),68),INDEX(tokens[],MATCH(AllCardsViz[[#This Row],[uuid]],tokens[uuid],0),39)),"")</f>
        <v/>
      </c>
      <c r="E47" t="str">
        <f>IFERROR(_xlfn.IFNA(INDEX(cards_old[],MATCH(AllCardsViz[[#This Row],[uuid]],cards_old[uuid],0),69),INDEX(tokens[],MATCH(AllCardsViz[[#This Row],[uuid]],tokens[uuid],0),40)),"")</f>
        <v/>
      </c>
      <c r="F47" t="str">
        <f>IFERROR(_xlfn.IFNA(INDEX(cards_old[],MATCH(AllCardsViz[[#This Row],[uuid]],cards_old[uuid],0),44),INDEX(tokens[],MATCH(AllCardsViz[[#This Row],[uuid]],tokens[uuid],0),24)),"")</f>
        <v/>
      </c>
      <c r="G47">
        <f>IFERROR(INDEX(sets[],MATCH(AllCardsViz[[#This Row],[Setcode]],sets[code],0),16),INDEX(sets[],MATCH(AllCardsViz[[#This Row],[Setcode]],sets[tokenSetCode],0),16))</f>
        <v>6</v>
      </c>
    </row>
    <row r="48" spans="1:7" x14ac:dyDescent="0.25">
      <c r="A48" t="str" cm="1">
        <f t="array" ref="A48">IFERROR(INDEX(_xlfn.VSTACK(cards_old[uuid],tokens[uuid]), ROW()-ROW($A$1)),"")</f>
        <v/>
      </c>
      <c r="B48" t="str">
        <f>IFERROR(_xlfn.IFNA(INDEX(cards_old[],MATCH(AllCardsViz[[#This Row],[uuid]],cards_old[uuid],0),52),INDEX(tokens[],MATCH(AllCardsViz[[#This Row],[uuid]],tokens[uuid],0),28)),"")</f>
        <v>Once Upon a Time</v>
      </c>
      <c r="C48" t="str">
        <f>IFERROR(_xlfn.IFNA(INDEX(cards_old[],MATCH(AllCardsViz[[#This Row],[uuid]],cards_old[uuid],0),64),""),"")</f>
        <v/>
      </c>
      <c r="D48" t="str">
        <f>IFERROR(_xlfn.IFNA(INDEX(cards_old[],MATCH(AllCardsViz[[#This Row],[uuid]],cards_old[uuid],0),68),INDEX(tokens[],MATCH(AllCardsViz[[#This Row],[uuid]],tokens[uuid],0),39)),"")</f>
        <v/>
      </c>
      <c r="E48" t="str">
        <f>IFERROR(_xlfn.IFNA(INDEX(cards_old[],MATCH(AllCardsViz[[#This Row],[uuid]],cards_old[uuid],0),69),INDEX(tokens[],MATCH(AllCardsViz[[#This Row],[uuid]],tokens[uuid],0),40)),"")</f>
        <v/>
      </c>
      <c r="F48" t="str">
        <f>IFERROR(_xlfn.IFNA(INDEX(cards_old[],MATCH(AllCardsViz[[#This Row],[uuid]],cards_old[uuid],0),44),INDEX(tokens[],MATCH(AllCardsViz[[#This Row],[uuid]],tokens[uuid],0),24)),"")</f>
        <v/>
      </c>
      <c r="G48">
        <f>IFERROR(INDEX(sets[],MATCH(AllCardsViz[[#This Row],[Setcode]],sets[code],0),16),INDEX(sets[],MATCH(AllCardsViz[[#This Row],[Setcode]],sets[tokenSetCode],0),16))</f>
        <v>6</v>
      </c>
    </row>
    <row r="49" spans="1:7" x14ac:dyDescent="0.25">
      <c r="A49" t="str" cm="1">
        <f t="array" ref="A49">IFERROR(INDEX(_xlfn.VSTACK(cards_old[uuid],tokens[uuid]), ROW()-ROW($A$1)),"")</f>
        <v/>
      </c>
      <c r="B49" t="str">
        <f>IFERROR(_xlfn.IFNA(INDEX(cards_old[],MATCH(AllCardsViz[[#This Row],[uuid]],cards_old[uuid],0),52),INDEX(tokens[],MATCH(AllCardsViz[[#This Row],[uuid]],tokens[uuid],0),28)),"")</f>
        <v>Once Upon a Time</v>
      </c>
      <c r="C49" t="str">
        <f>IFERROR(_xlfn.IFNA(INDEX(cards_old[],MATCH(AllCardsViz[[#This Row],[uuid]],cards_old[uuid],0),64),""),"")</f>
        <v/>
      </c>
      <c r="D49" t="str">
        <f>IFERROR(_xlfn.IFNA(INDEX(cards_old[],MATCH(AllCardsViz[[#This Row],[uuid]],cards_old[uuid],0),68),INDEX(tokens[],MATCH(AllCardsViz[[#This Row],[uuid]],tokens[uuid],0),39)),"")</f>
        <v/>
      </c>
      <c r="E49" t="str">
        <f>IFERROR(_xlfn.IFNA(INDEX(cards_old[],MATCH(AllCardsViz[[#This Row],[uuid]],cards_old[uuid],0),69),INDEX(tokens[],MATCH(AllCardsViz[[#This Row],[uuid]],tokens[uuid],0),40)),"")</f>
        <v/>
      </c>
      <c r="F49" t="str">
        <f>IFERROR(_xlfn.IFNA(INDEX(cards_old[],MATCH(AllCardsViz[[#This Row],[uuid]],cards_old[uuid],0),44),INDEX(tokens[],MATCH(AllCardsViz[[#This Row],[uuid]],tokens[uuid],0),24)),"")</f>
        <v/>
      </c>
      <c r="G49">
        <f>IFERROR(INDEX(sets[],MATCH(AllCardsViz[[#This Row],[Setcode]],sets[code],0),16),INDEX(sets[],MATCH(AllCardsViz[[#This Row],[Setcode]],sets[tokenSetCode],0),16))</f>
        <v>6</v>
      </c>
    </row>
    <row r="50" spans="1:7" x14ac:dyDescent="0.25">
      <c r="A50" t="str" cm="1">
        <f t="array" ref="A50">IFERROR(INDEX(_xlfn.VSTACK(cards_old[uuid],tokens[uuid]), ROW()-ROW($A$1)),"")</f>
        <v/>
      </c>
      <c r="B50" t="str">
        <f>IFERROR(_xlfn.IFNA(INDEX(cards_old[],MATCH(AllCardsViz[[#This Row],[uuid]],cards_old[uuid],0),52),INDEX(tokens[],MATCH(AllCardsViz[[#This Row],[uuid]],tokens[uuid],0),28)),"")</f>
        <v>Once Upon a Time</v>
      </c>
      <c r="C50" t="str">
        <f>IFERROR(_xlfn.IFNA(INDEX(cards_old[],MATCH(AllCardsViz[[#This Row],[uuid]],cards_old[uuid],0),64),""),"")</f>
        <v/>
      </c>
      <c r="D50" t="str">
        <f>IFERROR(_xlfn.IFNA(INDEX(cards_old[],MATCH(AllCardsViz[[#This Row],[uuid]],cards_old[uuid],0),68),INDEX(tokens[],MATCH(AllCardsViz[[#This Row],[uuid]],tokens[uuid],0),39)),"")</f>
        <v/>
      </c>
      <c r="E50" t="str">
        <f>IFERROR(_xlfn.IFNA(INDEX(cards_old[],MATCH(AllCardsViz[[#This Row],[uuid]],cards_old[uuid],0),69),INDEX(tokens[],MATCH(AllCardsViz[[#This Row],[uuid]],tokens[uuid],0),40)),"")</f>
        <v/>
      </c>
      <c r="F50" t="str">
        <f>IFERROR(_xlfn.IFNA(INDEX(cards_old[],MATCH(AllCardsViz[[#This Row],[uuid]],cards_old[uuid],0),44),INDEX(tokens[],MATCH(AllCardsViz[[#This Row],[uuid]],tokens[uuid],0),24)),"")</f>
        <v/>
      </c>
      <c r="G50">
        <f>IFERROR(INDEX(sets[],MATCH(AllCardsViz[[#This Row],[Setcode]],sets[code],0),16),INDEX(sets[],MATCH(AllCardsViz[[#This Row],[Setcode]],sets[tokenSetCode],0),16))</f>
        <v>6</v>
      </c>
    </row>
    <row r="51" spans="1:7" x14ac:dyDescent="0.25">
      <c r="A51" t="str" cm="1">
        <f t="array" ref="A51">IFERROR(INDEX(_xlfn.VSTACK(cards_old[uuid],tokens[uuid]), ROW()-ROW($A$1)),"")</f>
        <v/>
      </c>
      <c r="B51" t="str">
        <f>IFERROR(_xlfn.IFNA(INDEX(cards_old[],MATCH(AllCardsViz[[#This Row],[uuid]],cards_old[uuid],0),52),INDEX(tokens[],MATCH(AllCardsViz[[#This Row],[uuid]],tokens[uuid],0),28)),"")</f>
        <v>Once Upon a Time</v>
      </c>
      <c r="C51" t="str">
        <f>IFERROR(_xlfn.IFNA(INDEX(cards_old[],MATCH(AllCardsViz[[#This Row],[uuid]],cards_old[uuid],0),64),""),"")</f>
        <v/>
      </c>
      <c r="D51" t="str">
        <f>IFERROR(_xlfn.IFNA(INDEX(cards_old[],MATCH(AllCardsViz[[#This Row],[uuid]],cards_old[uuid],0),68),INDEX(tokens[],MATCH(AllCardsViz[[#This Row],[uuid]],tokens[uuid],0),39)),"")</f>
        <v/>
      </c>
      <c r="E51" t="str">
        <f>IFERROR(_xlfn.IFNA(INDEX(cards_old[],MATCH(AllCardsViz[[#This Row],[uuid]],cards_old[uuid],0),69),INDEX(tokens[],MATCH(AllCardsViz[[#This Row],[uuid]],tokens[uuid],0),40)),"")</f>
        <v/>
      </c>
      <c r="F51" t="str">
        <f>IFERROR(_xlfn.IFNA(INDEX(cards_old[],MATCH(AllCardsViz[[#This Row],[uuid]],cards_old[uuid],0),44),INDEX(tokens[],MATCH(AllCardsViz[[#This Row],[uuid]],tokens[uuid],0),24)),"")</f>
        <v/>
      </c>
      <c r="G51">
        <f>IFERROR(INDEX(sets[],MATCH(AllCardsViz[[#This Row],[Setcode]],sets[code],0),16),INDEX(sets[],MATCH(AllCardsViz[[#This Row],[Setcode]],sets[tokenSetCode],0),16))</f>
        <v>6</v>
      </c>
    </row>
    <row r="52" spans="1:7" x14ac:dyDescent="0.25">
      <c r="A52" t="str" cm="1">
        <f t="array" ref="A52">IFERROR(INDEX(_xlfn.VSTACK(cards_old[uuid],tokens[uuid]), ROW()-ROW($A$1)),"")</f>
        <v>66dae17d-a742-51b4-ba09-0b37d7c64265</v>
      </c>
      <c r="B52" t="str">
        <f>IFERROR(_xlfn.IFNA(INDEX(cards_old[],MATCH(AllCardsViz[[#This Row],[uuid]],cards_old[uuid],0),52),INDEX(tokens[],MATCH(AllCardsViz[[#This Row],[uuid]],tokens[uuid],0),28)),"")</f>
        <v>Vexing Arcanix</v>
      </c>
      <c r="C52" t="str">
        <f>IFERROR(_xlfn.IFNA(INDEX(cards_old[],MATCH(AllCardsViz[[#This Row],[uuid]],cards_old[uuid],0),64),""),"")</f>
        <v/>
      </c>
      <c r="D52" t="str">
        <f>IFERROR(_xlfn.IFNA(INDEX(cards_old[],MATCH(AllCardsViz[[#This Row],[uuid]],cards_old[uuid],0),68),INDEX(tokens[],MATCH(AllCardsViz[[#This Row],[uuid]],tokens[uuid],0),39)),"")</f>
        <v/>
      </c>
      <c r="E52" t="str">
        <f>IFERROR(_xlfn.IFNA(INDEX(cards_old[],MATCH(AllCardsViz[[#This Row],[uuid]],cards_old[uuid],0),69),INDEX(tokens[],MATCH(AllCardsViz[[#This Row],[uuid]],tokens[uuid],0),40)),"")</f>
        <v>ICE</v>
      </c>
      <c r="F52" t="str">
        <f>IFERROR(_xlfn.IFNA(INDEX(cards_old[],MATCH(AllCardsViz[[#This Row],[uuid]],cards_old[uuid],0),44),INDEX(tokens[],MATCH(AllCardsViz[[#This Row],[uuid]],tokens[uuid],0),24)),"")</f>
        <v/>
      </c>
      <c r="G52">
        <f>IFERROR(INDEX(sets[],MATCH(AllCardsViz[[#This Row],[Setcode]],sets[code],0),16),INDEX(sets[],MATCH(AllCardsViz[[#This Row],[Setcode]],sets[tokenSetCode],0),16))</f>
        <v>6</v>
      </c>
    </row>
    <row r="53" spans="1:7" x14ac:dyDescent="0.25">
      <c r="A53" t="str" cm="1">
        <f t="array" ref="A53">IFERROR(INDEX(_xlfn.VSTACK(cards_old[uuid],tokens[uuid]), ROW()-ROW($A$1)),"")</f>
        <v/>
      </c>
      <c r="B53" t="str">
        <f>IFERROR(_xlfn.IFNA(INDEX(cards_old[],MATCH(AllCardsViz[[#This Row],[uuid]],cards_old[uuid],0),52),INDEX(tokens[],MATCH(AllCardsViz[[#This Row],[uuid]],tokens[uuid],0),28)),"")</f>
        <v>Once Upon a Time</v>
      </c>
      <c r="C53" t="str">
        <f>IFERROR(_xlfn.IFNA(INDEX(cards_old[],MATCH(AllCardsViz[[#This Row],[uuid]],cards_old[uuid],0),64),""),"")</f>
        <v/>
      </c>
      <c r="D53" t="str">
        <f>IFERROR(_xlfn.IFNA(INDEX(cards_old[],MATCH(AllCardsViz[[#This Row],[uuid]],cards_old[uuid],0),68),INDEX(tokens[],MATCH(AllCardsViz[[#This Row],[uuid]],tokens[uuid],0),39)),"")</f>
        <v/>
      </c>
      <c r="E53" t="str">
        <f>IFERROR(_xlfn.IFNA(INDEX(cards_old[],MATCH(AllCardsViz[[#This Row],[uuid]],cards_old[uuid],0),69),INDEX(tokens[],MATCH(AllCardsViz[[#This Row],[uuid]],tokens[uuid],0),40)),"")</f>
        <v/>
      </c>
      <c r="F53" t="str">
        <f>IFERROR(_xlfn.IFNA(INDEX(cards_old[],MATCH(AllCardsViz[[#This Row],[uuid]],cards_old[uuid],0),44),INDEX(tokens[],MATCH(AllCardsViz[[#This Row],[uuid]],tokens[uuid],0),24)),"")</f>
        <v/>
      </c>
      <c r="G53">
        <f>IFERROR(INDEX(sets[],MATCH(AllCardsViz[[#This Row],[Setcode]],sets[code],0),16),INDEX(sets[],MATCH(AllCardsViz[[#This Row],[Setcode]],sets[tokenSetCode],0),16))</f>
        <v>6</v>
      </c>
    </row>
    <row r="54" spans="1:7" x14ac:dyDescent="0.25">
      <c r="A54" t="str" cm="1">
        <f t="array" ref="A54">IFERROR(INDEX(_xlfn.VSTACK(cards_old[uuid],tokens[uuid]), ROW()-ROW($A$1)),"")</f>
        <v/>
      </c>
      <c r="B54" t="str">
        <f>IFERROR(_xlfn.IFNA(INDEX(cards_old[],MATCH(AllCardsViz[[#This Row],[uuid]],cards_old[uuid],0),52),INDEX(tokens[],MATCH(AllCardsViz[[#This Row],[uuid]],tokens[uuid],0),28)),"")</f>
        <v>Once Upon a Time</v>
      </c>
      <c r="C54" t="str">
        <f>IFERROR(_xlfn.IFNA(INDEX(cards_old[],MATCH(AllCardsViz[[#This Row],[uuid]],cards_old[uuid],0),64),""),"")</f>
        <v/>
      </c>
      <c r="D54" t="str">
        <f>IFERROR(_xlfn.IFNA(INDEX(cards_old[],MATCH(AllCardsViz[[#This Row],[uuid]],cards_old[uuid],0),68),INDEX(tokens[],MATCH(AllCardsViz[[#This Row],[uuid]],tokens[uuid],0),39)),"")</f>
        <v/>
      </c>
      <c r="E54" t="str">
        <f>IFERROR(_xlfn.IFNA(INDEX(cards_old[],MATCH(AllCardsViz[[#This Row],[uuid]],cards_old[uuid],0),69),INDEX(tokens[],MATCH(AllCardsViz[[#This Row],[uuid]],tokens[uuid],0),40)),"")</f>
        <v/>
      </c>
      <c r="F54" t="str">
        <f>IFERROR(_xlfn.IFNA(INDEX(cards_old[],MATCH(AllCardsViz[[#This Row],[uuid]],cards_old[uuid],0),44),INDEX(tokens[],MATCH(AllCardsViz[[#This Row],[uuid]],tokens[uuid],0),24)),"")</f>
        <v/>
      </c>
      <c r="G54">
        <f>IFERROR(INDEX(sets[],MATCH(AllCardsViz[[#This Row],[Setcode]],sets[code],0),16),INDEX(sets[],MATCH(AllCardsViz[[#This Row],[Setcode]],sets[tokenSetCode],0),16))</f>
        <v>6</v>
      </c>
    </row>
    <row r="55" spans="1:7" x14ac:dyDescent="0.25">
      <c r="A55" t="str" cm="1">
        <f t="array" ref="A55">IFERROR(INDEX(_xlfn.VSTACK(cards_old[uuid],tokens[uuid]), ROW()-ROW($A$1)),"")</f>
        <v/>
      </c>
      <c r="B55" t="str">
        <f>IFERROR(_xlfn.IFNA(INDEX(cards_old[],MATCH(AllCardsViz[[#This Row],[uuid]],cards_old[uuid],0),52),INDEX(tokens[],MATCH(AllCardsViz[[#This Row],[uuid]],tokens[uuid],0),28)),"")</f>
        <v>Once Upon a Time</v>
      </c>
      <c r="C55" t="str">
        <f>IFERROR(_xlfn.IFNA(INDEX(cards_old[],MATCH(AllCardsViz[[#This Row],[uuid]],cards_old[uuid],0),64),""),"")</f>
        <v/>
      </c>
      <c r="D55" t="str">
        <f>IFERROR(_xlfn.IFNA(INDEX(cards_old[],MATCH(AllCardsViz[[#This Row],[uuid]],cards_old[uuid],0),68),INDEX(tokens[],MATCH(AllCardsViz[[#This Row],[uuid]],tokens[uuid],0),39)),"")</f>
        <v/>
      </c>
      <c r="E55" t="str">
        <f>IFERROR(_xlfn.IFNA(INDEX(cards_old[],MATCH(AllCardsViz[[#This Row],[uuid]],cards_old[uuid],0),69),INDEX(tokens[],MATCH(AllCardsViz[[#This Row],[uuid]],tokens[uuid],0),40)),"")</f>
        <v/>
      </c>
      <c r="F55" t="str">
        <f>IFERROR(_xlfn.IFNA(INDEX(cards_old[],MATCH(AllCardsViz[[#This Row],[uuid]],cards_old[uuid],0),44),INDEX(tokens[],MATCH(AllCardsViz[[#This Row],[uuid]],tokens[uuid],0),24)),"")</f>
        <v/>
      </c>
      <c r="G55">
        <f>IFERROR(INDEX(sets[],MATCH(AllCardsViz[[#This Row],[Setcode]],sets[code],0),16),INDEX(sets[],MATCH(AllCardsViz[[#This Row],[Setcode]],sets[tokenSetCode],0),16))</f>
        <v>6</v>
      </c>
    </row>
    <row r="56" spans="1:7" x14ac:dyDescent="0.25">
      <c r="A56" t="str" cm="1">
        <f t="array" ref="A56">IFERROR(INDEX(_xlfn.VSTACK(cards_old[uuid],tokens[uuid]), ROW()-ROW($A$1)),"")</f>
        <v/>
      </c>
      <c r="B56" t="str">
        <f>IFERROR(_xlfn.IFNA(INDEX(cards_old[],MATCH(AllCardsViz[[#This Row],[uuid]],cards_old[uuid],0),52),INDEX(tokens[],MATCH(AllCardsViz[[#This Row],[uuid]],tokens[uuid],0),28)),"")</f>
        <v>Once Upon a Time</v>
      </c>
      <c r="C56" t="str">
        <f>IFERROR(_xlfn.IFNA(INDEX(cards_old[],MATCH(AllCardsViz[[#This Row],[uuid]],cards_old[uuid],0),64),""),"")</f>
        <v/>
      </c>
      <c r="D56" t="str">
        <f>IFERROR(_xlfn.IFNA(INDEX(cards_old[],MATCH(AllCardsViz[[#This Row],[uuid]],cards_old[uuid],0),68),INDEX(tokens[],MATCH(AllCardsViz[[#This Row],[uuid]],tokens[uuid],0),39)),"")</f>
        <v/>
      </c>
      <c r="E56" t="str">
        <f>IFERROR(_xlfn.IFNA(INDEX(cards_old[],MATCH(AllCardsViz[[#This Row],[uuid]],cards_old[uuid],0),69),INDEX(tokens[],MATCH(AllCardsViz[[#This Row],[uuid]],tokens[uuid],0),40)),"")</f>
        <v/>
      </c>
      <c r="F56" t="str">
        <f>IFERROR(_xlfn.IFNA(INDEX(cards_old[],MATCH(AllCardsViz[[#This Row],[uuid]],cards_old[uuid],0),44),INDEX(tokens[],MATCH(AllCardsViz[[#This Row],[uuid]],tokens[uuid],0),24)),"")</f>
        <v/>
      </c>
      <c r="G56">
        <f>IFERROR(INDEX(sets[],MATCH(AllCardsViz[[#This Row],[Setcode]],sets[code],0),16),INDEX(sets[],MATCH(AllCardsViz[[#This Row],[Setcode]],sets[tokenSetCode],0),16))</f>
        <v>6</v>
      </c>
    </row>
    <row r="57" spans="1:7" x14ac:dyDescent="0.25">
      <c r="A57" t="str" cm="1">
        <f t="array" ref="A57">IFERROR(INDEX(_xlfn.VSTACK(cards_old[uuid],tokens[uuid]), ROW()-ROW($A$1)),"")</f>
        <v/>
      </c>
      <c r="B57" t="str">
        <f>IFERROR(_xlfn.IFNA(INDEX(cards_old[],MATCH(AllCardsViz[[#This Row],[uuid]],cards_old[uuid],0),52),INDEX(tokens[],MATCH(AllCardsViz[[#This Row],[uuid]],tokens[uuid],0),28)),"")</f>
        <v>Once Upon a Time</v>
      </c>
      <c r="C57" t="str">
        <f>IFERROR(_xlfn.IFNA(INDEX(cards_old[],MATCH(AllCardsViz[[#This Row],[uuid]],cards_old[uuid],0),64),""),"")</f>
        <v/>
      </c>
      <c r="D57" t="str">
        <f>IFERROR(_xlfn.IFNA(INDEX(cards_old[],MATCH(AllCardsViz[[#This Row],[uuid]],cards_old[uuid],0),68),INDEX(tokens[],MATCH(AllCardsViz[[#This Row],[uuid]],tokens[uuid],0),39)),"")</f>
        <v/>
      </c>
      <c r="E57" t="str">
        <f>IFERROR(_xlfn.IFNA(INDEX(cards_old[],MATCH(AllCardsViz[[#This Row],[uuid]],cards_old[uuid],0),69),INDEX(tokens[],MATCH(AllCardsViz[[#This Row],[uuid]],tokens[uuid],0),40)),"")</f>
        <v/>
      </c>
      <c r="F57" t="str">
        <f>IFERROR(_xlfn.IFNA(INDEX(cards_old[],MATCH(AllCardsViz[[#This Row],[uuid]],cards_old[uuid],0),44),INDEX(tokens[],MATCH(AllCardsViz[[#This Row],[uuid]],tokens[uuid],0),24)),"")</f>
        <v/>
      </c>
      <c r="G57">
        <f>IFERROR(INDEX(sets[],MATCH(AllCardsViz[[#This Row],[Setcode]],sets[code],0),16),INDEX(sets[],MATCH(AllCardsViz[[#This Row],[Setcode]],sets[tokenSetCode],0),16))</f>
        <v>6</v>
      </c>
    </row>
    <row r="58" spans="1:7" x14ac:dyDescent="0.25">
      <c r="A58" t="str" cm="1">
        <f t="array" ref="A58">IFERROR(INDEX(_xlfn.VSTACK(cards_old[uuid],tokens[uuid]), ROW()-ROW($A$1)),"")</f>
        <v>7be5b8a9-0d68-5125-b729-ff1063dd3ed0</v>
      </c>
      <c r="B58" t="str">
        <f>IFERROR(_xlfn.IFNA(INDEX(cards_old[],MATCH(AllCardsViz[[#This Row],[uuid]],cards_old[uuid],0),52),INDEX(tokens[],MATCH(AllCardsViz[[#This Row],[uuid]],tokens[uuid],0),28)),"")</f>
        <v>Resurrection</v>
      </c>
      <c r="C58" t="str">
        <f>IFERROR(_xlfn.IFNA(INDEX(cards_old[],MATCH(AllCardsViz[[#This Row],[uuid]],cards_old[uuid],0),64),""),"")</f>
        <v/>
      </c>
      <c r="D58" t="str">
        <f>IFERROR(_xlfn.IFNA(INDEX(cards_old[],MATCH(AllCardsViz[[#This Row],[uuid]],cards_old[uuid],0),68),INDEX(tokens[],MATCH(AllCardsViz[[#This Row],[uuid]],tokens[uuid],0),39)),"")</f>
        <v/>
      </c>
      <c r="E58" t="str">
        <f>IFERROR(_xlfn.IFNA(INDEX(cards_old[],MATCH(AllCardsViz[[#This Row],[uuid]],cards_old[uuid],0),69),INDEX(tokens[],MATCH(AllCardsViz[[#This Row],[uuid]],tokens[uuid],0),40)),"")</f>
        <v>3ED</v>
      </c>
      <c r="F58" t="str">
        <f>IFERROR(_xlfn.IFNA(INDEX(cards_old[],MATCH(AllCardsViz[[#This Row],[uuid]],cards_old[uuid],0),44),INDEX(tokens[],MATCH(AllCardsViz[[#This Row],[uuid]],tokens[uuid],0),24)),"")</f>
        <v/>
      </c>
      <c r="G58">
        <f>IFERROR(INDEX(sets[],MATCH(AllCardsViz[[#This Row],[Setcode]],sets[code],0),16),INDEX(sets[],MATCH(AllCardsViz[[#This Row],[Setcode]],sets[tokenSetCode],0),16))</f>
        <v>6</v>
      </c>
    </row>
    <row r="59" spans="1:7" x14ac:dyDescent="0.25">
      <c r="A59" t="str" cm="1">
        <f t="array" ref="A59">IFERROR(INDEX(_xlfn.VSTACK(cards_old[uuid],tokens[uuid]), ROW()-ROW($A$1)),"")</f>
        <v/>
      </c>
      <c r="B59" t="str">
        <f>IFERROR(_xlfn.IFNA(INDEX(cards_old[],MATCH(AllCardsViz[[#This Row],[uuid]],cards_old[uuid],0),52),INDEX(tokens[],MATCH(AllCardsViz[[#This Row],[uuid]],tokens[uuid],0),28)),"")</f>
        <v>Once Upon a Time</v>
      </c>
      <c r="C59" t="str">
        <f>IFERROR(_xlfn.IFNA(INDEX(cards_old[],MATCH(AllCardsViz[[#This Row],[uuid]],cards_old[uuid],0),64),""),"")</f>
        <v/>
      </c>
      <c r="D59" t="str">
        <f>IFERROR(_xlfn.IFNA(INDEX(cards_old[],MATCH(AllCardsViz[[#This Row],[uuid]],cards_old[uuid],0),68),INDEX(tokens[],MATCH(AllCardsViz[[#This Row],[uuid]],tokens[uuid],0),39)),"")</f>
        <v/>
      </c>
      <c r="E59" t="str">
        <f>IFERROR(_xlfn.IFNA(INDEX(cards_old[],MATCH(AllCardsViz[[#This Row],[uuid]],cards_old[uuid],0),69),INDEX(tokens[],MATCH(AllCardsViz[[#This Row],[uuid]],tokens[uuid],0),40)),"")</f>
        <v/>
      </c>
      <c r="F59" t="str">
        <f>IFERROR(_xlfn.IFNA(INDEX(cards_old[],MATCH(AllCardsViz[[#This Row],[uuid]],cards_old[uuid],0),44),INDEX(tokens[],MATCH(AllCardsViz[[#This Row],[uuid]],tokens[uuid],0),24)),"")</f>
        <v/>
      </c>
      <c r="G59">
        <f>IFERROR(INDEX(sets[],MATCH(AllCardsViz[[#This Row],[Setcode]],sets[code],0),16),INDEX(sets[],MATCH(AllCardsViz[[#This Row],[Setcode]],sets[tokenSetCode],0),16))</f>
        <v>6</v>
      </c>
    </row>
    <row r="60" spans="1:7" x14ac:dyDescent="0.25">
      <c r="A60" t="str" cm="1">
        <f t="array" ref="A60">IFERROR(INDEX(_xlfn.VSTACK(cards_old[uuid],tokens[uuid]), ROW()-ROW($A$1)),"")</f>
        <v/>
      </c>
      <c r="B60" t="str">
        <f>IFERROR(_xlfn.IFNA(INDEX(cards_old[],MATCH(AllCardsViz[[#This Row],[uuid]],cards_old[uuid],0),52),INDEX(tokens[],MATCH(AllCardsViz[[#This Row],[uuid]],tokens[uuid],0),28)),"")</f>
        <v>Once Upon a Time</v>
      </c>
      <c r="C60" t="str">
        <f>IFERROR(_xlfn.IFNA(INDEX(cards_old[],MATCH(AllCardsViz[[#This Row],[uuid]],cards_old[uuid],0),64),""),"")</f>
        <v/>
      </c>
      <c r="D60" t="str">
        <f>IFERROR(_xlfn.IFNA(INDEX(cards_old[],MATCH(AllCardsViz[[#This Row],[uuid]],cards_old[uuid],0),68),INDEX(tokens[],MATCH(AllCardsViz[[#This Row],[uuid]],tokens[uuid],0),39)),"")</f>
        <v/>
      </c>
      <c r="E60" t="str">
        <f>IFERROR(_xlfn.IFNA(INDEX(cards_old[],MATCH(AllCardsViz[[#This Row],[uuid]],cards_old[uuid],0),69),INDEX(tokens[],MATCH(AllCardsViz[[#This Row],[uuid]],tokens[uuid],0),40)),"")</f>
        <v/>
      </c>
      <c r="F60" t="str">
        <f>IFERROR(_xlfn.IFNA(INDEX(cards_old[],MATCH(AllCardsViz[[#This Row],[uuid]],cards_old[uuid],0),44),INDEX(tokens[],MATCH(AllCardsViz[[#This Row],[uuid]],tokens[uuid],0),24)),"")</f>
        <v/>
      </c>
      <c r="G60">
        <f>IFERROR(INDEX(sets[],MATCH(AllCardsViz[[#This Row],[Setcode]],sets[code],0),16),INDEX(sets[],MATCH(AllCardsViz[[#This Row],[Setcode]],sets[tokenSetCode],0),16))</f>
        <v>6</v>
      </c>
    </row>
    <row r="61" spans="1:7" x14ac:dyDescent="0.25">
      <c r="A61" t="str" cm="1">
        <f t="array" ref="A61">IFERROR(INDEX(_xlfn.VSTACK(cards_old[uuid],tokens[uuid]), ROW()-ROW($A$1)),"")</f>
        <v/>
      </c>
      <c r="B61" t="str">
        <f>IFERROR(_xlfn.IFNA(INDEX(cards_old[],MATCH(AllCardsViz[[#This Row],[uuid]],cards_old[uuid],0),52),INDEX(tokens[],MATCH(AllCardsViz[[#This Row],[uuid]],tokens[uuid],0),28)),"")</f>
        <v>Once Upon a Time</v>
      </c>
      <c r="C61" t="str">
        <f>IFERROR(_xlfn.IFNA(INDEX(cards_old[],MATCH(AllCardsViz[[#This Row],[uuid]],cards_old[uuid],0),64),""),"")</f>
        <v/>
      </c>
      <c r="D61" t="str">
        <f>IFERROR(_xlfn.IFNA(INDEX(cards_old[],MATCH(AllCardsViz[[#This Row],[uuid]],cards_old[uuid],0),68),INDEX(tokens[],MATCH(AllCardsViz[[#This Row],[uuid]],tokens[uuid],0),39)),"")</f>
        <v/>
      </c>
      <c r="E61" t="str">
        <f>IFERROR(_xlfn.IFNA(INDEX(cards_old[],MATCH(AllCardsViz[[#This Row],[uuid]],cards_old[uuid],0),69),INDEX(tokens[],MATCH(AllCardsViz[[#This Row],[uuid]],tokens[uuid],0),40)),"")</f>
        <v/>
      </c>
      <c r="F61" t="str">
        <f>IFERROR(_xlfn.IFNA(INDEX(cards_old[],MATCH(AllCardsViz[[#This Row],[uuid]],cards_old[uuid],0),44),INDEX(tokens[],MATCH(AllCardsViz[[#This Row],[uuid]],tokens[uuid],0),24)),"")</f>
        <v/>
      </c>
      <c r="G61">
        <f>IFERROR(INDEX(sets[],MATCH(AllCardsViz[[#This Row],[Setcode]],sets[code],0),16),INDEX(sets[],MATCH(AllCardsViz[[#This Row],[Setcode]],sets[tokenSetCode],0),16))</f>
        <v>6</v>
      </c>
    </row>
    <row r="62" spans="1:7" x14ac:dyDescent="0.25">
      <c r="A62" t="str" cm="1">
        <f t="array" ref="A62">IFERROR(INDEX(_xlfn.VSTACK(cards_old[uuid],tokens[uuid]), ROW()-ROW($A$1)),"")</f>
        <v/>
      </c>
      <c r="B62" t="str">
        <f>IFERROR(_xlfn.IFNA(INDEX(cards_old[],MATCH(AllCardsViz[[#This Row],[uuid]],cards_old[uuid],0),52),INDEX(tokens[],MATCH(AllCardsViz[[#This Row],[uuid]],tokens[uuid],0),28)),"")</f>
        <v>Once Upon a Time</v>
      </c>
      <c r="C62" t="str">
        <f>IFERROR(_xlfn.IFNA(INDEX(cards_old[],MATCH(AllCardsViz[[#This Row],[uuid]],cards_old[uuid],0),64),""),"")</f>
        <v/>
      </c>
      <c r="D62" t="str">
        <f>IFERROR(_xlfn.IFNA(INDEX(cards_old[],MATCH(AllCardsViz[[#This Row],[uuid]],cards_old[uuid],0),68),INDEX(tokens[],MATCH(AllCardsViz[[#This Row],[uuid]],tokens[uuid],0),39)),"")</f>
        <v/>
      </c>
      <c r="E62" t="str">
        <f>IFERROR(_xlfn.IFNA(INDEX(cards_old[],MATCH(AllCardsViz[[#This Row],[uuid]],cards_old[uuid],0),69),INDEX(tokens[],MATCH(AllCardsViz[[#This Row],[uuid]],tokens[uuid],0),40)),"")</f>
        <v/>
      </c>
      <c r="F62" t="str">
        <f>IFERROR(_xlfn.IFNA(INDEX(cards_old[],MATCH(AllCardsViz[[#This Row],[uuid]],cards_old[uuid],0),44),INDEX(tokens[],MATCH(AllCardsViz[[#This Row],[uuid]],tokens[uuid],0),24)),"")</f>
        <v/>
      </c>
      <c r="G62">
        <f>IFERROR(INDEX(sets[],MATCH(AllCardsViz[[#This Row],[Setcode]],sets[code],0),16),INDEX(sets[],MATCH(AllCardsViz[[#This Row],[Setcode]],sets[tokenSetCode],0),16))</f>
        <v>6</v>
      </c>
    </row>
    <row r="63" spans="1:7" x14ac:dyDescent="0.25">
      <c r="A63" t="str" cm="1">
        <f t="array" ref="A63">IFERROR(INDEX(_xlfn.VSTACK(cards_old[uuid],tokens[uuid]), ROW()-ROW($A$1)),"")</f>
        <v/>
      </c>
      <c r="B63" t="str">
        <f>IFERROR(_xlfn.IFNA(INDEX(cards_old[],MATCH(AllCardsViz[[#This Row],[uuid]],cards_old[uuid],0),52),INDEX(tokens[],MATCH(AllCardsViz[[#This Row],[uuid]],tokens[uuid],0),28)),"")</f>
        <v>Once Upon a Time</v>
      </c>
      <c r="C63" t="str">
        <f>IFERROR(_xlfn.IFNA(INDEX(cards_old[],MATCH(AllCardsViz[[#This Row],[uuid]],cards_old[uuid],0),64),""),"")</f>
        <v/>
      </c>
      <c r="D63" t="str">
        <f>IFERROR(_xlfn.IFNA(INDEX(cards_old[],MATCH(AllCardsViz[[#This Row],[uuid]],cards_old[uuid],0),68),INDEX(tokens[],MATCH(AllCardsViz[[#This Row],[uuid]],tokens[uuid],0),39)),"")</f>
        <v/>
      </c>
      <c r="E63" t="str">
        <f>IFERROR(_xlfn.IFNA(INDEX(cards_old[],MATCH(AllCardsViz[[#This Row],[uuid]],cards_old[uuid],0),69),INDEX(tokens[],MATCH(AllCardsViz[[#This Row],[uuid]],tokens[uuid],0),40)),"")</f>
        <v/>
      </c>
      <c r="F63" t="str">
        <f>IFERROR(_xlfn.IFNA(INDEX(cards_old[],MATCH(AllCardsViz[[#This Row],[uuid]],cards_old[uuid],0),44),INDEX(tokens[],MATCH(AllCardsViz[[#This Row],[uuid]],tokens[uuid],0),24)),"")</f>
        <v/>
      </c>
      <c r="G63">
        <f>IFERROR(INDEX(sets[],MATCH(AllCardsViz[[#This Row],[Setcode]],sets[code],0),16),INDEX(sets[],MATCH(AllCardsViz[[#This Row],[Setcode]],sets[tokenSetCode],0),16))</f>
        <v>6</v>
      </c>
    </row>
    <row r="64" spans="1:7" x14ac:dyDescent="0.25">
      <c r="A64" t="str" cm="1">
        <f t="array" ref="A64">IFERROR(INDEX(_xlfn.VSTACK(cards_old[uuid],tokens[uuid]), ROW()-ROW($A$1)),"")</f>
        <v/>
      </c>
      <c r="B64" t="str">
        <f>IFERROR(_xlfn.IFNA(INDEX(cards_old[],MATCH(AllCardsViz[[#This Row],[uuid]],cards_old[uuid],0),52),INDEX(tokens[],MATCH(AllCardsViz[[#This Row],[uuid]],tokens[uuid],0),28)),"")</f>
        <v>Once Upon a Time</v>
      </c>
      <c r="C64" t="str">
        <f>IFERROR(_xlfn.IFNA(INDEX(cards_old[],MATCH(AllCardsViz[[#This Row],[uuid]],cards_old[uuid],0),64),""),"")</f>
        <v/>
      </c>
      <c r="D64" t="str">
        <f>IFERROR(_xlfn.IFNA(INDEX(cards_old[],MATCH(AllCardsViz[[#This Row],[uuid]],cards_old[uuid],0),68),INDEX(tokens[],MATCH(AllCardsViz[[#This Row],[uuid]],tokens[uuid],0),39)),"")</f>
        <v/>
      </c>
      <c r="E64" t="str">
        <f>IFERROR(_xlfn.IFNA(INDEX(cards_old[],MATCH(AllCardsViz[[#This Row],[uuid]],cards_old[uuid],0),69),INDEX(tokens[],MATCH(AllCardsViz[[#This Row],[uuid]],tokens[uuid],0),40)),"")</f>
        <v/>
      </c>
      <c r="F64" t="str">
        <f>IFERROR(_xlfn.IFNA(INDEX(cards_old[],MATCH(AllCardsViz[[#This Row],[uuid]],cards_old[uuid],0),44),INDEX(tokens[],MATCH(AllCardsViz[[#This Row],[uuid]],tokens[uuid],0),24)),"")</f>
        <v/>
      </c>
      <c r="G64">
        <f>IFERROR(INDEX(sets[],MATCH(AllCardsViz[[#This Row],[Setcode]],sets[code],0),16),INDEX(sets[],MATCH(AllCardsViz[[#This Row],[Setcode]],sets[tokenSetCode],0),16))</f>
        <v>6</v>
      </c>
    </row>
    <row r="65" spans="1:7" x14ac:dyDescent="0.25">
      <c r="A65" t="str" cm="1">
        <f t="array" ref="A65">IFERROR(INDEX(_xlfn.VSTACK(cards_old[uuid],tokens[uuid]), ROW()-ROW($A$1)),"")</f>
        <v/>
      </c>
      <c r="B65" t="str">
        <f>IFERROR(_xlfn.IFNA(INDEX(cards_old[],MATCH(AllCardsViz[[#This Row],[uuid]],cards_old[uuid],0),52),INDEX(tokens[],MATCH(AllCardsViz[[#This Row],[uuid]],tokens[uuid],0),28)),"")</f>
        <v>Once Upon a Time</v>
      </c>
      <c r="C65" t="str">
        <f>IFERROR(_xlfn.IFNA(INDEX(cards_old[],MATCH(AllCardsViz[[#This Row],[uuid]],cards_old[uuid],0),64),""),"")</f>
        <v/>
      </c>
      <c r="D65" t="str">
        <f>IFERROR(_xlfn.IFNA(INDEX(cards_old[],MATCH(AllCardsViz[[#This Row],[uuid]],cards_old[uuid],0),68),INDEX(tokens[],MATCH(AllCardsViz[[#This Row],[uuid]],tokens[uuid],0),39)),"")</f>
        <v/>
      </c>
      <c r="E65" t="str">
        <f>IFERROR(_xlfn.IFNA(INDEX(cards_old[],MATCH(AllCardsViz[[#This Row],[uuid]],cards_old[uuid],0),69),INDEX(tokens[],MATCH(AllCardsViz[[#This Row],[uuid]],tokens[uuid],0),40)),"")</f>
        <v/>
      </c>
      <c r="F65" t="str">
        <f>IFERROR(_xlfn.IFNA(INDEX(cards_old[],MATCH(AllCardsViz[[#This Row],[uuid]],cards_old[uuid],0),44),INDEX(tokens[],MATCH(AllCardsViz[[#This Row],[uuid]],tokens[uuid],0),24)),"")</f>
        <v/>
      </c>
      <c r="G65">
        <f>IFERROR(INDEX(sets[],MATCH(AllCardsViz[[#This Row],[Setcode]],sets[code],0),16),INDEX(sets[],MATCH(AllCardsViz[[#This Row],[Setcode]],sets[tokenSetCode],0),16))</f>
        <v>6</v>
      </c>
    </row>
    <row r="66" spans="1:7" x14ac:dyDescent="0.25">
      <c r="A66" t="str" cm="1">
        <f t="array" ref="A66">IFERROR(INDEX(_xlfn.VSTACK(cards_old[uuid],tokens[uuid]), ROW()-ROW($A$1)),"")</f>
        <v/>
      </c>
      <c r="B66" t="str">
        <f>IFERROR(_xlfn.IFNA(INDEX(cards_old[],MATCH(AllCardsViz[[#This Row],[uuid]],cards_old[uuid],0),52),INDEX(tokens[],MATCH(AllCardsViz[[#This Row],[uuid]],tokens[uuid],0),28)),"")</f>
        <v>Once Upon a Time</v>
      </c>
      <c r="C66" t="str">
        <f>IFERROR(_xlfn.IFNA(INDEX(cards_old[],MATCH(AllCardsViz[[#This Row],[uuid]],cards_old[uuid],0),64),""),"")</f>
        <v/>
      </c>
      <c r="D66" t="str">
        <f>IFERROR(_xlfn.IFNA(INDEX(cards_old[],MATCH(AllCardsViz[[#This Row],[uuid]],cards_old[uuid],0),68),INDEX(tokens[],MATCH(AllCardsViz[[#This Row],[uuid]],tokens[uuid],0),39)),"")</f>
        <v/>
      </c>
      <c r="E66" t="str">
        <f>IFERROR(_xlfn.IFNA(INDEX(cards_old[],MATCH(AllCardsViz[[#This Row],[uuid]],cards_old[uuid],0),69),INDEX(tokens[],MATCH(AllCardsViz[[#This Row],[uuid]],tokens[uuid],0),40)),"")</f>
        <v/>
      </c>
      <c r="F66" t="str">
        <f>IFERROR(_xlfn.IFNA(INDEX(cards_old[],MATCH(AllCardsViz[[#This Row],[uuid]],cards_old[uuid],0),44),INDEX(tokens[],MATCH(AllCardsViz[[#This Row],[uuid]],tokens[uuid],0),24)),"")</f>
        <v/>
      </c>
      <c r="G66">
        <f>IFERROR(INDEX(sets[],MATCH(AllCardsViz[[#This Row],[Setcode]],sets[code],0),16),INDEX(sets[],MATCH(AllCardsViz[[#This Row],[Setcode]],sets[tokenSetCode],0),16))</f>
        <v>6</v>
      </c>
    </row>
    <row r="67" spans="1:7" x14ac:dyDescent="0.25">
      <c r="A67" t="str" cm="1">
        <f t="array" ref="A67">IFERROR(INDEX(_xlfn.VSTACK(cards_old[uuid],tokens[uuid]), ROW()-ROW($A$1)),"")</f>
        <v/>
      </c>
      <c r="B67" t="str">
        <f>IFERROR(_xlfn.IFNA(INDEX(cards_old[],MATCH(AllCardsViz[[#This Row],[uuid]],cards_old[uuid],0),52),INDEX(tokens[],MATCH(AllCardsViz[[#This Row],[uuid]],tokens[uuid],0),28)),"")</f>
        <v>Once Upon a Time</v>
      </c>
      <c r="C67" t="str">
        <f>IFERROR(_xlfn.IFNA(INDEX(cards_old[],MATCH(AllCardsViz[[#This Row],[uuid]],cards_old[uuid],0),64),""),"")</f>
        <v/>
      </c>
      <c r="D67" t="str">
        <f>IFERROR(_xlfn.IFNA(INDEX(cards_old[],MATCH(AllCardsViz[[#This Row],[uuid]],cards_old[uuid],0),68),INDEX(tokens[],MATCH(AllCardsViz[[#This Row],[uuid]],tokens[uuid],0),39)),"")</f>
        <v/>
      </c>
      <c r="E67" t="str">
        <f>IFERROR(_xlfn.IFNA(INDEX(cards_old[],MATCH(AllCardsViz[[#This Row],[uuid]],cards_old[uuid],0),69),INDEX(tokens[],MATCH(AllCardsViz[[#This Row],[uuid]],tokens[uuid],0),40)),"")</f>
        <v/>
      </c>
      <c r="F67" t="str">
        <f>IFERROR(_xlfn.IFNA(INDEX(cards_old[],MATCH(AllCardsViz[[#This Row],[uuid]],cards_old[uuid],0),44),INDEX(tokens[],MATCH(AllCardsViz[[#This Row],[uuid]],tokens[uuid],0),24)),"")</f>
        <v/>
      </c>
      <c r="G67">
        <f>IFERROR(INDEX(sets[],MATCH(AllCardsViz[[#This Row],[Setcode]],sets[code],0),16),INDEX(sets[],MATCH(AllCardsViz[[#This Row],[Setcode]],sets[tokenSetCode],0),16))</f>
        <v>6</v>
      </c>
    </row>
    <row r="68" spans="1:7" x14ac:dyDescent="0.25">
      <c r="A68" t="str" cm="1">
        <f t="array" ref="A68">IFERROR(INDEX(_xlfn.VSTACK(cards_old[uuid],tokens[uuid]), ROW()-ROW($A$1)),"")</f>
        <v/>
      </c>
      <c r="B68" t="str">
        <f>IFERROR(_xlfn.IFNA(INDEX(cards_old[],MATCH(AllCardsViz[[#This Row],[uuid]],cards_old[uuid],0),52),INDEX(tokens[],MATCH(AllCardsViz[[#This Row],[uuid]],tokens[uuid],0),28)),"")</f>
        <v>Once Upon a Time</v>
      </c>
      <c r="C68" t="str">
        <f>IFERROR(_xlfn.IFNA(INDEX(cards_old[],MATCH(AllCardsViz[[#This Row],[uuid]],cards_old[uuid],0),64),""),"")</f>
        <v/>
      </c>
      <c r="D68" t="str">
        <f>IFERROR(_xlfn.IFNA(INDEX(cards_old[],MATCH(AllCardsViz[[#This Row],[uuid]],cards_old[uuid],0),68),INDEX(tokens[],MATCH(AllCardsViz[[#This Row],[uuid]],tokens[uuid],0),39)),"")</f>
        <v/>
      </c>
      <c r="E68" t="str">
        <f>IFERROR(_xlfn.IFNA(INDEX(cards_old[],MATCH(AllCardsViz[[#This Row],[uuid]],cards_old[uuid],0),69),INDEX(tokens[],MATCH(AllCardsViz[[#This Row],[uuid]],tokens[uuid],0),40)),"")</f>
        <v/>
      </c>
      <c r="F68" t="str">
        <f>IFERROR(_xlfn.IFNA(INDEX(cards_old[],MATCH(AllCardsViz[[#This Row],[uuid]],cards_old[uuid],0),44),INDEX(tokens[],MATCH(AllCardsViz[[#This Row],[uuid]],tokens[uuid],0),24)),"")</f>
        <v/>
      </c>
      <c r="G68">
        <f>IFERROR(INDEX(sets[],MATCH(AllCardsViz[[#This Row],[Setcode]],sets[code],0),16),INDEX(sets[],MATCH(AllCardsViz[[#This Row],[Setcode]],sets[tokenSetCode],0),16))</f>
        <v>6</v>
      </c>
    </row>
    <row r="69" spans="1:7" x14ac:dyDescent="0.25">
      <c r="A69" t="str" cm="1">
        <f t="array" ref="A69">IFERROR(INDEX(_xlfn.VSTACK(cards_old[uuid],tokens[uuid]), ROW()-ROW($A$1)),"")</f>
        <v/>
      </c>
      <c r="B69" t="str">
        <f>IFERROR(_xlfn.IFNA(INDEX(cards_old[],MATCH(AllCardsViz[[#This Row],[uuid]],cards_old[uuid],0),52),INDEX(tokens[],MATCH(AllCardsViz[[#This Row],[uuid]],tokens[uuid],0),28)),"")</f>
        <v>Once Upon a Time</v>
      </c>
      <c r="C69" t="str">
        <f>IFERROR(_xlfn.IFNA(INDEX(cards_old[],MATCH(AllCardsViz[[#This Row],[uuid]],cards_old[uuid],0),64),""),"")</f>
        <v/>
      </c>
      <c r="D69" t="str">
        <f>IFERROR(_xlfn.IFNA(INDEX(cards_old[],MATCH(AllCardsViz[[#This Row],[uuid]],cards_old[uuid],0),68),INDEX(tokens[],MATCH(AllCardsViz[[#This Row],[uuid]],tokens[uuid],0),39)),"")</f>
        <v/>
      </c>
      <c r="E69" t="str">
        <f>IFERROR(_xlfn.IFNA(INDEX(cards_old[],MATCH(AllCardsViz[[#This Row],[uuid]],cards_old[uuid],0),69),INDEX(tokens[],MATCH(AllCardsViz[[#This Row],[uuid]],tokens[uuid],0),40)),"")</f>
        <v/>
      </c>
      <c r="F69" t="str">
        <f>IFERROR(_xlfn.IFNA(INDEX(cards_old[],MATCH(AllCardsViz[[#This Row],[uuid]],cards_old[uuid],0),44),INDEX(tokens[],MATCH(AllCardsViz[[#This Row],[uuid]],tokens[uuid],0),24)),"")</f>
        <v/>
      </c>
      <c r="G69">
        <f>IFERROR(INDEX(sets[],MATCH(AllCardsViz[[#This Row],[Setcode]],sets[code],0),16),INDEX(sets[],MATCH(AllCardsViz[[#This Row],[Setcode]],sets[tokenSetCode],0),16))</f>
        <v>6</v>
      </c>
    </row>
    <row r="70" spans="1:7" x14ac:dyDescent="0.25">
      <c r="A70" t="str" cm="1">
        <f t="array" ref="A70">IFERROR(INDEX(_xlfn.VSTACK(cards_old[uuid],tokens[uuid]), ROW()-ROW($A$1)),"")</f>
        <v/>
      </c>
      <c r="B70" t="str">
        <f>IFERROR(_xlfn.IFNA(INDEX(cards_old[],MATCH(AllCardsViz[[#This Row],[uuid]],cards_old[uuid],0),52),INDEX(tokens[],MATCH(AllCardsViz[[#This Row],[uuid]],tokens[uuid],0),28)),"")</f>
        <v>Once Upon a Time</v>
      </c>
      <c r="C70" t="str">
        <f>IFERROR(_xlfn.IFNA(INDEX(cards_old[],MATCH(AllCardsViz[[#This Row],[uuid]],cards_old[uuid],0),64),""),"")</f>
        <v/>
      </c>
      <c r="D70" t="str">
        <f>IFERROR(_xlfn.IFNA(INDEX(cards_old[],MATCH(AllCardsViz[[#This Row],[uuid]],cards_old[uuid],0),68),INDEX(tokens[],MATCH(AllCardsViz[[#This Row],[uuid]],tokens[uuid],0),39)),"")</f>
        <v/>
      </c>
      <c r="E70" t="str">
        <f>IFERROR(_xlfn.IFNA(INDEX(cards_old[],MATCH(AllCardsViz[[#This Row],[uuid]],cards_old[uuid],0),69),INDEX(tokens[],MATCH(AllCardsViz[[#This Row],[uuid]],tokens[uuid],0),40)),"")</f>
        <v/>
      </c>
      <c r="F70" t="str">
        <f>IFERROR(_xlfn.IFNA(INDEX(cards_old[],MATCH(AllCardsViz[[#This Row],[uuid]],cards_old[uuid],0),44),INDEX(tokens[],MATCH(AllCardsViz[[#This Row],[uuid]],tokens[uuid],0),24)),"")</f>
        <v/>
      </c>
      <c r="G70">
        <f>IFERROR(INDEX(sets[],MATCH(AllCardsViz[[#This Row],[Setcode]],sets[code],0),16),INDEX(sets[],MATCH(AllCardsViz[[#This Row],[Setcode]],sets[tokenSetCode],0),16))</f>
        <v>6</v>
      </c>
    </row>
    <row r="71" spans="1:7" x14ac:dyDescent="0.25">
      <c r="A71" t="str" cm="1">
        <f t="array" ref="A71">IFERROR(INDEX(_xlfn.VSTACK(cards_old[uuid],tokens[uuid]), ROW()-ROW($A$1)),"")</f>
        <v/>
      </c>
      <c r="B71" t="str">
        <f>IFERROR(_xlfn.IFNA(INDEX(cards_old[],MATCH(AllCardsViz[[#This Row],[uuid]],cards_old[uuid],0),52),INDEX(tokens[],MATCH(AllCardsViz[[#This Row],[uuid]],tokens[uuid],0),28)),"")</f>
        <v>Once Upon a Time</v>
      </c>
      <c r="C71" t="str">
        <f>IFERROR(_xlfn.IFNA(INDEX(cards_old[],MATCH(AllCardsViz[[#This Row],[uuid]],cards_old[uuid],0),64),""),"")</f>
        <v/>
      </c>
      <c r="D71" t="str">
        <f>IFERROR(_xlfn.IFNA(INDEX(cards_old[],MATCH(AllCardsViz[[#This Row],[uuid]],cards_old[uuid],0),68),INDEX(tokens[],MATCH(AllCardsViz[[#This Row],[uuid]],tokens[uuid],0),39)),"")</f>
        <v/>
      </c>
      <c r="E71" t="str">
        <f>IFERROR(_xlfn.IFNA(INDEX(cards_old[],MATCH(AllCardsViz[[#This Row],[uuid]],cards_old[uuid],0),69),INDEX(tokens[],MATCH(AllCardsViz[[#This Row],[uuid]],tokens[uuid],0),40)),"")</f>
        <v/>
      </c>
      <c r="F71" t="str">
        <f>IFERROR(_xlfn.IFNA(INDEX(cards_old[],MATCH(AllCardsViz[[#This Row],[uuid]],cards_old[uuid],0),44),INDEX(tokens[],MATCH(AllCardsViz[[#This Row],[uuid]],tokens[uuid],0),24)),"")</f>
        <v/>
      </c>
      <c r="G71">
        <f>IFERROR(INDEX(sets[],MATCH(AllCardsViz[[#This Row],[Setcode]],sets[code],0),16),INDEX(sets[],MATCH(AllCardsViz[[#This Row],[Setcode]],sets[tokenSetCode],0),16))</f>
        <v>6</v>
      </c>
    </row>
    <row r="72" spans="1:7" x14ac:dyDescent="0.25">
      <c r="A72" t="str" cm="1">
        <f t="array" ref="A72">IFERROR(INDEX(_xlfn.VSTACK(cards_old[uuid],tokens[uuid]), ROW()-ROW($A$1)),"")</f>
        <v/>
      </c>
      <c r="B72" t="str">
        <f>IFERROR(_xlfn.IFNA(INDEX(cards_old[],MATCH(AllCardsViz[[#This Row],[uuid]],cards_old[uuid],0),52),INDEX(tokens[],MATCH(AllCardsViz[[#This Row],[uuid]],tokens[uuid],0),28)),"")</f>
        <v>Once Upon a Time</v>
      </c>
      <c r="C72" t="str">
        <f>IFERROR(_xlfn.IFNA(INDEX(cards_old[],MATCH(AllCardsViz[[#This Row],[uuid]],cards_old[uuid],0),64),""),"")</f>
        <v/>
      </c>
      <c r="D72" t="str">
        <f>IFERROR(_xlfn.IFNA(INDEX(cards_old[],MATCH(AllCardsViz[[#This Row],[uuid]],cards_old[uuid],0),68),INDEX(tokens[],MATCH(AllCardsViz[[#This Row],[uuid]],tokens[uuid],0),39)),"")</f>
        <v/>
      </c>
      <c r="E72" t="str">
        <f>IFERROR(_xlfn.IFNA(INDEX(cards_old[],MATCH(AllCardsViz[[#This Row],[uuid]],cards_old[uuid],0),69),INDEX(tokens[],MATCH(AllCardsViz[[#This Row],[uuid]],tokens[uuid],0),40)),"")</f>
        <v/>
      </c>
      <c r="F72" t="str">
        <f>IFERROR(_xlfn.IFNA(INDEX(cards_old[],MATCH(AllCardsViz[[#This Row],[uuid]],cards_old[uuid],0),44),INDEX(tokens[],MATCH(AllCardsViz[[#This Row],[uuid]],tokens[uuid],0),24)),"")</f>
        <v/>
      </c>
      <c r="G72">
        <f>IFERROR(INDEX(sets[],MATCH(AllCardsViz[[#This Row],[Setcode]],sets[code],0),16),INDEX(sets[],MATCH(AllCardsViz[[#This Row],[Setcode]],sets[tokenSetCode],0),16))</f>
        <v>6</v>
      </c>
    </row>
    <row r="73" spans="1:7" x14ac:dyDescent="0.25">
      <c r="A73" t="str" cm="1">
        <f t="array" ref="A73">IFERROR(INDEX(_xlfn.VSTACK(cards_old[uuid],tokens[uuid]), ROW()-ROW($A$1)),"")</f>
        <v>9c015664-e6e8-53a4-ad48-276138b18098</v>
      </c>
      <c r="B73" t="str">
        <f>IFERROR(_xlfn.IFNA(INDEX(cards_old[],MATCH(AllCardsViz[[#This Row],[uuid]],cards_old[uuid],0),52),INDEX(tokens[],MATCH(AllCardsViz[[#This Row],[uuid]],tokens[uuid],0),28)),"")</f>
        <v>Syphon Soul</v>
      </c>
      <c r="C73" t="str">
        <f>IFERROR(_xlfn.IFNA(INDEX(cards_old[],MATCH(AllCardsViz[[#This Row],[uuid]],cards_old[uuid],0),64),""),"")</f>
        <v/>
      </c>
      <c r="D73" t="str">
        <f>IFERROR(_xlfn.IFNA(INDEX(cards_old[],MATCH(AllCardsViz[[#This Row],[uuid]],cards_old[uuid],0),68),INDEX(tokens[],MATCH(AllCardsViz[[#This Row],[uuid]],tokens[uuid],0),39)),"")</f>
        <v/>
      </c>
      <c r="E73" t="str">
        <f>IFERROR(_xlfn.IFNA(INDEX(cards_old[],MATCH(AllCardsViz[[#This Row],[uuid]],cards_old[uuid],0),69),INDEX(tokens[],MATCH(AllCardsViz[[#This Row],[uuid]],tokens[uuid],0),40)),"")</f>
        <v>ONS</v>
      </c>
      <c r="F73" t="str">
        <f>IFERROR(_xlfn.IFNA(INDEX(cards_old[],MATCH(AllCardsViz[[#This Row],[uuid]],cards_old[uuid],0),44),INDEX(tokens[],MATCH(AllCardsViz[[#This Row],[uuid]],tokens[uuid],0),24)),"")</f>
        <v/>
      </c>
      <c r="G73">
        <f>IFERROR(INDEX(sets[],MATCH(AllCardsViz[[#This Row],[Setcode]],sets[code],0),16),INDEX(sets[],MATCH(AllCardsViz[[#This Row],[Setcode]],sets[tokenSetCode],0),16))</f>
        <v>6</v>
      </c>
    </row>
    <row r="74" spans="1:7" x14ac:dyDescent="0.25">
      <c r="A74" t="str" cm="1">
        <f t="array" ref="A74">IFERROR(INDEX(_xlfn.VSTACK(cards_old[uuid],tokens[uuid]), ROW()-ROW($A$1)),"")</f>
        <v/>
      </c>
      <c r="B74" t="str">
        <f>IFERROR(_xlfn.IFNA(INDEX(cards_old[],MATCH(AllCardsViz[[#This Row],[uuid]],cards_old[uuid],0),52),INDEX(tokens[],MATCH(AllCardsViz[[#This Row],[uuid]],tokens[uuid],0),28)),"")</f>
        <v>Once Upon a Time</v>
      </c>
      <c r="C74" t="str">
        <f>IFERROR(_xlfn.IFNA(INDEX(cards_old[],MATCH(AllCardsViz[[#This Row],[uuid]],cards_old[uuid],0),64),""),"")</f>
        <v/>
      </c>
      <c r="D74" t="str">
        <f>IFERROR(_xlfn.IFNA(INDEX(cards_old[],MATCH(AllCardsViz[[#This Row],[uuid]],cards_old[uuid],0),68),INDEX(tokens[],MATCH(AllCardsViz[[#This Row],[uuid]],tokens[uuid],0),39)),"")</f>
        <v/>
      </c>
      <c r="E74" t="str">
        <f>IFERROR(_xlfn.IFNA(INDEX(cards_old[],MATCH(AllCardsViz[[#This Row],[uuid]],cards_old[uuid],0),69),INDEX(tokens[],MATCH(AllCardsViz[[#This Row],[uuid]],tokens[uuid],0),40)),"")</f>
        <v/>
      </c>
      <c r="F74" t="str">
        <f>IFERROR(_xlfn.IFNA(INDEX(cards_old[],MATCH(AllCardsViz[[#This Row],[uuid]],cards_old[uuid],0),44),INDEX(tokens[],MATCH(AllCardsViz[[#This Row],[uuid]],tokens[uuid],0),24)),"")</f>
        <v/>
      </c>
      <c r="G74">
        <f>IFERROR(INDEX(sets[],MATCH(AllCardsViz[[#This Row],[Setcode]],sets[code],0),16),INDEX(sets[],MATCH(AllCardsViz[[#This Row],[Setcode]],sets[tokenSetCode],0),16))</f>
        <v>6</v>
      </c>
    </row>
    <row r="75" spans="1:7" x14ac:dyDescent="0.25">
      <c r="A75" t="str" cm="1">
        <f t="array" ref="A75">IFERROR(INDEX(_xlfn.VSTACK(cards_old[uuid],tokens[uuid]), ROW()-ROW($A$1)),"")</f>
        <v/>
      </c>
      <c r="B75" t="str">
        <f>IFERROR(_xlfn.IFNA(INDEX(cards_old[],MATCH(AllCardsViz[[#This Row],[uuid]],cards_old[uuid],0),52),INDEX(tokens[],MATCH(AllCardsViz[[#This Row],[uuid]],tokens[uuid],0),28)),"")</f>
        <v>Once Upon a Time</v>
      </c>
      <c r="C75" t="str">
        <f>IFERROR(_xlfn.IFNA(INDEX(cards_old[],MATCH(AllCardsViz[[#This Row],[uuid]],cards_old[uuid],0),64),""),"")</f>
        <v/>
      </c>
      <c r="D75" t="str">
        <f>IFERROR(_xlfn.IFNA(INDEX(cards_old[],MATCH(AllCardsViz[[#This Row],[uuid]],cards_old[uuid],0),68),INDEX(tokens[],MATCH(AllCardsViz[[#This Row],[uuid]],tokens[uuid],0),39)),"")</f>
        <v/>
      </c>
      <c r="E75" t="str">
        <f>IFERROR(_xlfn.IFNA(INDEX(cards_old[],MATCH(AllCardsViz[[#This Row],[uuid]],cards_old[uuid],0),69),INDEX(tokens[],MATCH(AllCardsViz[[#This Row],[uuid]],tokens[uuid],0),40)),"")</f>
        <v/>
      </c>
      <c r="F75" t="str">
        <f>IFERROR(_xlfn.IFNA(INDEX(cards_old[],MATCH(AllCardsViz[[#This Row],[uuid]],cards_old[uuid],0),44),INDEX(tokens[],MATCH(AllCardsViz[[#This Row],[uuid]],tokens[uuid],0),24)),"")</f>
        <v/>
      </c>
      <c r="G75">
        <f>IFERROR(INDEX(sets[],MATCH(AllCardsViz[[#This Row],[Setcode]],sets[code],0),16),INDEX(sets[],MATCH(AllCardsViz[[#This Row],[Setcode]],sets[tokenSetCode],0),16))</f>
        <v>6</v>
      </c>
    </row>
    <row r="76" spans="1:7" x14ac:dyDescent="0.25">
      <c r="A76" t="str" cm="1">
        <f t="array" ref="A76">IFERROR(INDEX(_xlfn.VSTACK(cards_old[uuid],tokens[uuid]), ROW()-ROW($A$1)),"")</f>
        <v/>
      </c>
      <c r="B76" t="str">
        <f>IFERROR(_xlfn.IFNA(INDEX(cards_old[],MATCH(AllCardsViz[[#This Row],[uuid]],cards_old[uuid],0),52),INDEX(tokens[],MATCH(AllCardsViz[[#This Row],[uuid]],tokens[uuid],0),28)),"")</f>
        <v>Once Upon a Time</v>
      </c>
      <c r="C76" t="str">
        <f>IFERROR(_xlfn.IFNA(INDEX(cards_old[],MATCH(AllCardsViz[[#This Row],[uuid]],cards_old[uuid],0),64),""),"")</f>
        <v/>
      </c>
      <c r="D76" t="str">
        <f>IFERROR(_xlfn.IFNA(INDEX(cards_old[],MATCH(AllCardsViz[[#This Row],[uuid]],cards_old[uuid],0),68),INDEX(tokens[],MATCH(AllCardsViz[[#This Row],[uuid]],tokens[uuid],0),39)),"")</f>
        <v/>
      </c>
      <c r="E76" t="str">
        <f>IFERROR(_xlfn.IFNA(INDEX(cards_old[],MATCH(AllCardsViz[[#This Row],[uuid]],cards_old[uuid],0),69),INDEX(tokens[],MATCH(AllCardsViz[[#This Row],[uuid]],tokens[uuid],0),40)),"")</f>
        <v/>
      </c>
      <c r="F76" t="str">
        <f>IFERROR(_xlfn.IFNA(INDEX(cards_old[],MATCH(AllCardsViz[[#This Row],[uuid]],cards_old[uuid],0),44),INDEX(tokens[],MATCH(AllCardsViz[[#This Row],[uuid]],tokens[uuid],0),24)),"")</f>
        <v/>
      </c>
      <c r="G76">
        <f>IFERROR(INDEX(sets[],MATCH(AllCardsViz[[#This Row],[Setcode]],sets[code],0),16),INDEX(sets[],MATCH(AllCardsViz[[#This Row],[Setcode]],sets[tokenSetCode],0),16))</f>
        <v>6</v>
      </c>
    </row>
    <row r="77" spans="1:7" x14ac:dyDescent="0.25">
      <c r="A77" t="str" cm="1">
        <f t="array" ref="A77">IFERROR(INDEX(_xlfn.VSTACK(cards_old[uuid],tokens[uuid]), ROW()-ROW($A$1)),"")</f>
        <v/>
      </c>
      <c r="B77" t="str">
        <f>IFERROR(_xlfn.IFNA(INDEX(cards_old[],MATCH(AllCardsViz[[#This Row],[uuid]],cards_old[uuid],0),52),INDEX(tokens[],MATCH(AllCardsViz[[#This Row],[uuid]],tokens[uuid],0),28)),"")</f>
        <v>Once Upon a Time</v>
      </c>
      <c r="C77" t="str">
        <f>IFERROR(_xlfn.IFNA(INDEX(cards_old[],MATCH(AllCardsViz[[#This Row],[uuid]],cards_old[uuid],0),64),""),"")</f>
        <v/>
      </c>
      <c r="D77" t="str">
        <f>IFERROR(_xlfn.IFNA(INDEX(cards_old[],MATCH(AllCardsViz[[#This Row],[uuid]],cards_old[uuid],0),68),INDEX(tokens[],MATCH(AllCardsViz[[#This Row],[uuid]],tokens[uuid],0),39)),"")</f>
        <v/>
      </c>
      <c r="E77" t="str">
        <f>IFERROR(_xlfn.IFNA(INDEX(cards_old[],MATCH(AllCardsViz[[#This Row],[uuid]],cards_old[uuid],0),69),INDEX(tokens[],MATCH(AllCardsViz[[#This Row],[uuid]],tokens[uuid],0),40)),"")</f>
        <v/>
      </c>
      <c r="F77" t="str">
        <f>IFERROR(_xlfn.IFNA(INDEX(cards_old[],MATCH(AllCardsViz[[#This Row],[uuid]],cards_old[uuid],0),44),INDEX(tokens[],MATCH(AllCardsViz[[#This Row],[uuid]],tokens[uuid],0),24)),"")</f>
        <v/>
      </c>
      <c r="G77">
        <f>IFERROR(INDEX(sets[],MATCH(AllCardsViz[[#This Row],[Setcode]],sets[code],0),16),INDEX(sets[],MATCH(AllCardsViz[[#This Row],[Setcode]],sets[tokenSetCode],0),16))</f>
        <v>6</v>
      </c>
    </row>
    <row r="78" spans="1:7" x14ac:dyDescent="0.25">
      <c r="A78" t="str" cm="1">
        <f t="array" ref="A78">IFERROR(INDEX(_xlfn.VSTACK(cards_old[uuid],tokens[uuid]), ROW()-ROW($A$1)),"")</f>
        <v/>
      </c>
      <c r="B78" t="str">
        <f>IFERROR(_xlfn.IFNA(INDEX(cards_old[],MATCH(AllCardsViz[[#This Row],[uuid]],cards_old[uuid],0),52),INDEX(tokens[],MATCH(AllCardsViz[[#This Row],[uuid]],tokens[uuid],0),28)),"")</f>
        <v>Once Upon a Time</v>
      </c>
      <c r="C78" t="str">
        <f>IFERROR(_xlfn.IFNA(INDEX(cards_old[],MATCH(AllCardsViz[[#This Row],[uuid]],cards_old[uuid],0),64),""),"")</f>
        <v/>
      </c>
      <c r="D78" t="str">
        <f>IFERROR(_xlfn.IFNA(INDEX(cards_old[],MATCH(AllCardsViz[[#This Row],[uuid]],cards_old[uuid],0),68),INDEX(tokens[],MATCH(AllCardsViz[[#This Row],[uuid]],tokens[uuid],0),39)),"")</f>
        <v/>
      </c>
      <c r="E78" t="str">
        <f>IFERROR(_xlfn.IFNA(INDEX(cards_old[],MATCH(AllCardsViz[[#This Row],[uuid]],cards_old[uuid],0),69),INDEX(tokens[],MATCH(AllCardsViz[[#This Row],[uuid]],tokens[uuid],0),40)),"")</f>
        <v/>
      </c>
      <c r="F78" t="str">
        <f>IFERROR(_xlfn.IFNA(INDEX(cards_old[],MATCH(AllCardsViz[[#This Row],[uuid]],cards_old[uuid],0),44),INDEX(tokens[],MATCH(AllCardsViz[[#This Row],[uuid]],tokens[uuid],0),24)),"")</f>
        <v/>
      </c>
      <c r="G78">
        <f>IFERROR(INDEX(sets[],MATCH(AllCardsViz[[#This Row],[Setcode]],sets[code],0),16),INDEX(sets[],MATCH(AllCardsViz[[#This Row],[Setcode]],sets[tokenSetCode],0),16))</f>
        <v>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6D478-47F6-4079-9299-ED8ACBF98DF6}">
  <dimension ref="A1:T47"/>
  <sheetViews>
    <sheetView workbookViewId="0">
      <selection activeCell="B4" sqref="B4"/>
    </sheetView>
  </sheetViews>
  <sheetFormatPr defaultRowHeight="15" x14ac:dyDescent="0.25"/>
  <cols>
    <col min="1" max="1" width="7.7109375" bestFit="1" customWidth="1"/>
    <col min="2" max="2" width="32.5703125" bestFit="1" customWidth="1"/>
    <col min="3" max="3" width="12.7109375" bestFit="1" customWidth="1"/>
    <col min="4" max="4" width="23.7109375" bestFit="1" customWidth="1"/>
    <col min="5" max="5" width="16.42578125" bestFit="1" customWidth="1"/>
    <col min="6" max="6" width="14.28515625" bestFit="1" customWidth="1"/>
    <col min="7" max="7" width="15.5703125" bestFit="1" customWidth="1"/>
    <col min="8" max="8" width="15" bestFit="1" customWidth="1"/>
    <col min="9" max="9" width="12.28515625" bestFit="1" customWidth="1"/>
    <col min="10" max="10" width="19" bestFit="1" customWidth="1"/>
    <col min="11" max="11" width="16.140625" bestFit="1" customWidth="1"/>
    <col min="12" max="12" width="14" bestFit="1" customWidth="1"/>
    <col min="13" max="13" width="14.140625" bestFit="1" customWidth="1"/>
    <col min="14" max="14" width="14.28515625" bestFit="1" customWidth="1"/>
    <col min="15" max="15" width="15.5703125" bestFit="1" customWidth="1"/>
    <col min="16" max="16" width="9.42578125" bestFit="1" customWidth="1"/>
    <col min="17" max="17" width="34.85546875" bestFit="1" customWidth="1"/>
    <col min="18" max="18" width="15" bestFit="1" customWidth="1"/>
    <col min="19" max="19" width="15.85546875" bestFit="1" customWidth="1"/>
    <col min="20" max="20" width="17.85546875" bestFit="1" customWidth="1"/>
    <col min="21" max="21" width="14.140625" bestFit="1" customWidth="1"/>
    <col min="22" max="22" width="15.5703125" bestFit="1" customWidth="1"/>
  </cols>
  <sheetData>
    <row r="1" spans="1:20" x14ac:dyDescent="0.25">
      <c r="A1" t="s">
        <v>689</v>
      </c>
      <c r="B1" t="s">
        <v>324</v>
      </c>
      <c r="C1" t="s">
        <v>698</v>
      </c>
      <c r="D1" t="s">
        <v>688</v>
      </c>
      <c r="E1" t="s">
        <v>702</v>
      </c>
      <c r="F1" t="s">
        <v>700</v>
      </c>
      <c r="G1" t="s">
        <v>632</v>
      </c>
      <c r="H1" t="s">
        <v>595</v>
      </c>
      <c r="I1" t="s">
        <v>690</v>
      </c>
      <c r="J1" t="s">
        <v>701</v>
      </c>
      <c r="K1" t="s">
        <v>692</v>
      </c>
      <c r="L1" t="s">
        <v>699</v>
      </c>
      <c r="M1" t="s">
        <v>703</v>
      </c>
      <c r="N1" t="s">
        <v>687</v>
      </c>
      <c r="O1" t="s">
        <v>694</v>
      </c>
      <c r="P1" t="s">
        <v>695</v>
      </c>
      <c r="Q1" t="s">
        <v>697</v>
      </c>
      <c r="R1" t="s">
        <v>696</v>
      </c>
      <c r="S1" t="s">
        <v>691</v>
      </c>
      <c r="T1" t="s">
        <v>693</v>
      </c>
    </row>
    <row r="2" spans="1:20" x14ac:dyDescent="0.25">
      <c r="A2" t="s">
        <v>817</v>
      </c>
      <c r="B2" t="s">
        <v>819</v>
      </c>
      <c r="C2" t="s">
        <v>817</v>
      </c>
      <c r="D2" t="s">
        <v>704</v>
      </c>
      <c r="E2" t="s">
        <v>820</v>
      </c>
      <c r="F2" s="1">
        <v>39276</v>
      </c>
      <c r="G2" t="s">
        <v>706</v>
      </c>
      <c r="H2">
        <v>0</v>
      </c>
      <c r="I2">
        <v>0</v>
      </c>
      <c r="J2">
        <v>1</v>
      </c>
      <c r="K2">
        <v>0</v>
      </c>
      <c r="L2" t="s">
        <v>635</v>
      </c>
      <c r="M2">
        <v>510</v>
      </c>
      <c r="N2">
        <v>383</v>
      </c>
      <c r="O2" t="s">
        <v>817</v>
      </c>
      <c r="P2">
        <v>74</v>
      </c>
      <c r="Q2" t="s">
        <v>819</v>
      </c>
      <c r="S2" t="s">
        <v>635</v>
      </c>
      <c r="T2" t="s">
        <v>635</v>
      </c>
    </row>
    <row r="3" spans="1:20" x14ac:dyDescent="0.25">
      <c r="A3" t="s">
        <v>307</v>
      </c>
      <c r="B3" t="s">
        <v>705</v>
      </c>
      <c r="C3" t="s">
        <v>635</v>
      </c>
      <c r="D3" t="s">
        <v>704</v>
      </c>
      <c r="E3" t="s">
        <v>635</v>
      </c>
      <c r="F3" s="1">
        <v>34435</v>
      </c>
      <c r="G3" t="s">
        <v>706</v>
      </c>
      <c r="H3">
        <v>0</v>
      </c>
      <c r="I3">
        <v>0</v>
      </c>
      <c r="J3">
        <v>97</v>
      </c>
      <c r="K3">
        <v>1</v>
      </c>
      <c r="L3" t="s">
        <v>635</v>
      </c>
      <c r="M3">
        <v>306</v>
      </c>
      <c r="N3">
        <v>306</v>
      </c>
      <c r="O3" t="s">
        <v>307</v>
      </c>
      <c r="P3">
        <v>6</v>
      </c>
      <c r="Q3" t="s">
        <v>1086</v>
      </c>
      <c r="S3" t="s">
        <v>635</v>
      </c>
      <c r="T3" t="s">
        <v>635</v>
      </c>
    </row>
    <row r="4" spans="1:20" x14ac:dyDescent="0.25">
      <c r="A4" t="s">
        <v>256</v>
      </c>
      <c r="B4" t="s">
        <v>708</v>
      </c>
      <c r="C4" t="s">
        <v>256</v>
      </c>
      <c r="D4" t="s">
        <v>707</v>
      </c>
      <c r="E4" t="s">
        <v>635</v>
      </c>
      <c r="F4" s="1">
        <v>38142</v>
      </c>
      <c r="G4" t="s">
        <v>709</v>
      </c>
      <c r="H4">
        <v>0</v>
      </c>
      <c r="I4">
        <v>0</v>
      </c>
      <c r="J4">
        <v>43</v>
      </c>
      <c r="K4">
        <v>0</v>
      </c>
      <c r="L4" t="s">
        <v>635</v>
      </c>
      <c r="M4">
        <v>165</v>
      </c>
      <c r="N4">
        <v>165</v>
      </c>
      <c r="O4" t="s">
        <v>256</v>
      </c>
      <c r="P4">
        <v>47</v>
      </c>
      <c r="Q4" t="s">
        <v>708</v>
      </c>
      <c r="S4" t="s">
        <v>635</v>
      </c>
      <c r="T4" t="s">
        <v>635</v>
      </c>
    </row>
    <row r="5" spans="1:20" x14ac:dyDescent="0.25">
      <c r="A5" t="s">
        <v>82</v>
      </c>
      <c r="B5" t="s">
        <v>712</v>
      </c>
      <c r="C5" t="s">
        <v>635</v>
      </c>
      <c r="D5" t="s">
        <v>635</v>
      </c>
      <c r="E5" t="s">
        <v>82</v>
      </c>
      <c r="F5" s="1">
        <v>44722</v>
      </c>
      <c r="G5" t="s">
        <v>710</v>
      </c>
      <c r="H5">
        <v>0</v>
      </c>
      <c r="I5">
        <v>0</v>
      </c>
      <c r="J5">
        <v>3048</v>
      </c>
      <c r="K5">
        <v>0</v>
      </c>
      <c r="L5" t="s">
        <v>711</v>
      </c>
      <c r="M5">
        <v>81</v>
      </c>
      <c r="N5">
        <v>0</v>
      </c>
      <c r="O5" t="s">
        <v>711</v>
      </c>
      <c r="Q5" t="s">
        <v>635</v>
      </c>
      <c r="S5" t="s">
        <v>635</v>
      </c>
      <c r="T5" t="s">
        <v>635</v>
      </c>
    </row>
    <row r="6" spans="1:20" x14ac:dyDescent="0.25">
      <c r="A6" t="s">
        <v>44</v>
      </c>
      <c r="B6" t="s">
        <v>792</v>
      </c>
      <c r="C6" t="s">
        <v>44</v>
      </c>
      <c r="D6" t="s">
        <v>635</v>
      </c>
      <c r="E6" t="s">
        <v>793</v>
      </c>
      <c r="F6" s="1">
        <v>45478</v>
      </c>
      <c r="G6" t="s">
        <v>746</v>
      </c>
      <c r="H6">
        <v>0</v>
      </c>
      <c r="I6">
        <v>0</v>
      </c>
      <c r="J6">
        <v>23446</v>
      </c>
      <c r="K6">
        <v>0</v>
      </c>
      <c r="L6" t="s">
        <v>635</v>
      </c>
      <c r="M6">
        <v>309</v>
      </c>
      <c r="N6">
        <v>110</v>
      </c>
      <c r="O6" t="s">
        <v>44</v>
      </c>
      <c r="Q6" t="s">
        <v>635</v>
      </c>
      <c r="S6" t="s">
        <v>635</v>
      </c>
      <c r="T6" t="s">
        <v>635</v>
      </c>
    </row>
    <row r="7" spans="1:20" x14ac:dyDescent="0.25">
      <c r="A7" t="s">
        <v>959</v>
      </c>
      <c r="B7" t="s">
        <v>1087</v>
      </c>
      <c r="C7" t="s">
        <v>959</v>
      </c>
      <c r="D7" t="s">
        <v>1087</v>
      </c>
      <c r="E7" t="s">
        <v>1088</v>
      </c>
      <c r="F7" s="1">
        <v>42853</v>
      </c>
      <c r="G7" t="s">
        <v>709</v>
      </c>
      <c r="H7">
        <v>0</v>
      </c>
      <c r="I7">
        <v>0</v>
      </c>
      <c r="J7">
        <v>1882</v>
      </c>
      <c r="K7">
        <v>0</v>
      </c>
      <c r="L7" t="s">
        <v>635</v>
      </c>
      <c r="M7">
        <v>302</v>
      </c>
      <c r="N7">
        <v>269</v>
      </c>
      <c r="O7" t="s">
        <v>959</v>
      </c>
      <c r="P7">
        <v>1729</v>
      </c>
      <c r="Q7" t="s">
        <v>1087</v>
      </c>
      <c r="S7" t="s">
        <v>635</v>
      </c>
      <c r="T7" t="s">
        <v>635</v>
      </c>
    </row>
    <row r="8" spans="1:20" x14ac:dyDescent="0.25">
      <c r="A8" t="s">
        <v>143</v>
      </c>
      <c r="B8" t="s">
        <v>714</v>
      </c>
      <c r="C8" t="s">
        <v>635</v>
      </c>
      <c r="D8" t="s">
        <v>635</v>
      </c>
      <c r="E8" t="s">
        <v>635</v>
      </c>
      <c r="F8" s="1">
        <v>44056</v>
      </c>
      <c r="G8" t="s">
        <v>715</v>
      </c>
      <c r="H8">
        <v>1</v>
      </c>
      <c r="I8">
        <v>0</v>
      </c>
      <c r="K8">
        <v>1</v>
      </c>
      <c r="L8" t="s">
        <v>635</v>
      </c>
      <c r="M8">
        <v>364</v>
      </c>
      <c r="N8">
        <v>338</v>
      </c>
      <c r="O8" t="s">
        <v>143</v>
      </c>
      <c r="Q8" t="s">
        <v>635</v>
      </c>
      <c r="S8" t="s">
        <v>635</v>
      </c>
      <c r="T8" t="s">
        <v>635</v>
      </c>
    </row>
    <row r="9" spans="1:20" x14ac:dyDescent="0.25">
      <c r="A9" t="s">
        <v>166</v>
      </c>
      <c r="B9" t="s">
        <v>717</v>
      </c>
      <c r="C9" t="s">
        <v>635</v>
      </c>
      <c r="D9" t="s">
        <v>635</v>
      </c>
      <c r="E9" t="s">
        <v>166</v>
      </c>
      <c r="F9" s="1">
        <v>43621</v>
      </c>
      <c r="G9" t="s">
        <v>710</v>
      </c>
      <c r="H9">
        <v>0</v>
      </c>
      <c r="I9">
        <v>0</v>
      </c>
      <c r="J9">
        <v>2463</v>
      </c>
      <c r="K9">
        <v>1</v>
      </c>
      <c r="L9" t="s">
        <v>716</v>
      </c>
      <c r="M9">
        <v>54</v>
      </c>
      <c r="N9">
        <v>54</v>
      </c>
      <c r="O9" t="s">
        <v>716</v>
      </c>
      <c r="Q9" t="s">
        <v>635</v>
      </c>
      <c r="S9" t="s">
        <v>635</v>
      </c>
      <c r="T9" t="s">
        <v>635</v>
      </c>
    </row>
    <row r="10" spans="1:20" x14ac:dyDescent="0.25">
      <c r="A10" t="s">
        <v>106</v>
      </c>
      <c r="B10" t="s">
        <v>718</v>
      </c>
      <c r="C10" t="s">
        <v>635</v>
      </c>
      <c r="D10" t="s">
        <v>635</v>
      </c>
      <c r="E10" t="s">
        <v>106</v>
      </c>
      <c r="F10" s="1">
        <v>44365</v>
      </c>
      <c r="G10" t="s">
        <v>710</v>
      </c>
      <c r="H10">
        <v>0</v>
      </c>
      <c r="I10">
        <v>0</v>
      </c>
      <c r="J10">
        <v>2822</v>
      </c>
      <c r="K10">
        <v>0</v>
      </c>
      <c r="L10" t="s">
        <v>97</v>
      </c>
      <c r="M10">
        <v>162</v>
      </c>
      <c r="N10">
        <v>0</v>
      </c>
      <c r="O10" t="s">
        <v>97</v>
      </c>
      <c r="Q10" t="s">
        <v>635</v>
      </c>
      <c r="S10" t="s">
        <v>635</v>
      </c>
      <c r="T10" t="s">
        <v>635</v>
      </c>
    </row>
    <row r="11" spans="1:20" x14ac:dyDescent="0.25">
      <c r="A11" t="s">
        <v>54</v>
      </c>
      <c r="B11" t="s">
        <v>720</v>
      </c>
      <c r="C11" t="s">
        <v>635</v>
      </c>
      <c r="D11" t="s">
        <v>635</v>
      </c>
      <c r="E11" t="s">
        <v>54</v>
      </c>
      <c r="F11" s="1">
        <v>45457</v>
      </c>
      <c r="G11" t="s">
        <v>710</v>
      </c>
      <c r="H11">
        <v>0</v>
      </c>
      <c r="I11">
        <v>0</v>
      </c>
      <c r="J11">
        <v>23533</v>
      </c>
      <c r="K11">
        <v>0</v>
      </c>
      <c r="L11" t="s">
        <v>719</v>
      </c>
      <c r="M11">
        <v>54</v>
      </c>
      <c r="N11">
        <v>0</v>
      </c>
      <c r="O11" t="s">
        <v>719</v>
      </c>
      <c r="Q11" t="s">
        <v>635</v>
      </c>
      <c r="S11" t="s">
        <v>635</v>
      </c>
      <c r="T11" t="s">
        <v>635</v>
      </c>
    </row>
    <row r="12" spans="1:20" x14ac:dyDescent="0.25">
      <c r="A12" t="s">
        <v>94</v>
      </c>
      <c r="B12" t="s">
        <v>722</v>
      </c>
      <c r="C12" t="s">
        <v>635</v>
      </c>
      <c r="D12" t="s">
        <v>721</v>
      </c>
      <c r="E12" t="s">
        <v>94</v>
      </c>
      <c r="F12" s="1">
        <v>44463</v>
      </c>
      <c r="G12" t="s">
        <v>710</v>
      </c>
      <c r="H12">
        <v>0</v>
      </c>
      <c r="I12">
        <v>0</v>
      </c>
      <c r="J12">
        <v>2891</v>
      </c>
      <c r="K12">
        <v>0</v>
      </c>
      <c r="L12" t="s">
        <v>88</v>
      </c>
      <c r="M12">
        <v>81</v>
      </c>
      <c r="N12">
        <v>0</v>
      </c>
      <c r="O12" t="s">
        <v>88</v>
      </c>
      <c r="Q12" t="s">
        <v>635</v>
      </c>
      <c r="S12" t="s">
        <v>635</v>
      </c>
      <c r="T12" t="s">
        <v>635</v>
      </c>
    </row>
    <row r="13" spans="1:20" x14ac:dyDescent="0.25">
      <c r="A13" t="s">
        <v>79</v>
      </c>
      <c r="B13" t="s">
        <v>724</v>
      </c>
      <c r="C13" t="s">
        <v>635</v>
      </c>
      <c r="D13" t="s">
        <v>635</v>
      </c>
      <c r="E13" t="s">
        <v>79</v>
      </c>
      <c r="F13" s="1">
        <v>44960</v>
      </c>
      <c r="G13" t="s">
        <v>710</v>
      </c>
      <c r="H13">
        <v>0</v>
      </c>
      <c r="I13">
        <v>0</v>
      </c>
      <c r="J13">
        <v>22933</v>
      </c>
      <c r="K13">
        <v>0</v>
      </c>
      <c r="L13" t="s">
        <v>723</v>
      </c>
      <c r="M13">
        <v>81</v>
      </c>
      <c r="N13">
        <v>0</v>
      </c>
      <c r="O13" t="s">
        <v>723</v>
      </c>
      <c r="Q13" t="s">
        <v>635</v>
      </c>
      <c r="S13" t="s">
        <v>635</v>
      </c>
      <c r="T13" t="s">
        <v>635</v>
      </c>
    </row>
    <row r="14" spans="1:20" x14ac:dyDescent="0.25">
      <c r="A14" t="s">
        <v>112</v>
      </c>
      <c r="B14" t="s">
        <v>726</v>
      </c>
      <c r="C14" t="s">
        <v>635</v>
      </c>
      <c r="D14" t="s">
        <v>635</v>
      </c>
      <c r="E14" t="s">
        <v>112</v>
      </c>
      <c r="F14" s="1">
        <v>44309</v>
      </c>
      <c r="G14" t="s">
        <v>710</v>
      </c>
      <c r="H14">
        <v>0</v>
      </c>
      <c r="I14">
        <v>0</v>
      </c>
      <c r="J14">
        <v>2806</v>
      </c>
      <c r="K14">
        <v>0</v>
      </c>
      <c r="L14" t="s">
        <v>725</v>
      </c>
      <c r="M14">
        <v>162</v>
      </c>
      <c r="N14">
        <v>0</v>
      </c>
      <c r="O14" t="s">
        <v>725</v>
      </c>
      <c r="Q14" t="s">
        <v>635</v>
      </c>
      <c r="S14" t="s">
        <v>635</v>
      </c>
      <c r="T14" t="s">
        <v>635</v>
      </c>
    </row>
    <row r="15" spans="1:20" x14ac:dyDescent="0.25">
      <c r="A15" t="s">
        <v>85</v>
      </c>
      <c r="B15" t="s">
        <v>728</v>
      </c>
      <c r="C15" t="s">
        <v>635</v>
      </c>
      <c r="D15" t="s">
        <v>721</v>
      </c>
      <c r="E15" t="s">
        <v>85</v>
      </c>
      <c r="F15" s="1">
        <v>44519</v>
      </c>
      <c r="G15" t="s">
        <v>710</v>
      </c>
      <c r="H15">
        <v>0</v>
      </c>
      <c r="I15">
        <v>0</v>
      </c>
      <c r="J15">
        <v>2898</v>
      </c>
      <c r="K15">
        <v>0</v>
      </c>
      <c r="L15" t="s">
        <v>727</v>
      </c>
      <c r="M15">
        <v>81</v>
      </c>
      <c r="N15">
        <v>0</v>
      </c>
      <c r="O15" t="s">
        <v>727</v>
      </c>
      <c r="Q15" t="s">
        <v>635</v>
      </c>
      <c r="S15" t="s">
        <v>635</v>
      </c>
      <c r="T15" t="s">
        <v>635</v>
      </c>
    </row>
    <row r="16" spans="1:20" x14ac:dyDescent="0.25">
      <c r="A16" t="s">
        <v>204</v>
      </c>
      <c r="B16" t="s">
        <v>729</v>
      </c>
      <c r="C16" t="s">
        <v>204</v>
      </c>
      <c r="D16" t="s">
        <v>729</v>
      </c>
      <c r="E16" t="s">
        <v>730</v>
      </c>
      <c r="F16" s="1">
        <v>42279</v>
      </c>
      <c r="G16" t="s">
        <v>709</v>
      </c>
      <c r="H16">
        <v>0</v>
      </c>
      <c r="I16">
        <v>0</v>
      </c>
      <c r="J16">
        <v>1645</v>
      </c>
      <c r="K16">
        <v>0</v>
      </c>
      <c r="L16" t="s">
        <v>635</v>
      </c>
      <c r="M16">
        <v>299</v>
      </c>
      <c r="N16">
        <v>274</v>
      </c>
      <c r="O16" t="s">
        <v>204</v>
      </c>
      <c r="P16">
        <v>1668</v>
      </c>
      <c r="Q16" t="s">
        <v>729</v>
      </c>
      <c r="S16" t="s">
        <v>635</v>
      </c>
      <c r="T16" t="s">
        <v>635</v>
      </c>
    </row>
    <row r="17" spans="1:20" x14ac:dyDescent="0.25">
      <c r="A17" t="s">
        <v>162</v>
      </c>
      <c r="B17" t="s">
        <v>733</v>
      </c>
      <c r="C17" t="s">
        <v>162</v>
      </c>
      <c r="D17" t="s">
        <v>635</v>
      </c>
      <c r="E17" t="s">
        <v>734</v>
      </c>
      <c r="F17" s="1">
        <v>43742</v>
      </c>
      <c r="G17" t="s">
        <v>709</v>
      </c>
      <c r="H17">
        <v>0</v>
      </c>
      <c r="I17">
        <v>0</v>
      </c>
      <c r="J17">
        <v>2494</v>
      </c>
      <c r="K17">
        <v>0</v>
      </c>
      <c r="L17" t="s">
        <v>635</v>
      </c>
      <c r="M17">
        <v>457</v>
      </c>
      <c r="N17">
        <v>269</v>
      </c>
      <c r="O17" t="s">
        <v>162</v>
      </c>
      <c r="P17">
        <v>2582</v>
      </c>
      <c r="Q17" t="s">
        <v>733</v>
      </c>
      <c r="R17">
        <v>2587</v>
      </c>
      <c r="S17" t="s">
        <v>635</v>
      </c>
      <c r="T17" t="s">
        <v>635</v>
      </c>
    </row>
    <row r="18" spans="1:20" x14ac:dyDescent="0.25">
      <c r="A18" t="s">
        <v>192</v>
      </c>
      <c r="B18" t="s">
        <v>795</v>
      </c>
      <c r="C18" t="s">
        <v>192</v>
      </c>
      <c r="D18" t="s">
        <v>794</v>
      </c>
      <c r="E18" t="s">
        <v>796</v>
      </c>
      <c r="F18" s="1">
        <v>42573</v>
      </c>
      <c r="G18" t="s">
        <v>709</v>
      </c>
      <c r="H18">
        <v>0</v>
      </c>
      <c r="I18">
        <v>0</v>
      </c>
      <c r="J18">
        <v>1790</v>
      </c>
      <c r="K18">
        <v>0</v>
      </c>
      <c r="L18" t="s">
        <v>635</v>
      </c>
      <c r="M18">
        <v>223</v>
      </c>
      <c r="N18">
        <v>205</v>
      </c>
      <c r="O18" t="s">
        <v>192</v>
      </c>
      <c r="P18">
        <v>1695</v>
      </c>
      <c r="Q18" t="s">
        <v>795</v>
      </c>
      <c r="S18" t="s">
        <v>635</v>
      </c>
      <c r="T18" t="s">
        <v>635</v>
      </c>
    </row>
    <row r="19" spans="1:20" x14ac:dyDescent="0.25">
      <c r="A19" t="s">
        <v>301</v>
      </c>
      <c r="B19" t="s">
        <v>735</v>
      </c>
      <c r="C19" t="s">
        <v>635</v>
      </c>
      <c r="D19" t="s">
        <v>635</v>
      </c>
      <c r="E19" t="s">
        <v>635</v>
      </c>
      <c r="F19" s="1">
        <v>34639</v>
      </c>
      <c r="G19" t="s">
        <v>709</v>
      </c>
      <c r="H19">
        <v>0</v>
      </c>
      <c r="I19">
        <v>0</v>
      </c>
      <c r="J19">
        <v>41</v>
      </c>
      <c r="K19">
        <v>1</v>
      </c>
      <c r="L19" t="s">
        <v>635</v>
      </c>
      <c r="M19">
        <v>187</v>
      </c>
      <c r="N19">
        <v>187</v>
      </c>
      <c r="O19" t="s">
        <v>301</v>
      </c>
      <c r="P19">
        <v>9</v>
      </c>
      <c r="Q19" t="s">
        <v>735</v>
      </c>
      <c r="S19" t="s">
        <v>635</v>
      </c>
      <c r="T19" t="s">
        <v>635</v>
      </c>
    </row>
    <row r="20" spans="1:20" x14ac:dyDescent="0.25">
      <c r="A20" t="s">
        <v>25</v>
      </c>
      <c r="B20" t="s">
        <v>736</v>
      </c>
      <c r="C20" t="s">
        <v>635</v>
      </c>
      <c r="D20" t="s">
        <v>635</v>
      </c>
      <c r="E20" t="s">
        <v>25</v>
      </c>
      <c r="F20" s="1">
        <v>45611</v>
      </c>
      <c r="G20" t="s">
        <v>710</v>
      </c>
      <c r="H20">
        <v>0</v>
      </c>
      <c r="I20">
        <v>0</v>
      </c>
      <c r="K20">
        <v>1</v>
      </c>
      <c r="L20" t="s">
        <v>16</v>
      </c>
      <c r="M20">
        <v>46</v>
      </c>
      <c r="N20">
        <v>0</v>
      </c>
      <c r="O20" t="s">
        <v>16</v>
      </c>
      <c r="Q20" t="s">
        <v>635</v>
      </c>
      <c r="S20" t="s">
        <v>635</v>
      </c>
      <c r="T20" t="s">
        <v>635</v>
      </c>
    </row>
    <row r="21" spans="1:20" x14ac:dyDescent="0.25">
      <c r="A21" t="s">
        <v>173</v>
      </c>
      <c r="B21" t="s">
        <v>737</v>
      </c>
      <c r="C21" t="s">
        <v>173</v>
      </c>
      <c r="D21" t="s">
        <v>737</v>
      </c>
      <c r="E21" t="s">
        <v>738</v>
      </c>
      <c r="F21" s="1">
        <v>43378</v>
      </c>
      <c r="G21" t="s">
        <v>709</v>
      </c>
      <c r="H21">
        <v>0</v>
      </c>
      <c r="I21">
        <v>0</v>
      </c>
      <c r="J21">
        <v>2290</v>
      </c>
      <c r="K21">
        <v>0</v>
      </c>
      <c r="L21" t="s">
        <v>635</v>
      </c>
      <c r="M21">
        <v>283</v>
      </c>
      <c r="N21">
        <v>259</v>
      </c>
      <c r="O21" t="s">
        <v>173</v>
      </c>
      <c r="P21">
        <v>2348</v>
      </c>
      <c r="Q21" t="s">
        <v>737</v>
      </c>
      <c r="R21">
        <v>2371</v>
      </c>
      <c r="S21" t="s">
        <v>635</v>
      </c>
      <c r="T21" t="s">
        <v>635</v>
      </c>
    </row>
    <row r="22" spans="1:20" x14ac:dyDescent="0.25">
      <c r="A22" t="s">
        <v>294</v>
      </c>
      <c r="B22" t="s">
        <v>739</v>
      </c>
      <c r="C22" t="s">
        <v>635</v>
      </c>
      <c r="D22" t="s">
        <v>635</v>
      </c>
      <c r="E22" t="s">
        <v>635</v>
      </c>
      <c r="F22" s="1">
        <v>34973</v>
      </c>
      <c r="G22" t="s">
        <v>709</v>
      </c>
      <c r="H22">
        <v>0</v>
      </c>
      <c r="I22">
        <v>0</v>
      </c>
      <c r="J22">
        <v>57</v>
      </c>
      <c r="K22">
        <v>1</v>
      </c>
      <c r="L22" t="s">
        <v>635</v>
      </c>
      <c r="M22">
        <v>140</v>
      </c>
      <c r="N22">
        <v>140</v>
      </c>
      <c r="O22" t="s">
        <v>294</v>
      </c>
      <c r="P22">
        <v>14</v>
      </c>
      <c r="Q22" t="s">
        <v>739</v>
      </c>
      <c r="S22" t="s">
        <v>635</v>
      </c>
      <c r="T22" t="s">
        <v>635</v>
      </c>
    </row>
    <row r="23" spans="1:20" x14ac:dyDescent="0.25">
      <c r="A23" t="s">
        <v>298</v>
      </c>
      <c r="B23" t="s">
        <v>740</v>
      </c>
      <c r="C23" t="s">
        <v>635</v>
      </c>
      <c r="D23" t="s">
        <v>740</v>
      </c>
      <c r="E23" t="s">
        <v>635</v>
      </c>
      <c r="F23" s="1">
        <v>34853</v>
      </c>
      <c r="G23" t="s">
        <v>709</v>
      </c>
      <c r="H23">
        <v>0</v>
      </c>
      <c r="I23">
        <v>0</v>
      </c>
      <c r="J23">
        <v>58</v>
      </c>
      <c r="K23">
        <v>1</v>
      </c>
      <c r="L23" t="s">
        <v>635</v>
      </c>
      <c r="M23">
        <v>383</v>
      </c>
      <c r="N23">
        <v>383</v>
      </c>
      <c r="O23" t="s">
        <v>298</v>
      </c>
      <c r="P23">
        <v>11</v>
      </c>
      <c r="Q23" t="s">
        <v>740</v>
      </c>
      <c r="S23" t="s">
        <v>635</v>
      </c>
      <c r="T23" t="s">
        <v>635</v>
      </c>
    </row>
    <row r="24" spans="1:20" x14ac:dyDescent="0.25">
      <c r="A24" t="s">
        <v>187</v>
      </c>
      <c r="B24" t="s">
        <v>741</v>
      </c>
      <c r="C24" t="s">
        <v>187</v>
      </c>
      <c r="D24" t="s">
        <v>635</v>
      </c>
      <c r="E24" t="s">
        <v>742</v>
      </c>
      <c r="F24" s="1">
        <v>43056</v>
      </c>
      <c r="G24" t="s">
        <v>715</v>
      </c>
      <c r="H24">
        <v>0</v>
      </c>
      <c r="I24">
        <v>0</v>
      </c>
      <c r="J24">
        <v>2050</v>
      </c>
      <c r="K24">
        <v>0</v>
      </c>
      <c r="L24" t="s">
        <v>635</v>
      </c>
      <c r="M24">
        <v>249</v>
      </c>
      <c r="N24">
        <v>249</v>
      </c>
      <c r="O24" t="s">
        <v>187</v>
      </c>
      <c r="P24">
        <v>1811</v>
      </c>
      <c r="Q24" t="s">
        <v>741</v>
      </c>
      <c r="S24" t="s">
        <v>635</v>
      </c>
      <c r="T24" t="s">
        <v>635</v>
      </c>
    </row>
    <row r="25" spans="1:20" x14ac:dyDescent="0.25">
      <c r="A25" t="s">
        <v>272</v>
      </c>
      <c r="B25" t="s">
        <v>743</v>
      </c>
      <c r="C25" t="s">
        <v>744</v>
      </c>
      <c r="D25" t="s">
        <v>743</v>
      </c>
      <c r="E25" t="s">
        <v>635</v>
      </c>
      <c r="F25" s="1">
        <v>36801</v>
      </c>
      <c r="G25" t="s">
        <v>709</v>
      </c>
      <c r="H25">
        <v>0</v>
      </c>
      <c r="I25">
        <v>0</v>
      </c>
      <c r="J25">
        <v>60</v>
      </c>
      <c r="K25">
        <v>0</v>
      </c>
      <c r="L25" t="s">
        <v>635</v>
      </c>
      <c r="M25">
        <v>359</v>
      </c>
      <c r="N25">
        <v>350</v>
      </c>
      <c r="O25" t="s">
        <v>272</v>
      </c>
      <c r="P25">
        <v>34</v>
      </c>
      <c r="Q25" t="s">
        <v>743</v>
      </c>
      <c r="S25" t="s">
        <v>635</v>
      </c>
      <c r="T25" t="s">
        <v>635</v>
      </c>
    </row>
    <row r="26" spans="1:20" x14ac:dyDescent="0.25">
      <c r="A26" t="s">
        <v>16</v>
      </c>
      <c r="B26" t="s">
        <v>745</v>
      </c>
      <c r="C26" t="s">
        <v>635</v>
      </c>
      <c r="D26" t="s">
        <v>635</v>
      </c>
      <c r="E26" t="s">
        <v>635</v>
      </c>
      <c r="F26" s="1">
        <v>45611</v>
      </c>
      <c r="G26" t="s">
        <v>746</v>
      </c>
      <c r="H26">
        <v>0</v>
      </c>
      <c r="I26">
        <v>0</v>
      </c>
      <c r="J26">
        <v>23792</v>
      </c>
      <c r="K26">
        <v>1</v>
      </c>
      <c r="L26" t="s">
        <v>713</v>
      </c>
      <c r="M26">
        <v>779</v>
      </c>
      <c r="N26">
        <v>779</v>
      </c>
      <c r="O26" t="s">
        <v>16</v>
      </c>
      <c r="P26">
        <v>5932</v>
      </c>
      <c r="Q26" t="s">
        <v>745</v>
      </c>
      <c r="S26" t="s">
        <v>635</v>
      </c>
      <c r="T26" t="s">
        <v>635</v>
      </c>
    </row>
    <row r="27" spans="1:20" x14ac:dyDescent="0.25">
      <c r="A27" t="s">
        <v>212</v>
      </c>
      <c r="B27" t="s">
        <v>748</v>
      </c>
      <c r="C27" t="s">
        <v>212</v>
      </c>
      <c r="D27" t="s">
        <v>747</v>
      </c>
      <c r="E27" t="s">
        <v>749</v>
      </c>
      <c r="F27" s="1">
        <v>41761</v>
      </c>
      <c r="G27" t="s">
        <v>709</v>
      </c>
      <c r="H27">
        <v>0</v>
      </c>
      <c r="I27">
        <v>0</v>
      </c>
      <c r="J27">
        <v>1277</v>
      </c>
      <c r="K27">
        <v>0</v>
      </c>
      <c r="L27" t="s">
        <v>635</v>
      </c>
      <c r="M27">
        <v>165</v>
      </c>
      <c r="N27">
        <v>165</v>
      </c>
      <c r="O27" t="s">
        <v>212</v>
      </c>
      <c r="P27">
        <v>1481</v>
      </c>
      <c r="Q27" t="s">
        <v>748</v>
      </c>
      <c r="S27" t="s">
        <v>635</v>
      </c>
      <c r="T27" t="s">
        <v>635</v>
      </c>
    </row>
    <row r="28" spans="1:20" x14ac:dyDescent="0.25">
      <c r="A28" t="s">
        <v>243</v>
      </c>
      <c r="B28" t="s">
        <v>750</v>
      </c>
      <c r="C28" t="s">
        <v>243</v>
      </c>
      <c r="D28" t="s">
        <v>750</v>
      </c>
      <c r="E28" t="s">
        <v>751</v>
      </c>
      <c r="F28" s="1">
        <v>39367</v>
      </c>
      <c r="G28" t="s">
        <v>709</v>
      </c>
      <c r="H28">
        <v>0</v>
      </c>
      <c r="I28">
        <v>0</v>
      </c>
      <c r="J28">
        <v>67</v>
      </c>
      <c r="K28">
        <v>0</v>
      </c>
      <c r="L28" t="s">
        <v>635</v>
      </c>
      <c r="M28">
        <v>301</v>
      </c>
      <c r="N28">
        <v>301</v>
      </c>
      <c r="O28" t="s">
        <v>243</v>
      </c>
      <c r="P28">
        <v>84</v>
      </c>
      <c r="Q28" t="s">
        <v>750</v>
      </c>
      <c r="S28" t="s">
        <v>635</v>
      </c>
      <c r="T28" t="s">
        <v>635</v>
      </c>
    </row>
    <row r="29" spans="1:20" x14ac:dyDescent="0.25">
      <c r="A29" t="s">
        <v>238</v>
      </c>
      <c r="B29" t="s">
        <v>752</v>
      </c>
      <c r="C29" t="s">
        <v>238</v>
      </c>
      <c r="D29" t="s">
        <v>635</v>
      </c>
      <c r="E29" t="s">
        <v>635</v>
      </c>
      <c r="F29" s="1">
        <v>40063</v>
      </c>
      <c r="G29" t="s">
        <v>715</v>
      </c>
      <c r="H29">
        <v>1</v>
      </c>
      <c r="I29">
        <v>0</v>
      </c>
      <c r="K29">
        <v>0</v>
      </c>
      <c r="L29" t="s">
        <v>635</v>
      </c>
      <c r="M29">
        <v>230</v>
      </c>
      <c r="N29">
        <v>230</v>
      </c>
      <c r="O29" t="s">
        <v>238</v>
      </c>
      <c r="Q29" t="s">
        <v>635</v>
      </c>
      <c r="S29" t="s">
        <v>635</v>
      </c>
      <c r="T29" t="s">
        <v>635</v>
      </c>
    </row>
    <row r="30" spans="1:20" x14ac:dyDescent="0.25">
      <c r="A30" t="s">
        <v>97</v>
      </c>
      <c r="B30" t="s">
        <v>753</v>
      </c>
      <c r="C30" t="s">
        <v>97</v>
      </c>
      <c r="D30" t="s">
        <v>1089</v>
      </c>
      <c r="E30" t="s">
        <v>754</v>
      </c>
      <c r="F30" s="1">
        <v>44365</v>
      </c>
      <c r="G30" t="s">
        <v>746</v>
      </c>
      <c r="H30">
        <v>0</v>
      </c>
      <c r="I30">
        <v>0</v>
      </c>
      <c r="J30">
        <v>2809</v>
      </c>
      <c r="K30">
        <v>0</v>
      </c>
      <c r="L30" t="s">
        <v>635</v>
      </c>
      <c r="M30">
        <v>497</v>
      </c>
      <c r="N30">
        <v>303</v>
      </c>
      <c r="O30" t="s">
        <v>97</v>
      </c>
      <c r="P30">
        <v>4219</v>
      </c>
      <c r="Q30" t="s">
        <v>753</v>
      </c>
      <c r="R30">
        <v>4244</v>
      </c>
      <c r="S30" t="s">
        <v>635</v>
      </c>
      <c r="T30" t="s">
        <v>635</v>
      </c>
    </row>
    <row r="31" spans="1:20" x14ac:dyDescent="0.25">
      <c r="A31" t="s">
        <v>88</v>
      </c>
      <c r="B31" t="s">
        <v>755</v>
      </c>
      <c r="C31" t="s">
        <v>88</v>
      </c>
      <c r="D31" t="s">
        <v>721</v>
      </c>
      <c r="E31" t="s">
        <v>756</v>
      </c>
      <c r="F31" s="1">
        <v>44463</v>
      </c>
      <c r="G31" t="s">
        <v>709</v>
      </c>
      <c r="H31">
        <v>0</v>
      </c>
      <c r="I31">
        <v>0</v>
      </c>
      <c r="J31">
        <v>2864</v>
      </c>
      <c r="K31">
        <v>0</v>
      </c>
      <c r="L31" t="s">
        <v>635</v>
      </c>
      <c r="M31">
        <v>471</v>
      </c>
      <c r="N31">
        <v>277</v>
      </c>
      <c r="O31" t="s">
        <v>88</v>
      </c>
      <c r="P31">
        <v>4362</v>
      </c>
      <c r="Q31" t="s">
        <v>755</v>
      </c>
      <c r="R31">
        <v>4363</v>
      </c>
      <c r="S31" t="s">
        <v>635</v>
      </c>
      <c r="T31" t="s">
        <v>635</v>
      </c>
    </row>
    <row r="32" spans="1:20" x14ac:dyDescent="0.25">
      <c r="A32" t="s">
        <v>276</v>
      </c>
      <c r="B32" t="s">
        <v>758</v>
      </c>
      <c r="C32" t="s">
        <v>759</v>
      </c>
      <c r="D32" t="s">
        <v>757</v>
      </c>
      <c r="E32" t="s">
        <v>635</v>
      </c>
      <c r="F32" s="1">
        <v>36437</v>
      </c>
      <c r="G32" t="s">
        <v>709</v>
      </c>
      <c r="H32">
        <v>0</v>
      </c>
      <c r="I32">
        <v>0</v>
      </c>
      <c r="J32">
        <v>73</v>
      </c>
      <c r="K32">
        <v>0</v>
      </c>
      <c r="L32" t="s">
        <v>635</v>
      </c>
      <c r="M32">
        <v>350</v>
      </c>
      <c r="N32">
        <v>350</v>
      </c>
      <c r="O32" t="s">
        <v>276</v>
      </c>
      <c r="P32">
        <v>31</v>
      </c>
      <c r="Q32" t="s">
        <v>758</v>
      </c>
      <c r="S32" t="s">
        <v>635</v>
      </c>
      <c r="T32" t="s">
        <v>635</v>
      </c>
    </row>
    <row r="33" spans="1:20" x14ac:dyDescent="0.25">
      <c r="A33" t="s">
        <v>198</v>
      </c>
      <c r="B33" t="s">
        <v>760</v>
      </c>
      <c r="C33" t="s">
        <v>198</v>
      </c>
      <c r="D33" t="s">
        <v>729</v>
      </c>
      <c r="E33" t="s">
        <v>761</v>
      </c>
      <c r="F33" s="1">
        <v>42391</v>
      </c>
      <c r="G33" t="s">
        <v>709</v>
      </c>
      <c r="H33">
        <v>0</v>
      </c>
      <c r="I33">
        <v>0</v>
      </c>
      <c r="J33">
        <v>1693</v>
      </c>
      <c r="K33">
        <v>0</v>
      </c>
      <c r="L33" t="s">
        <v>635</v>
      </c>
      <c r="M33">
        <v>187</v>
      </c>
      <c r="N33">
        <v>184</v>
      </c>
      <c r="O33" t="s">
        <v>198</v>
      </c>
      <c r="P33">
        <v>1676</v>
      </c>
      <c r="Q33" t="s">
        <v>760</v>
      </c>
      <c r="S33" t="s">
        <v>635</v>
      </c>
      <c r="T33" t="s">
        <v>635</v>
      </c>
    </row>
    <row r="34" spans="1:20" x14ac:dyDescent="0.25">
      <c r="A34" t="s">
        <v>261</v>
      </c>
      <c r="B34" t="s">
        <v>762</v>
      </c>
      <c r="C34" t="s">
        <v>261</v>
      </c>
      <c r="D34" t="s">
        <v>762</v>
      </c>
      <c r="E34" t="s">
        <v>635</v>
      </c>
      <c r="F34" s="1">
        <v>37536</v>
      </c>
      <c r="G34" t="s">
        <v>709</v>
      </c>
      <c r="H34">
        <v>0</v>
      </c>
      <c r="I34">
        <v>0</v>
      </c>
      <c r="J34">
        <v>81</v>
      </c>
      <c r="K34">
        <v>0</v>
      </c>
      <c r="L34" t="s">
        <v>635</v>
      </c>
      <c r="M34">
        <v>351</v>
      </c>
      <c r="N34">
        <v>350</v>
      </c>
      <c r="O34" t="s">
        <v>261</v>
      </c>
      <c r="P34">
        <v>41</v>
      </c>
      <c r="Q34" t="s">
        <v>762</v>
      </c>
      <c r="S34" t="s">
        <v>635</v>
      </c>
      <c r="T34" t="s">
        <v>635</v>
      </c>
    </row>
    <row r="35" spans="1:20" x14ac:dyDescent="0.25">
      <c r="A35" t="s">
        <v>221</v>
      </c>
      <c r="B35" t="s">
        <v>765</v>
      </c>
      <c r="C35" t="s">
        <v>635</v>
      </c>
      <c r="D35" t="s">
        <v>763</v>
      </c>
      <c r="E35" t="s">
        <v>635</v>
      </c>
      <c r="F35" s="1">
        <v>41027</v>
      </c>
      <c r="G35" t="s">
        <v>766</v>
      </c>
      <c r="H35">
        <v>0</v>
      </c>
      <c r="I35">
        <v>0</v>
      </c>
      <c r="J35">
        <v>362</v>
      </c>
      <c r="K35">
        <v>0</v>
      </c>
      <c r="L35" t="s">
        <v>764</v>
      </c>
      <c r="M35">
        <v>6</v>
      </c>
      <c r="N35">
        <v>6</v>
      </c>
      <c r="O35" t="s">
        <v>764</v>
      </c>
      <c r="Q35" t="s">
        <v>635</v>
      </c>
      <c r="S35" t="s">
        <v>635</v>
      </c>
      <c r="T35" t="s">
        <v>635</v>
      </c>
    </row>
    <row r="36" spans="1:20" x14ac:dyDescent="0.25">
      <c r="A36" t="s">
        <v>4</v>
      </c>
      <c r="B36" t="s">
        <v>767</v>
      </c>
      <c r="C36" t="s">
        <v>635</v>
      </c>
      <c r="D36" t="s">
        <v>635</v>
      </c>
      <c r="E36" t="s">
        <v>635</v>
      </c>
      <c r="F36" s="1">
        <v>45636</v>
      </c>
      <c r="G36" t="s">
        <v>715</v>
      </c>
      <c r="H36">
        <v>1</v>
      </c>
      <c r="I36">
        <v>0</v>
      </c>
      <c r="K36">
        <v>1</v>
      </c>
      <c r="L36" t="s">
        <v>635</v>
      </c>
      <c r="M36">
        <v>425</v>
      </c>
      <c r="N36">
        <v>278</v>
      </c>
      <c r="O36" t="s">
        <v>4</v>
      </c>
      <c r="Q36" t="s">
        <v>635</v>
      </c>
      <c r="S36" t="s">
        <v>635</v>
      </c>
      <c r="T36" t="s">
        <v>635</v>
      </c>
    </row>
    <row r="37" spans="1:20" x14ac:dyDescent="0.25">
      <c r="A37" t="s">
        <v>115</v>
      </c>
      <c r="B37" t="s">
        <v>769</v>
      </c>
      <c r="C37" t="s">
        <v>635</v>
      </c>
      <c r="D37" t="s">
        <v>635</v>
      </c>
      <c r="E37" t="s">
        <v>635</v>
      </c>
      <c r="F37" s="1">
        <v>44232</v>
      </c>
      <c r="G37" t="s">
        <v>766</v>
      </c>
      <c r="H37">
        <v>0</v>
      </c>
      <c r="I37">
        <v>0</v>
      </c>
      <c r="J37">
        <v>2770</v>
      </c>
      <c r="K37">
        <v>0</v>
      </c>
      <c r="L37" t="s">
        <v>768</v>
      </c>
      <c r="M37">
        <v>174</v>
      </c>
      <c r="N37">
        <v>1</v>
      </c>
      <c r="O37" t="s">
        <v>768</v>
      </c>
      <c r="Q37" t="s">
        <v>635</v>
      </c>
      <c r="S37" t="s">
        <v>635</v>
      </c>
      <c r="T37" t="s">
        <v>635</v>
      </c>
    </row>
    <row r="38" spans="1:20" x14ac:dyDescent="0.25">
      <c r="A38" t="s">
        <v>122</v>
      </c>
      <c r="B38" t="s">
        <v>771</v>
      </c>
      <c r="C38" t="s">
        <v>635</v>
      </c>
      <c r="D38" t="s">
        <v>635</v>
      </c>
      <c r="E38" t="s">
        <v>122</v>
      </c>
      <c r="F38" s="1">
        <v>44100</v>
      </c>
      <c r="G38" t="s">
        <v>715</v>
      </c>
      <c r="H38">
        <v>0</v>
      </c>
      <c r="I38">
        <v>0</v>
      </c>
      <c r="J38">
        <v>2715</v>
      </c>
      <c r="K38">
        <v>0</v>
      </c>
      <c r="L38" t="s">
        <v>635</v>
      </c>
      <c r="M38">
        <v>5075</v>
      </c>
      <c r="N38">
        <v>5075</v>
      </c>
      <c r="O38" t="s">
        <v>770</v>
      </c>
      <c r="P38">
        <v>3494</v>
      </c>
      <c r="Q38" t="s">
        <v>771</v>
      </c>
      <c r="S38" t="s">
        <v>635</v>
      </c>
      <c r="T38" t="s">
        <v>635</v>
      </c>
    </row>
    <row r="39" spans="1:20" x14ac:dyDescent="0.25">
      <c r="A39" t="s">
        <v>266</v>
      </c>
      <c r="B39" t="s">
        <v>773</v>
      </c>
      <c r="C39" t="s">
        <v>266</v>
      </c>
      <c r="D39" t="s">
        <v>635</v>
      </c>
      <c r="E39" t="s">
        <v>635</v>
      </c>
      <c r="F39" s="1">
        <v>37431</v>
      </c>
      <c r="G39" t="s">
        <v>766</v>
      </c>
      <c r="H39">
        <v>1</v>
      </c>
      <c r="I39">
        <v>0</v>
      </c>
      <c r="K39">
        <v>0</v>
      </c>
      <c r="L39" t="s">
        <v>635</v>
      </c>
      <c r="M39">
        <v>3225</v>
      </c>
      <c r="N39">
        <v>3110</v>
      </c>
      <c r="O39" t="s">
        <v>772</v>
      </c>
      <c r="Q39" t="s">
        <v>635</v>
      </c>
      <c r="S39" t="s">
        <v>635</v>
      </c>
      <c r="T39" t="s">
        <v>635</v>
      </c>
    </row>
    <row r="40" spans="1:20" x14ac:dyDescent="0.25">
      <c r="A40" t="s">
        <v>250</v>
      </c>
      <c r="B40" t="s">
        <v>775</v>
      </c>
      <c r="C40" t="s">
        <v>250</v>
      </c>
      <c r="D40" t="s">
        <v>774</v>
      </c>
      <c r="E40" t="s">
        <v>635</v>
      </c>
      <c r="F40" s="1">
        <v>38632</v>
      </c>
      <c r="G40" t="s">
        <v>709</v>
      </c>
      <c r="H40">
        <v>0</v>
      </c>
      <c r="I40">
        <v>0</v>
      </c>
      <c r="J40">
        <v>95</v>
      </c>
      <c r="K40">
        <v>0</v>
      </c>
      <c r="L40" t="s">
        <v>635</v>
      </c>
      <c r="M40">
        <v>306</v>
      </c>
      <c r="N40">
        <v>306</v>
      </c>
      <c r="O40" t="s">
        <v>250</v>
      </c>
      <c r="P40">
        <v>55</v>
      </c>
      <c r="Q40" t="s">
        <v>775</v>
      </c>
      <c r="S40" t="s">
        <v>635</v>
      </c>
      <c r="T40" t="s">
        <v>635</v>
      </c>
    </row>
    <row r="41" spans="1:20" x14ac:dyDescent="0.25">
      <c r="A41" t="s">
        <v>215</v>
      </c>
      <c r="B41" t="s">
        <v>776</v>
      </c>
      <c r="C41" t="s">
        <v>215</v>
      </c>
      <c r="D41" t="s">
        <v>776</v>
      </c>
      <c r="E41" t="s">
        <v>777</v>
      </c>
      <c r="F41" s="1">
        <v>41187</v>
      </c>
      <c r="G41" t="s">
        <v>709</v>
      </c>
      <c r="H41">
        <v>0</v>
      </c>
      <c r="I41">
        <v>0</v>
      </c>
      <c r="J41">
        <v>370</v>
      </c>
      <c r="K41">
        <v>0</v>
      </c>
      <c r="L41" t="s">
        <v>635</v>
      </c>
      <c r="M41">
        <v>274</v>
      </c>
      <c r="N41">
        <v>274</v>
      </c>
      <c r="O41" t="s">
        <v>215</v>
      </c>
      <c r="P41">
        <v>1389</v>
      </c>
      <c r="Q41" t="s">
        <v>776</v>
      </c>
      <c r="S41" t="s">
        <v>635</v>
      </c>
      <c r="T41" t="s">
        <v>635</v>
      </c>
    </row>
    <row r="42" spans="1:20" x14ac:dyDescent="0.25">
      <c r="A42" t="s">
        <v>68</v>
      </c>
      <c r="B42" t="s">
        <v>778</v>
      </c>
      <c r="C42" t="s">
        <v>635</v>
      </c>
      <c r="D42" t="s">
        <v>635</v>
      </c>
      <c r="E42" t="s">
        <v>635</v>
      </c>
      <c r="F42" s="1">
        <v>45247</v>
      </c>
      <c r="G42" t="s">
        <v>779</v>
      </c>
      <c r="H42">
        <v>0</v>
      </c>
      <c r="I42">
        <v>0</v>
      </c>
      <c r="J42">
        <v>23318</v>
      </c>
      <c r="K42">
        <v>0</v>
      </c>
      <c r="L42" t="s">
        <v>635</v>
      </c>
      <c r="M42">
        <v>155</v>
      </c>
      <c r="N42">
        <v>0</v>
      </c>
      <c r="O42" t="s">
        <v>68</v>
      </c>
      <c r="P42">
        <v>5523</v>
      </c>
      <c r="Q42" t="s">
        <v>778</v>
      </c>
      <c r="S42" t="s">
        <v>635</v>
      </c>
      <c r="T42" t="s">
        <v>635</v>
      </c>
    </row>
    <row r="43" spans="1:20" x14ac:dyDescent="0.25">
      <c r="A43" t="s">
        <v>156</v>
      </c>
      <c r="B43" t="s">
        <v>780</v>
      </c>
      <c r="C43" t="s">
        <v>156</v>
      </c>
      <c r="D43" t="s">
        <v>635</v>
      </c>
      <c r="E43" t="s">
        <v>781</v>
      </c>
      <c r="F43" s="1">
        <v>43854</v>
      </c>
      <c r="G43" t="s">
        <v>709</v>
      </c>
      <c r="H43">
        <v>0</v>
      </c>
      <c r="I43">
        <v>0</v>
      </c>
      <c r="J43">
        <v>2568</v>
      </c>
      <c r="K43">
        <v>0</v>
      </c>
      <c r="L43" t="s">
        <v>635</v>
      </c>
      <c r="M43">
        <v>358</v>
      </c>
      <c r="N43">
        <v>254</v>
      </c>
      <c r="O43" t="s">
        <v>156</v>
      </c>
      <c r="P43">
        <v>2814</v>
      </c>
      <c r="Q43" t="s">
        <v>780</v>
      </c>
      <c r="R43">
        <v>2961</v>
      </c>
      <c r="S43" t="s">
        <v>635</v>
      </c>
      <c r="T43" t="s">
        <v>635</v>
      </c>
    </row>
    <row r="44" spans="1:20" x14ac:dyDescent="0.25">
      <c r="A44" t="s">
        <v>151</v>
      </c>
      <c r="B44" t="s">
        <v>782</v>
      </c>
      <c r="C44" t="s">
        <v>635</v>
      </c>
      <c r="D44" t="s">
        <v>635</v>
      </c>
      <c r="E44" t="s">
        <v>783</v>
      </c>
      <c r="F44" s="1">
        <v>43890</v>
      </c>
      <c r="G44" t="s">
        <v>784</v>
      </c>
      <c r="H44">
        <v>0</v>
      </c>
      <c r="I44">
        <v>0</v>
      </c>
      <c r="J44">
        <v>2598</v>
      </c>
      <c r="K44">
        <v>0</v>
      </c>
      <c r="L44" t="s">
        <v>635</v>
      </c>
      <c r="M44">
        <v>100</v>
      </c>
      <c r="N44">
        <v>96</v>
      </c>
      <c r="O44" t="s">
        <v>151</v>
      </c>
      <c r="P44">
        <v>2809</v>
      </c>
      <c r="Q44" t="s">
        <v>782</v>
      </c>
      <c r="S44" t="s">
        <v>635</v>
      </c>
      <c r="T44" t="s">
        <v>635</v>
      </c>
    </row>
    <row r="45" spans="1:20" x14ac:dyDescent="0.25">
      <c r="A45" t="s">
        <v>287</v>
      </c>
      <c r="B45" t="s">
        <v>786</v>
      </c>
      <c r="C45" t="s">
        <v>787</v>
      </c>
      <c r="D45" t="s">
        <v>785</v>
      </c>
      <c r="E45" t="s">
        <v>635</v>
      </c>
      <c r="F45" s="1">
        <v>36080</v>
      </c>
      <c r="G45" t="s">
        <v>709</v>
      </c>
      <c r="H45">
        <v>0</v>
      </c>
      <c r="I45">
        <v>0</v>
      </c>
      <c r="J45">
        <v>118</v>
      </c>
      <c r="K45">
        <v>0</v>
      </c>
      <c r="L45" t="s">
        <v>635</v>
      </c>
      <c r="M45">
        <v>357</v>
      </c>
      <c r="N45">
        <v>350</v>
      </c>
      <c r="O45" t="s">
        <v>287</v>
      </c>
      <c r="P45">
        <v>26</v>
      </c>
      <c r="Q45" t="s">
        <v>786</v>
      </c>
      <c r="S45" t="s">
        <v>635</v>
      </c>
      <c r="T45" t="s">
        <v>635</v>
      </c>
    </row>
    <row r="46" spans="1:20" x14ac:dyDescent="0.25">
      <c r="A46" t="s">
        <v>72</v>
      </c>
      <c r="B46" t="s">
        <v>788</v>
      </c>
      <c r="C46" t="s">
        <v>635</v>
      </c>
      <c r="D46" t="s">
        <v>731</v>
      </c>
      <c r="E46" t="s">
        <v>789</v>
      </c>
      <c r="F46" s="1">
        <v>45212</v>
      </c>
      <c r="G46" t="s">
        <v>732</v>
      </c>
      <c r="H46">
        <v>0</v>
      </c>
      <c r="I46">
        <v>0</v>
      </c>
      <c r="J46">
        <v>23165</v>
      </c>
      <c r="K46">
        <v>0</v>
      </c>
      <c r="L46" t="s">
        <v>635</v>
      </c>
      <c r="M46">
        <v>1186</v>
      </c>
      <c r="N46">
        <v>331</v>
      </c>
      <c r="O46" t="s">
        <v>72</v>
      </c>
      <c r="P46">
        <v>5424</v>
      </c>
      <c r="Q46" t="s">
        <v>1090</v>
      </c>
      <c r="S46" t="s">
        <v>635</v>
      </c>
      <c r="T46" t="s">
        <v>635</v>
      </c>
    </row>
    <row r="47" spans="1:20" x14ac:dyDescent="0.25">
      <c r="A47" t="s">
        <v>231</v>
      </c>
      <c r="B47" t="s">
        <v>790</v>
      </c>
      <c r="C47" t="s">
        <v>231</v>
      </c>
      <c r="D47" t="s">
        <v>790</v>
      </c>
      <c r="E47" t="s">
        <v>791</v>
      </c>
      <c r="F47" s="1">
        <v>40088</v>
      </c>
      <c r="G47" t="s">
        <v>709</v>
      </c>
      <c r="H47">
        <v>0</v>
      </c>
      <c r="I47">
        <v>0</v>
      </c>
      <c r="J47">
        <v>124</v>
      </c>
      <c r="K47">
        <v>0</v>
      </c>
      <c r="L47" t="s">
        <v>635</v>
      </c>
      <c r="M47">
        <v>269</v>
      </c>
      <c r="N47">
        <v>249</v>
      </c>
      <c r="O47" t="s">
        <v>231</v>
      </c>
      <c r="P47">
        <v>114</v>
      </c>
      <c r="Q47" t="s">
        <v>790</v>
      </c>
      <c r="S47" t="s">
        <v>635</v>
      </c>
      <c r="T47" t="s">
        <v>635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E571-1504-4986-8E2F-A3A165C020B3}">
  <dimension ref="A1:G23"/>
  <sheetViews>
    <sheetView workbookViewId="0">
      <selection activeCell="B2" sqref="B2"/>
    </sheetView>
  </sheetViews>
  <sheetFormatPr defaultRowHeight="15" x14ac:dyDescent="0.25"/>
  <cols>
    <col min="1" max="1" width="38.140625" bestFit="1" customWidth="1"/>
    <col min="2" max="2" width="24.5703125" bestFit="1" customWidth="1"/>
    <col min="3" max="3" width="13.5703125" bestFit="1" customWidth="1"/>
    <col min="4" max="4" width="15" bestFit="1" customWidth="1"/>
    <col min="5" max="5" width="11.140625" bestFit="1" customWidth="1"/>
    <col min="6" max="6" width="10.5703125" bestFit="1" customWidth="1"/>
    <col min="7" max="7" width="7.85546875" bestFit="1" customWidth="1"/>
  </cols>
  <sheetData>
    <row r="1" spans="1:7" x14ac:dyDescent="0.25">
      <c r="A1" t="s">
        <v>325</v>
      </c>
      <c r="B1" t="s">
        <v>324</v>
      </c>
      <c r="C1" t="s">
        <v>310</v>
      </c>
      <c r="D1" t="s">
        <v>311</v>
      </c>
      <c r="E1" t="s">
        <v>312</v>
      </c>
      <c r="F1" t="s">
        <v>313</v>
      </c>
      <c r="G1" t="s">
        <v>314</v>
      </c>
    </row>
    <row r="2" spans="1:7" x14ac:dyDescent="0.25">
      <c r="A2" t="str">
        <f>myCollection[[#This Row],[uuid]]</f>
        <v>0add0930-720f-5bf5-bcf5-ee208eeb9040</v>
      </c>
      <c r="B2" t="e">
        <f>_xlfn.IFNA(INDEX(cards_old[],MATCH(MyCollectionViz[[#This Row],[uuid]],cards_old[uuid],0),52),INDEX(tokens[],MATCH(MyCollectionViz[[#This Row],[uuid]],tokens[uuid],0),30))</f>
        <v>#N/A</v>
      </c>
      <c r="C2">
        <f>INDEX(myCollection[],MATCH(MyCollectionViz[[#This Row],[uuid]],myCollection[uuid],0),3)</f>
        <v>1</v>
      </c>
      <c r="D2">
        <f>INDEX(myCollection[],MATCH(MyCollectionViz[[#This Row],[uuid]],myCollection[uuid],0),4)</f>
        <v>0</v>
      </c>
      <c r="E2" t="str">
        <f>INDEX(myCollection[],MATCH(MyCollectionViz[[#This Row],[uuid]],myCollection[uuid],0),5)</f>
        <v>Near Mint</v>
      </c>
      <c r="F2" t="str">
        <f>INDEX(myCollection[],MATCH(MyCollectionViz[[#This Row],[uuid]],myCollection[uuid],0),6)</f>
        <v>English</v>
      </c>
      <c r="G2" t="str">
        <f>INDEX(myCollection[],MATCH(MyCollectionViz[[#This Row],[uuid]],myCollection[uuid],0),7)</f>
        <v>etched</v>
      </c>
    </row>
    <row r="3" spans="1:7" x14ac:dyDescent="0.25">
      <c r="A3" t="str">
        <f>myCollection[[#This Row],[uuid]]</f>
        <v>154a09f3-65e3-5821-bc02-bd972b3be676</v>
      </c>
      <c r="B3" t="e">
        <f>_xlfn.IFNA(INDEX(cards_old[],MATCH(MyCollectionViz[[#This Row],[uuid]],cards_old[uuid],0),52),INDEX(tokens[],MATCH(MyCollectionViz[[#This Row],[uuid]],tokens[uuid],0),30))</f>
        <v>#N/A</v>
      </c>
      <c r="C3">
        <v>1</v>
      </c>
      <c r="D3">
        <f>INDEX(myCollection[],MATCH(MyCollectionViz[[#This Row],[uuid]],myCollection[uuid],0),4)</f>
        <v>0</v>
      </c>
      <c r="E3" t="str">
        <f>INDEX(myCollection[],MATCH(MyCollectionViz[[#This Row],[uuid]],myCollection[uuid],0),5)</f>
        <v>Near Mint</v>
      </c>
      <c r="F3" t="str">
        <f>INDEX(myCollection[],MATCH(MyCollectionViz[[#This Row],[uuid]],myCollection[uuid],0),6)</f>
        <v>English</v>
      </c>
      <c r="G3" t="str">
        <f>INDEX(myCollection[],MATCH(MyCollectionViz[[#This Row],[uuid]],myCollection[uuid],0),7)</f>
        <v>nonfoil</v>
      </c>
    </row>
    <row r="4" spans="1:7" x14ac:dyDescent="0.25">
      <c r="A4" t="str">
        <f>myCollection[[#This Row],[uuid]]</f>
        <v>16f1c97a-b896-59d0-80ab-6f00a6ea1d28</v>
      </c>
      <c r="B4" t="e">
        <f>_xlfn.IFNA(INDEX(cards_old[],MATCH(MyCollectionViz[[#This Row],[uuid]],cards_old[uuid],0),52),INDEX(tokens[],MATCH(MyCollectionViz[[#This Row],[uuid]],tokens[uuid],0),30))</f>
        <v>#N/A</v>
      </c>
      <c r="C4">
        <v>1</v>
      </c>
      <c r="D4">
        <f>INDEX(myCollection[],MATCH(MyCollectionViz[[#This Row],[uuid]],myCollection[uuid],0),4)</f>
        <v>0</v>
      </c>
      <c r="E4" t="str">
        <f>INDEX(myCollection[],MATCH(MyCollectionViz[[#This Row],[uuid]],myCollection[uuid],0),5)</f>
        <v>Near Mint</v>
      </c>
      <c r="F4" t="str">
        <f>INDEX(myCollection[],MATCH(MyCollectionViz[[#This Row],[uuid]],myCollection[uuid],0),6)</f>
        <v>English</v>
      </c>
      <c r="G4" t="str">
        <f>INDEX(myCollection[],MATCH(MyCollectionViz[[#This Row],[uuid]],myCollection[uuid],0),7)</f>
        <v>nonfoil</v>
      </c>
    </row>
    <row r="5" spans="1:7" x14ac:dyDescent="0.25">
      <c r="A5" t="str">
        <f>myCollection[[#This Row],[uuid]]</f>
        <v>1fb6b965-6d0e-536c-8593-63140f3c6e9f</v>
      </c>
      <c r="B5" t="e">
        <f>_xlfn.IFNA(INDEX(cards_old[],MATCH(MyCollectionViz[[#This Row],[uuid]],cards_old[uuid],0),52),INDEX(tokens[],MATCH(MyCollectionViz[[#This Row],[uuid]],tokens[uuid],0),30))</f>
        <v>#N/A</v>
      </c>
      <c r="C5">
        <v>2</v>
      </c>
      <c r="D5">
        <f>INDEX(myCollection[],MATCH(MyCollectionViz[[#This Row],[uuid]],myCollection[uuid],0),4)</f>
        <v>0</v>
      </c>
      <c r="E5" t="str">
        <f>INDEX(myCollection[],MATCH(MyCollectionViz[[#This Row],[uuid]],myCollection[uuid],0),5)</f>
        <v>Near Mint</v>
      </c>
      <c r="F5" t="str">
        <f>INDEX(myCollection[],MATCH(MyCollectionViz[[#This Row],[uuid]],myCollection[uuid],0),6)</f>
        <v>English</v>
      </c>
      <c r="G5" t="str">
        <f>INDEX(myCollection[],MATCH(MyCollectionViz[[#This Row],[uuid]],myCollection[uuid],0),7)</f>
        <v>nonfoil</v>
      </c>
    </row>
    <row r="6" spans="1:7" x14ac:dyDescent="0.25">
      <c r="A6" t="str">
        <f>myCollection[[#This Row],[uuid]]</f>
        <v>28a21701-487e-5d54-9bb2-22f862734499</v>
      </c>
      <c r="B6" t="e">
        <f>_xlfn.IFNA(INDEX(cards_old[],MATCH(MyCollectionViz[[#This Row],[uuid]],cards_old[uuid],0),52),INDEX(tokens[],MATCH(MyCollectionViz[[#This Row],[uuid]],tokens[uuid],0),30))</f>
        <v>#N/A</v>
      </c>
      <c r="C6">
        <v>1</v>
      </c>
      <c r="D6">
        <f>INDEX(myCollection[],MATCH(MyCollectionViz[[#This Row],[uuid]],myCollection[uuid],0),4)</f>
        <v>0</v>
      </c>
      <c r="E6" t="str">
        <f>INDEX(myCollection[],MATCH(MyCollectionViz[[#This Row],[uuid]],myCollection[uuid],0),5)</f>
        <v>Good</v>
      </c>
      <c r="F6" t="str">
        <f>INDEX(myCollection[],MATCH(MyCollectionViz[[#This Row],[uuid]],myCollection[uuid],0),6)</f>
        <v>English</v>
      </c>
      <c r="G6" t="str">
        <f>INDEX(myCollection[],MATCH(MyCollectionViz[[#This Row],[uuid]],myCollection[uuid],0),7)</f>
        <v>nonfoil</v>
      </c>
    </row>
    <row r="7" spans="1:7" x14ac:dyDescent="0.25">
      <c r="A7" t="str">
        <f>myCollection[[#This Row],[uuid]]</f>
        <v>358c5647-9f47-5f5d-9497-36336d8c7bb9</v>
      </c>
      <c r="B7" t="str">
        <f>_xlfn.IFNA(INDEX(cards_old[],MATCH(MyCollectionViz[[#This Row],[uuid]],cards_old[uuid],0),52),INDEX(tokens[],MATCH(MyCollectionViz[[#This Row],[uuid]],tokens[uuid],0),30))</f>
        <v>Plummet</v>
      </c>
      <c r="C7">
        <v>1</v>
      </c>
      <c r="D7">
        <f>INDEX(myCollection[],MATCH(MyCollectionViz[[#This Row],[uuid]],myCollection[uuid],0),4)</f>
        <v>0</v>
      </c>
      <c r="E7" t="str">
        <f>INDEX(myCollection[],MATCH(MyCollectionViz[[#This Row],[uuid]],myCollection[uuid],0),5)</f>
        <v>Near Mint</v>
      </c>
      <c r="F7" t="str">
        <f>INDEX(myCollection[],MATCH(MyCollectionViz[[#This Row],[uuid]],myCollection[uuid],0),6)</f>
        <v>English</v>
      </c>
      <c r="G7" t="str">
        <f>INDEX(myCollection[],MATCH(MyCollectionViz[[#This Row],[uuid]],myCollection[uuid],0),7)</f>
        <v>nonfoil</v>
      </c>
    </row>
    <row r="8" spans="1:7" x14ac:dyDescent="0.25">
      <c r="A8" t="str">
        <f>myCollection[[#This Row],[uuid]]</f>
        <v>413e11a5-35a1-51c7-928b-219b4453a094</v>
      </c>
      <c r="B8" t="e">
        <f>_xlfn.IFNA(INDEX(cards_old[],MATCH(MyCollectionViz[[#This Row],[uuid]],cards_old[uuid],0),52),INDEX(tokens[],MATCH(MyCollectionViz[[#This Row],[uuid]],tokens[uuid],0),30))</f>
        <v>#N/A</v>
      </c>
      <c r="C8">
        <v>1</v>
      </c>
      <c r="D8">
        <f>INDEX(myCollection[],MATCH(MyCollectionViz[[#This Row],[uuid]],myCollection[uuid],0),4)</f>
        <v>0</v>
      </c>
      <c r="E8" t="str">
        <f>INDEX(myCollection[],MATCH(MyCollectionViz[[#This Row],[uuid]],myCollection[uuid],0),5)</f>
        <v>Near Mint</v>
      </c>
      <c r="F8" t="str">
        <f>INDEX(myCollection[],MATCH(MyCollectionViz[[#This Row],[uuid]],myCollection[uuid],0),6)</f>
        <v>English</v>
      </c>
      <c r="G8" t="str">
        <f>INDEX(myCollection[],MATCH(MyCollectionViz[[#This Row],[uuid]],myCollection[uuid],0),7)</f>
        <v>nonfoil</v>
      </c>
    </row>
    <row r="9" spans="1:7" x14ac:dyDescent="0.25">
      <c r="A9" t="str">
        <f>myCollection[[#This Row],[uuid]]</f>
        <v>5ce32715-8dee-5c47-986a-88d00e87c506</v>
      </c>
      <c r="B9" t="e">
        <f>_xlfn.IFNA(INDEX(cards_old[],MATCH(MyCollectionViz[[#This Row],[uuid]],cards_old[uuid],0),52),INDEX(tokens[],MATCH(MyCollectionViz[[#This Row],[uuid]],tokens[uuid],0),30))</f>
        <v>#N/A</v>
      </c>
      <c r="C9">
        <v>1</v>
      </c>
      <c r="D9">
        <f>INDEX(myCollection[],MATCH(MyCollectionViz[[#This Row],[uuid]],myCollection[uuid],0),4)</f>
        <v>0</v>
      </c>
      <c r="E9" t="str">
        <f>INDEX(myCollection[],MATCH(MyCollectionViz[[#This Row],[uuid]],myCollection[uuid],0),5)</f>
        <v>Near Mint</v>
      </c>
      <c r="F9" t="str">
        <f>INDEX(myCollection[],MATCH(MyCollectionViz[[#This Row],[uuid]],myCollection[uuid],0),6)</f>
        <v>English</v>
      </c>
      <c r="G9" t="str">
        <f>INDEX(myCollection[],MATCH(MyCollectionViz[[#This Row],[uuid]],myCollection[uuid],0),7)</f>
        <v>foil</v>
      </c>
    </row>
    <row r="10" spans="1:7" x14ac:dyDescent="0.25">
      <c r="A10" t="str">
        <f>myCollection[[#This Row],[uuid]]</f>
        <v>5e6a3099-2597-5755-8a6f-67f1569a3b8a</v>
      </c>
      <c r="B10" t="str">
        <f>_xlfn.IFNA(INDEX(cards_old[],MATCH(MyCollectionViz[[#This Row],[uuid]],cards_old[uuid],0),52),INDEX(tokens[],MATCH(MyCollectionViz[[#This Row],[uuid]],tokens[uuid],0),30))</f>
        <v>Leave No Trace</v>
      </c>
      <c r="C10">
        <v>4</v>
      </c>
      <c r="D10">
        <f>INDEX(myCollection[],MATCH(MyCollectionViz[[#This Row],[uuid]],myCollection[uuid],0),4)</f>
        <v>1</v>
      </c>
      <c r="E10" t="str">
        <f>INDEX(myCollection[],MATCH(MyCollectionViz[[#This Row],[uuid]],myCollection[uuid],0),5)</f>
        <v>Good</v>
      </c>
      <c r="F10" t="str">
        <f>INDEX(myCollection[],MATCH(MyCollectionViz[[#This Row],[uuid]],myCollection[uuid],0),6)</f>
        <v>German</v>
      </c>
      <c r="G10" t="str">
        <f>INDEX(myCollection[],MATCH(MyCollectionViz[[#This Row],[uuid]],myCollection[uuid],0),7)</f>
        <v>nonfoil</v>
      </c>
    </row>
    <row r="11" spans="1:7" x14ac:dyDescent="0.25">
      <c r="A11" t="str">
        <f>myCollection[[#This Row],[uuid]]</f>
        <v>66dae17d-a742-51b4-ba09-0b37d7c64265</v>
      </c>
      <c r="B11" t="str">
        <f>_xlfn.IFNA(INDEX(cards_old[],MATCH(MyCollectionViz[[#This Row],[uuid]],cards_old[uuid],0),52),INDEX(tokens[],MATCH(MyCollectionViz[[#This Row],[uuid]],tokens[uuid],0),30))</f>
        <v>Vexing Arcanix</v>
      </c>
      <c r="C11">
        <v>1</v>
      </c>
      <c r="D11">
        <f>INDEX(myCollection[],MATCH(MyCollectionViz[[#This Row],[uuid]],myCollection[uuid],0),4)</f>
        <v>0</v>
      </c>
      <c r="E11" t="str">
        <f>INDEX(myCollection[],MATCH(MyCollectionViz[[#This Row],[uuid]],myCollection[uuid],0),5)</f>
        <v>Near Mint</v>
      </c>
      <c r="F11" t="str">
        <f>INDEX(myCollection[],MATCH(MyCollectionViz[[#This Row],[uuid]],myCollection[uuid],0),6)</f>
        <v>English</v>
      </c>
      <c r="G11" t="str">
        <f>INDEX(myCollection[],MATCH(MyCollectionViz[[#This Row],[uuid]],myCollection[uuid],0),7)</f>
        <v>nonfoil</v>
      </c>
    </row>
    <row r="12" spans="1:7" x14ac:dyDescent="0.25">
      <c r="A12" t="str">
        <f>myCollection[[#This Row],[uuid]]</f>
        <v>7be5b8a9-0d68-5125-b729-ff1063dd3ed0</v>
      </c>
      <c r="B12" t="str">
        <f>_xlfn.IFNA(INDEX(cards_old[],MATCH(MyCollectionViz[[#This Row],[uuid]],cards_old[uuid],0),52),INDEX(tokens[],MATCH(MyCollectionViz[[#This Row],[uuid]],tokens[uuid],0),30))</f>
        <v>Resurrection</v>
      </c>
      <c r="C12">
        <v>2</v>
      </c>
      <c r="D12">
        <f>INDEX(myCollection[],MATCH(MyCollectionViz[[#This Row],[uuid]],myCollection[uuid],0),4)</f>
        <v>0</v>
      </c>
      <c r="E12" t="str">
        <f>INDEX(myCollection[],MATCH(MyCollectionViz[[#This Row],[uuid]],myCollection[uuid],0),5)</f>
        <v>Near Mint</v>
      </c>
      <c r="F12" t="str">
        <f>INDEX(myCollection[],MATCH(MyCollectionViz[[#This Row],[uuid]],myCollection[uuid],0),6)</f>
        <v>English</v>
      </c>
      <c r="G12" t="str">
        <f>INDEX(myCollection[],MATCH(MyCollectionViz[[#This Row],[uuid]],myCollection[uuid],0),7)</f>
        <v>nonfoil</v>
      </c>
    </row>
    <row r="13" spans="1:7" x14ac:dyDescent="0.25">
      <c r="A13" t="str">
        <f>myCollection[[#This Row],[uuid]]</f>
        <v>8d6b22fe-8583-5908-b964-05e3174e3154</v>
      </c>
      <c r="B13" t="e">
        <f>_xlfn.IFNA(INDEX(cards_old[],MATCH(MyCollectionViz[[#This Row],[uuid]],cards_old[uuid],0),52),INDEX(tokens[],MATCH(MyCollectionViz[[#This Row],[uuid]],tokens[uuid],0),30))</f>
        <v>#N/A</v>
      </c>
      <c r="C13">
        <v>7</v>
      </c>
      <c r="D13">
        <f>INDEX(myCollection[],MATCH(MyCollectionViz[[#This Row],[uuid]],myCollection[uuid],0),4)</f>
        <v>3</v>
      </c>
      <c r="E13" t="str">
        <f>INDEX(myCollection[],MATCH(MyCollectionViz[[#This Row],[uuid]],myCollection[uuid],0),5)</f>
        <v>Near Mint</v>
      </c>
      <c r="F13" t="str">
        <f>INDEX(myCollection[],MATCH(MyCollectionViz[[#This Row],[uuid]],myCollection[uuid],0),6)</f>
        <v>English</v>
      </c>
      <c r="G13" t="str">
        <f>INDEX(myCollection[],MATCH(MyCollectionViz[[#This Row],[uuid]],myCollection[uuid],0),7)</f>
        <v>nonfoil</v>
      </c>
    </row>
    <row r="14" spans="1:7" x14ac:dyDescent="0.25">
      <c r="A14" t="str">
        <f>myCollection[[#This Row],[uuid]]</f>
        <v>91556c5f-b11e-573d-a3bb-627dfa6c2926</v>
      </c>
      <c r="B14" t="e">
        <f>_xlfn.IFNA(INDEX(cards_old[],MATCH(MyCollectionViz[[#This Row],[uuid]],cards_old[uuid],0),52),INDEX(tokens[],MATCH(MyCollectionViz[[#This Row],[uuid]],tokens[uuid],0),30))</f>
        <v>#N/A</v>
      </c>
      <c r="C14">
        <v>2</v>
      </c>
      <c r="D14">
        <f>INDEX(myCollection[],MATCH(MyCollectionViz[[#This Row],[uuid]],myCollection[uuid],0),4)</f>
        <v>0</v>
      </c>
      <c r="E14" t="str">
        <f>INDEX(myCollection[],MATCH(MyCollectionViz[[#This Row],[uuid]],myCollection[uuid],0),5)</f>
        <v>Near Mint</v>
      </c>
      <c r="F14" t="str">
        <f>INDEX(myCollection[],MATCH(MyCollectionViz[[#This Row],[uuid]],myCollection[uuid],0),6)</f>
        <v>English</v>
      </c>
      <c r="G14" t="str">
        <f>INDEX(myCollection[],MATCH(MyCollectionViz[[#This Row],[uuid]],myCollection[uuid],0),7)</f>
        <v>nonfoil</v>
      </c>
    </row>
    <row r="15" spans="1:7" x14ac:dyDescent="0.25">
      <c r="A15" t="str">
        <f>myCollection[[#This Row],[uuid]]</f>
        <v>9c015664-e6e8-53a4-ad48-276138b18098</v>
      </c>
      <c r="B15" t="str">
        <f>_xlfn.IFNA(INDEX(cards_old[],MATCH(MyCollectionViz[[#This Row],[uuid]],cards_old[uuid],0),52),INDEX(tokens[],MATCH(MyCollectionViz[[#This Row],[uuid]],tokens[uuid],0),30))</f>
        <v>Syphon Soul</v>
      </c>
      <c r="C15">
        <v>3</v>
      </c>
      <c r="D15">
        <f>INDEX(myCollection[],MATCH(MyCollectionViz[[#This Row],[uuid]],myCollection[uuid],0),4)</f>
        <v>0</v>
      </c>
      <c r="E15" t="str">
        <f>INDEX(myCollection[],MATCH(MyCollectionViz[[#This Row],[uuid]],myCollection[uuid],0),5)</f>
        <v>Near Mint</v>
      </c>
      <c r="F15" t="str">
        <f>INDEX(myCollection[],MATCH(MyCollectionViz[[#This Row],[uuid]],myCollection[uuid],0),6)</f>
        <v>English</v>
      </c>
      <c r="G15" t="str">
        <f>INDEX(myCollection[],MATCH(MyCollectionViz[[#This Row],[uuid]],myCollection[uuid],0),7)</f>
        <v>nonfoil</v>
      </c>
    </row>
    <row r="16" spans="1:7" x14ac:dyDescent="0.25">
      <c r="A16" t="str">
        <f>myCollection[[#This Row],[uuid]]</f>
        <v>aa480225-6f03-5f0f-85af-41af75e515aa</v>
      </c>
      <c r="B16" t="e">
        <f>_xlfn.IFNA(INDEX(cards_old[],MATCH(MyCollectionViz[[#This Row],[uuid]],cards_old[uuid],0),52),INDEX(tokens[],MATCH(MyCollectionViz[[#This Row],[uuid]],tokens[uuid],0),30))</f>
        <v>#N/A</v>
      </c>
      <c r="C16">
        <v>2</v>
      </c>
      <c r="D16">
        <f>INDEX(myCollection[],MATCH(MyCollectionViz[[#This Row],[uuid]],myCollection[uuid],0),4)</f>
        <v>0</v>
      </c>
      <c r="E16" t="str">
        <f>INDEX(myCollection[],MATCH(MyCollectionViz[[#This Row],[uuid]],myCollection[uuid],0),5)</f>
        <v>Near Mint</v>
      </c>
      <c r="F16" t="str">
        <f>INDEX(myCollection[],MATCH(MyCollectionViz[[#This Row],[uuid]],myCollection[uuid],0),6)</f>
        <v>French</v>
      </c>
      <c r="G16" t="str">
        <f>INDEX(myCollection[],MATCH(MyCollectionViz[[#This Row],[uuid]],myCollection[uuid],0),7)</f>
        <v>nonfoil</v>
      </c>
    </row>
    <row r="17" spans="1:7" x14ac:dyDescent="0.25">
      <c r="A17" t="str">
        <f>myCollection[[#This Row],[uuid]]</f>
        <v>bafac74c-f4f8-5c71-8a6b-0bd02c536c47</v>
      </c>
      <c r="B17" t="str">
        <f>_xlfn.IFNA(INDEX(cards_old[],MATCH(MyCollectionViz[[#This Row],[uuid]],cards_old[uuid],0),52),INDEX(tokens[],MATCH(MyCollectionViz[[#This Row],[uuid]],tokens[uuid],0),30))</f>
        <v>Prismatic Ending</v>
      </c>
      <c r="C17">
        <v>1</v>
      </c>
      <c r="D17">
        <f>INDEX(myCollection[],MATCH(MyCollectionViz[[#This Row],[uuid]],myCollection[uuid],0),4)</f>
        <v>1</v>
      </c>
      <c r="E17" t="str">
        <f>INDEX(myCollection[],MATCH(MyCollectionViz[[#This Row],[uuid]],myCollection[uuid],0),5)</f>
        <v>Near Mint</v>
      </c>
      <c r="F17" t="str">
        <f>INDEX(myCollection[],MATCH(MyCollectionViz[[#This Row],[uuid]],myCollection[uuid],0),6)</f>
        <v>French</v>
      </c>
      <c r="G17" t="str">
        <f>INDEX(myCollection[],MATCH(MyCollectionViz[[#This Row],[uuid]],myCollection[uuid],0),7)</f>
        <v>nonfoil</v>
      </c>
    </row>
    <row r="18" spans="1:7" x14ac:dyDescent="0.25">
      <c r="A18" t="str">
        <f>myCollection[[#This Row],[uuid]]</f>
        <v>cc6ce5a2-49d0-59de-a17e-362f47b67773</v>
      </c>
      <c r="B18" t="str">
        <f>_xlfn.IFNA(INDEX(cards_old[],MATCH(MyCollectionViz[[#This Row],[uuid]],cards_old[uuid],0),52),INDEX(tokens[],MATCH(MyCollectionViz[[#This Row],[uuid]],tokens[uuid],0),30))</f>
        <v>Ouphe Vandals</v>
      </c>
      <c r="C18">
        <v>1</v>
      </c>
      <c r="D18">
        <f>INDEX(myCollection[],MATCH(MyCollectionViz[[#This Row],[uuid]],myCollection[uuid],0),4)</f>
        <v>0</v>
      </c>
      <c r="E18" t="str">
        <f>INDEX(myCollection[],MATCH(MyCollectionViz[[#This Row],[uuid]],myCollection[uuid],0),5)</f>
        <v>Poor</v>
      </c>
      <c r="F18" t="str">
        <f>INDEX(myCollection[],MATCH(MyCollectionViz[[#This Row],[uuid]],myCollection[uuid],0),6)</f>
        <v>English</v>
      </c>
      <c r="G18" t="str">
        <f>INDEX(myCollection[],MATCH(MyCollectionViz[[#This Row],[uuid]],myCollection[uuid],0),7)</f>
        <v>nonfoil</v>
      </c>
    </row>
    <row r="19" spans="1:7" x14ac:dyDescent="0.25">
      <c r="A19" t="str">
        <f>myCollection[[#This Row],[uuid]]</f>
        <v>d0bcc932-d1f2-509c-90de-42512b6fef75</v>
      </c>
      <c r="B19" t="str">
        <f>_xlfn.IFNA(INDEX(cards_old[],MATCH(MyCollectionViz[[#This Row],[uuid]],cards_old[uuid],0),52),INDEX(tokens[],MATCH(MyCollectionViz[[#This Row],[uuid]],tokens[uuid],0),30))</f>
        <v>Guild Feud</v>
      </c>
      <c r="C19">
        <v>1</v>
      </c>
      <c r="D19">
        <f>INDEX(myCollection[],MATCH(MyCollectionViz[[#This Row],[uuid]],myCollection[uuid],0),4)</f>
        <v>0</v>
      </c>
      <c r="E19" t="str">
        <f>INDEX(myCollection[],MATCH(MyCollectionViz[[#This Row],[uuid]],myCollection[uuid],0),5)</f>
        <v>Excellent</v>
      </c>
      <c r="F19" t="str">
        <f>INDEX(myCollection[],MATCH(MyCollectionViz[[#This Row],[uuid]],myCollection[uuid],0),6)</f>
        <v>English</v>
      </c>
      <c r="G19" t="str">
        <f>INDEX(myCollection[],MATCH(MyCollectionViz[[#This Row],[uuid]],myCollection[uuid],0),7)</f>
        <v>nonfoil</v>
      </c>
    </row>
    <row r="20" spans="1:7" x14ac:dyDescent="0.25">
      <c r="A20" t="str">
        <f>myCollection[[#This Row],[uuid]]</f>
        <v>d4588e8f-e5a0-53e5-ac90-0a5183f0d118</v>
      </c>
      <c r="B20" t="str">
        <f>_xlfn.IFNA(INDEX(cards_old[],MATCH(MyCollectionViz[[#This Row],[uuid]],cards_old[uuid],0),52),INDEX(tokens[],MATCH(MyCollectionViz[[#This Row],[uuid]],tokens[uuid],0),30))</f>
        <v>Chillerpillar // Chillerpillar</v>
      </c>
      <c r="C20">
        <v>1</v>
      </c>
      <c r="D20">
        <f>INDEX(myCollection[],MATCH(MyCollectionViz[[#This Row],[uuid]],myCollection[uuid],0),4)</f>
        <v>1</v>
      </c>
      <c r="E20" t="str">
        <f>INDEX(myCollection[],MATCH(MyCollectionViz[[#This Row],[uuid]],myCollection[uuid],0),5)</f>
        <v>Excellent</v>
      </c>
      <c r="F20" t="str">
        <f>INDEX(myCollection[],MATCH(MyCollectionViz[[#This Row],[uuid]],myCollection[uuid],0),6)</f>
        <v>English</v>
      </c>
      <c r="G20" t="str">
        <f>INDEX(myCollection[],MATCH(MyCollectionViz[[#This Row],[uuid]],myCollection[uuid],0),7)</f>
        <v>nonfoil</v>
      </c>
    </row>
    <row r="21" spans="1:7" x14ac:dyDescent="0.25">
      <c r="A21" t="str">
        <f>myCollection[[#This Row],[uuid]]</f>
        <v>e7613acb-a554-5a49-aa38-88fff17503fe</v>
      </c>
      <c r="B21" t="str">
        <f>_xlfn.IFNA(INDEX(cards_old[],MATCH(MyCollectionViz[[#This Row],[uuid]],cards_old[uuid],0),52),INDEX(tokens[],MATCH(MyCollectionViz[[#This Row],[uuid]],tokens[uuid],0),30))</f>
        <v>Font of Ire</v>
      </c>
      <c r="C21">
        <v>4</v>
      </c>
      <c r="D21">
        <f>INDEX(myCollection[],MATCH(MyCollectionViz[[#This Row],[uuid]],myCollection[uuid],0),4)</f>
        <v>0</v>
      </c>
      <c r="E21" t="str">
        <f>INDEX(myCollection[],MATCH(MyCollectionViz[[#This Row],[uuid]],myCollection[uuid],0),5)</f>
        <v>Near Mint</v>
      </c>
      <c r="F21" t="str">
        <f>INDEX(myCollection[],MATCH(MyCollectionViz[[#This Row],[uuid]],myCollection[uuid],0),6)</f>
        <v>English</v>
      </c>
      <c r="G21" t="str">
        <f>INDEX(myCollection[],MATCH(MyCollectionViz[[#This Row],[uuid]],myCollection[uuid],0),7)</f>
        <v>nonfoil</v>
      </c>
    </row>
    <row r="22" spans="1:7" x14ac:dyDescent="0.25">
      <c r="A22" t="str">
        <f>myCollection[[#This Row],[uuid]]</f>
        <v>f1e4acc1-1bb7-57ea-9d61-edb3e803ab5c</v>
      </c>
      <c r="B22" t="e">
        <f>_xlfn.IFNA(INDEX(cards_old[],MATCH(MyCollectionViz[[#This Row],[uuid]],cards_old[uuid],0),52),INDEX(tokens[],MATCH(MyCollectionViz[[#This Row],[uuid]],tokens[uuid],0),30))</f>
        <v>#N/A</v>
      </c>
      <c r="C22">
        <v>1</v>
      </c>
      <c r="D22">
        <f>INDEX(myCollection[],MATCH(MyCollectionViz[[#This Row],[uuid]],myCollection[uuid],0),4)</f>
        <v>0</v>
      </c>
      <c r="E22" t="str">
        <f>INDEX(myCollection[],MATCH(MyCollectionViz[[#This Row],[uuid]],myCollection[uuid],0),5)</f>
        <v>Mint</v>
      </c>
      <c r="F22" t="str">
        <f>INDEX(myCollection[],MATCH(MyCollectionViz[[#This Row],[uuid]],myCollection[uuid],0),6)</f>
        <v>English</v>
      </c>
      <c r="G22" t="str">
        <f>INDEX(myCollection[],MATCH(MyCollectionViz[[#This Row],[uuid]],myCollection[uuid],0),7)</f>
        <v>foil</v>
      </c>
    </row>
    <row r="23" spans="1:7" x14ac:dyDescent="0.25">
      <c r="A23" t="str">
        <f>myCollection[[#This Row],[uuid]]</f>
        <v>fd1183ad-ae98-5c4b-b93d-97d32b74d999</v>
      </c>
      <c r="B23" t="e">
        <f>_xlfn.IFNA(INDEX(cards_old[],MATCH(MyCollectionViz[[#This Row],[uuid]],cards_old[uuid],0),52),INDEX(tokens[],MATCH(MyCollectionViz[[#This Row],[uuid]],tokens[uuid],0),30))</f>
        <v>#N/A</v>
      </c>
      <c r="C23">
        <v>4</v>
      </c>
      <c r="D23">
        <f>INDEX(myCollection[],MATCH(MyCollectionViz[[#This Row],[uuid]],myCollection[uuid],0),4)</f>
        <v>0</v>
      </c>
      <c r="E23" t="str">
        <f>INDEX(myCollection[],MATCH(MyCollectionViz[[#This Row],[uuid]],myCollection[uuid],0),5)</f>
        <v>Light Played</v>
      </c>
      <c r="F23" t="str">
        <f>INDEX(myCollection[],MATCH(MyCollectionViz[[#This Row],[uuid]],myCollection[uuid],0),6)</f>
        <v>English</v>
      </c>
      <c r="G23" t="str">
        <f>INDEX(myCollection[],MATCH(MyCollectionViz[[#This Row],[uuid]],myCollection[uuid],0),7)</f>
        <v>foil</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22ED8-3D0F-41D3-9490-9CE772BCF21B}">
  <dimension ref="A1:G23"/>
  <sheetViews>
    <sheetView workbookViewId="0">
      <selection activeCell="B12" sqref="B12"/>
    </sheetView>
  </sheetViews>
  <sheetFormatPr defaultRowHeight="15" x14ac:dyDescent="0.25"/>
  <cols>
    <col min="1" max="1" width="6" bestFit="1" customWidth="1"/>
    <col min="2" max="2" width="38.140625" bestFit="1" customWidth="1"/>
    <col min="3" max="3" width="14.42578125" bestFit="1" customWidth="1"/>
    <col min="4" max="4" width="16.140625" bestFit="1" customWidth="1"/>
    <col min="5" max="5" width="11.85546875" bestFit="1" customWidth="1"/>
    <col min="6" max="6" width="11.28515625" bestFit="1" customWidth="1"/>
    <col min="7" max="7" width="8.42578125" bestFit="1" customWidth="1"/>
  </cols>
  <sheetData>
    <row r="1" spans="1:7" x14ac:dyDescent="0.25">
      <c r="A1" t="s">
        <v>683</v>
      </c>
      <c r="B1" t="s">
        <v>325</v>
      </c>
      <c r="C1" t="s">
        <v>310</v>
      </c>
      <c r="D1" t="s">
        <v>311</v>
      </c>
      <c r="E1" t="s">
        <v>312</v>
      </c>
      <c r="F1" t="s">
        <v>313</v>
      </c>
      <c r="G1" t="s">
        <v>314</v>
      </c>
    </row>
    <row r="2" spans="1:7" x14ac:dyDescent="0.25">
      <c r="A2">
        <v>7546</v>
      </c>
      <c r="B2" t="s">
        <v>164</v>
      </c>
      <c r="C2">
        <v>1</v>
      </c>
      <c r="D2">
        <v>0</v>
      </c>
      <c r="E2" t="s">
        <v>315</v>
      </c>
      <c r="F2" t="s">
        <v>11</v>
      </c>
      <c r="G2" t="s">
        <v>316</v>
      </c>
    </row>
    <row r="3" spans="1:7" x14ac:dyDescent="0.25">
      <c r="A3">
        <v>10001</v>
      </c>
      <c r="B3" t="s">
        <v>133</v>
      </c>
      <c r="C3">
        <v>1</v>
      </c>
      <c r="D3">
        <v>0</v>
      </c>
      <c r="E3" t="s">
        <v>315</v>
      </c>
      <c r="F3" t="s">
        <v>11</v>
      </c>
      <c r="G3" t="s">
        <v>13</v>
      </c>
    </row>
    <row r="4" spans="1:7" x14ac:dyDescent="0.25">
      <c r="A4">
        <v>2970</v>
      </c>
      <c r="B4" t="s">
        <v>138</v>
      </c>
      <c r="C4">
        <v>1</v>
      </c>
      <c r="D4">
        <v>0</v>
      </c>
      <c r="E4" t="s">
        <v>315</v>
      </c>
      <c r="F4" t="s">
        <v>11</v>
      </c>
      <c r="G4" t="s">
        <v>13</v>
      </c>
    </row>
    <row r="5" spans="1:7" x14ac:dyDescent="0.25">
      <c r="A5">
        <v>11081</v>
      </c>
      <c r="B5" t="s">
        <v>202</v>
      </c>
      <c r="C5">
        <v>2</v>
      </c>
      <c r="D5">
        <v>0</v>
      </c>
      <c r="E5" t="s">
        <v>315</v>
      </c>
      <c r="F5" t="s">
        <v>11</v>
      </c>
      <c r="G5" t="s">
        <v>13</v>
      </c>
    </row>
    <row r="6" spans="1:7" x14ac:dyDescent="0.25">
      <c r="A6">
        <v>4454</v>
      </c>
      <c r="B6" t="s">
        <v>248</v>
      </c>
      <c r="C6">
        <v>1</v>
      </c>
      <c r="D6">
        <v>0</v>
      </c>
      <c r="E6" t="s">
        <v>317</v>
      </c>
      <c r="F6" t="s">
        <v>11</v>
      </c>
      <c r="G6" t="s">
        <v>13</v>
      </c>
    </row>
    <row r="7" spans="1:7" x14ac:dyDescent="0.25">
      <c r="A7">
        <v>8052</v>
      </c>
      <c r="B7" t="s">
        <v>210</v>
      </c>
      <c r="C7">
        <v>1</v>
      </c>
      <c r="D7">
        <v>0</v>
      </c>
      <c r="E7" t="s">
        <v>315</v>
      </c>
      <c r="F7" t="s">
        <v>11</v>
      </c>
      <c r="G7" t="s">
        <v>13</v>
      </c>
    </row>
    <row r="8" spans="1:7" x14ac:dyDescent="0.25">
      <c r="A8">
        <v>5388</v>
      </c>
      <c r="B8" t="s">
        <v>274</v>
      </c>
      <c r="C8">
        <v>1</v>
      </c>
      <c r="D8">
        <v>0</v>
      </c>
      <c r="E8" t="s">
        <v>315</v>
      </c>
      <c r="F8" t="s">
        <v>11</v>
      </c>
      <c r="G8" t="s">
        <v>13</v>
      </c>
    </row>
    <row r="9" spans="1:7" x14ac:dyDescent="0.25">
      <c r="A9">
        <v>4798</v>
      </c>
      <c r="B9" t="s">
        <v>236</v>
      </c>
      <c r="C9">
        <v>1</v>
      </c>
      <c r="D9">
        <v>0</v>
      </c>
      <c r="E9" t="s">
        <v>315</v>
      </c>
      <c r="F9" t="s">
        <v>11</v>
      </c>
      <c r="G9" t="s">
        <v>51</v>
      </c>
    </row>
    <row r="10" spans="1:7" x14ac:dyDescent="0.25">
      <c r="A10">
        <v>6245</v>
      </c>
      <c r="B10" t="s">
        <v>254</v>
      </c>
      <c r="C10">
        <v>4</v>
      </c>
      <c r="D10">
        <v>1</v>
      </c>
      <c r="E10" t="s">
        <v>317</v>
      </c>
      <c r="F10" t="s">
        <v>318</v>
      </c>
      <c r="G10" t="s">
        <v>13</v>
      </c>
    </row>
    <row r="11" spans="1:7" x14ac:dyDescent="0.25">
      <c r="A11">
        <v>11808</v>
      </c>
      <c r="B11" t="s">
        <v>299</v>
      </c>
      <c r="C11">
        <v>1</v>
      </c>
      <c r="D11">
        <v>0</v>
      </c>
      <c r="E11" t="s">
        <v>315</v>
      </c>
      <c r="F11" t="s">
        <v>11</v>
      </c>
      <c r="G11" t="s">
        <v>13</v>
      </c>
    </row>
    <row r="12" spans="1:7" x14ac:dyDescent="0.25">
      <c r="A12">
        <v>8721</v>
      </c>
      <c r="B12" t="s">
        <v>309</v>
      </c>
      <c r="C12">
        <v>2</v>
      </c>
      <c r="D12">
        <v>0</v>
      </c>
      <c r="E12" t="s">
        <v>315</v>
      </c>
      <c r="F12" t="s">
        <v>11</v>
      </c>
      <c r="G12" t="s">
        <v>13</v>
      </c>
    </row>
    <row r="13" spans="1:7" x14ac:dyDescent="0.25">
      <c r="A13">
        <v>10980</v>
      </c>
      <c r="B13" t="s">
        <v>305</v>
      </c>
      <c r="C13">
        <v>7</v>
      </c>
      <c r="D13">
        <v>3</v>
      </c>
      <c r="E13" t="s">
        <v>315</v>
      </c>
      <c r="F13" t="s">
        <v>11</v>
      </c>
      <c r="G13" t="s">
        <v>13</v>
      </c>
    </row>
    <row r="14" spans="1:7" x14ac:dyDescent="0.25">
      <c r="A14">
        <v>5339</v>
      </c>
      <c r="B14" t="s">
        <v>296</v>
      </c>
      <c r="C14">
        <v>2</v>
      </c>
      <c r="D14">
        <v>0</v>
      </c>
      <c r="E14" t="s">
        <v>315</v>
      </c>
      <c r="F14" t="s">
        <v>11</v>
      </c>
      <c r="G14" t="s">
        <v>13</v>
      </c>
    </row>
    <row r="15" spans="1:7" x14ac:dyDescent="0.25">
      <c r="A15">
        <v>10772</v>
      </c>
      <c r="B15" t="s">
        <v>264</v>
      </c>
      <c r="C15">
        <v>3</v>
      </c>
      <c r="D15">
        <v>0</v>
      </c>
      <c r="E15" t="s">
        <v>315</v>
      </c>
      <c r="F15" t="s">
        <v>11</v>
      </c>
      <c r="G15" t="s">
        <v>13</v>
      </c>
    </row>
    <row r="16" spans="1:7" x14ac:dyDescent="0.25">
      <c r="A16">
        <v>11817</v>
      </c>
      <c r="B16" t="s">
        <v>292</v>
      </c>
      <c r="C16">
        <v>2</v>
      </c>
      <c r="D16">
        <v>0</v>
      </c>
      <c r="E16" t="s">
        <v>315</v>
      </c>
      <c r="F16" t="s">
        <v>319</v>
      </c>
      <c r="G16" t="s">
        <v>13</v>
      </c>
    </row>
    <row r="17" spans="1:7" x14ac:dyDescent="0.25">
      <c r="A17">
        <v>8163</v>
      </c>
      <c r="B17" t="s">
        <v>102</v>
      </c>
      <c r="C17">
        <v>1</v>
      </c>
      <c r="D17">
        <v>1</v>
      </c>
      <c r="E17" t="s">
        <v>315</v>
      </c>
      <c r="F17" t="s">
        <v>319</v>
      </c>
      <c r="G17" t="s">
        <v>13</v>
      </c>
    </row>
    <row r="18" spans="1:7" x14ac:dyDescent="0.25">
      <c r="A18">
        <v>7683</v>
      </c>
      <c r="B18" t="s">
        <v>259</v>
      </c>
      <c r="C18">
        <v>1</v>
      </c>
      <c r="D18">
        <v>0</v>
      </c>
      <c r="E18" t="s">
        <v>320</v>
      </c>
      <c r="F18" t="s">
        <v>11</v>
      </c>
      <c r="G18" t="s">
        <v>13</v>
      </c>
    </row>
    <row r="19" spans="1:7" x14ac:dyDescent="0.25">
      <c r="A19">
        <v>4933</v>
      </c>
      <c r="B19" t="s">
        <v>219</v>
      </c>
      <c r="C19">
        <v>1</v>
      </c>
      <c r="D19">
        <v>0</v>
      </c>
      <c r="E19" t="s">
        <v>321</v>
      </c>
      <c r="F19" t="s">
        <v>11</v>
      </c>
      <c r="G19" t="s">
        <v>13</v>
      </c>
    </row>
    <row r="20" spans="1:7" x14ac:dyDescent="0.25">
      <c r="A20">
        <v>547</v>
      </c>
      <c r="B20" t="s">
        <v>171</v>
      </c>
      <c r="C20">
        <v>1</v>
      </c>
      <c r="D20">
        <v>1</v>
      </c>
      <c r="E20" t="s">
        <v>321</v>
      </c>
      <c r="F20" t="s">
        <v>11</v>
      </c>
      <c r="G20" t="s">
        <v>13</v>
      </c>
    </row>
    <row r="21" spans="1:7" x14ac:dyDescent="0.25">
      <c r="A21">
        <v>4025</v>
      </c>
      <c r="B21" t="s">
        <v>213</v>
      </c>
      <c r="C21">
        <v>4</v>
      </c>
      <c r="D21">
        <v>0</v>
      </c>
      <c r="E21" t="s">
        <v>315</v>
      </c>
      <c r="F21" t="s">
        <v>11</v>
      </c>
      <c r="G21" t="s">
        <v>13</v>
      </c>
    </row>
    <row r="22" spans="1:7" x14ac:dyDescent="0.25">
      <c r="A22">
        <v>2249</v>
      </c>
      <c r="B22" t="s">
        <v>282</v>
      </c>
      <c r="C22">
        <v>1</v>
      </c>
      <c r="D22">
        <v>0</v>
      </c>
      <c r="E22" t="s">
        <v>322</v>
      </c>
      <c r="F22" t="s">
        <v>11</v>
      </c>
      <c r="G22" t="s">
        <v>51</v>
      </c>
    </row>
    <row r="23" spans="1:7" x14ac:dyDescent="0.25">
      <c r="A23">
        <v>2337</v>
      </c>
      <c r="B23" t="s">
        <v>207</v>
      </c>
      <c r="C23">
        <v>4</v>
      </c>
      <c r="D23">
        <v>0</v>
      </c>
      <c r="E23" t="s">
        <v>323</v>
      </c>
      <c r="F23" t="s">
        <v>11</v>
      </c>
      <c r="G23" t="s">
        <v>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C5C1F-8FAC-4788-A518-572683F9FFBC}">
  <dimension ref="A1:BA19"/>
  <sheetViews>
    <sheetView topLeftCell="AN1" workbookViewId="0">
      <selection activeCell="AR16" sqref="AR16"/>
    </sheetView>
  </sheetViews>
  <sheetFormatPr defaultRowHeight="15" x14ac:dyDescent="0.25"/>
  <cols>
    <col min="1" max="1" width="18.7109375" bestFit="1" customWidth="1"/>
    <col min="2" max="2" width="38.140625" bestFit="1" customWidth="1"/>
    <col min="3" max="3" width="12.7109375" bestFit="1" customWidth="1"/>
    <col min="4" max="4" width="17.5703125" bestFit="1" customWidth="1"/>
    <col min="5" max="5" width="13" bestFit="1" customWidth="1"/>
    <col min="6" max="6" width="15.7109375" bestFit="1" customWidth="1"/>
    <col min="7" max="7" width="14.28515625" bestFit="1" customWidth="1"/>
    <col min="8" max="8" width="14.85546875" bestFit="1" customWidth="1"/>
    <col min="9" max="9" width="16" bestFit="1" customWidth="1"/>
    <col min="10" max="10" width="8.85546875" bestFit="1" customWidth="1"/>
    <col min="11" max="11" width="18" bestFit="1" customWidth="1"/>
    <col min="12" max="12" width="23.85546875" bestFit="1" customWidth="1"/>
    <col min="13" max="13" width="18.28515625" bestFit="1" customWidth="1"/>
    <col min="14" max="14" width="13.7109375" bestFit="1" customWidth="1"/>
    <col min="15" max="15" width="12.28515625" bestFit="1" customWidth="1"/>
    <col min="16" max="16" width="15" bestFit="1" customWidth="1"/>
    <col min="17" max="17" width="15.5703125" bestFit="1" customWidth="1"/>
    <col min="18" max="18" width="9.7109375" bestFit="1" customWidth="1"/>
    <col min="19" max="19" width="13.42578125" bestFit="1" customWidth="1"/>
    <col min="20" max="20" width="10.7109375" bestFit="1" customWidth="1"/>
    <col min="21" max="21" width="10.28515625" bestFit="1" customWidth="1"/>
    <col min="22" max="22" width="13.85546875" bestFit="1" customWidth="1"/>
    <col min="23" max="23" width="10.7109375" bestFit="1" customWidth="1"/>
    <col min="24" max="24" width="11.5703125" bestFit="1" customWidth="1"/>
    <col min="25" max="25" width="12.42578125" bestFit="1" customWidth="1"/>
    <col min="26" max="26" width="11.85546875" bestFit="1" customWidth="1"/>
    <col min="27" max="27" width="11.28515625" bestFit="1" customWidth="1"/>
    <col min="28" max="28" width="9.5703125" bestFit="1" customWidth="1"/>
    <col min="29" max="29" width="12.42578125" bestFit="1" customWidth="1"/>
    <col min="30" max="30" width="49.42578125" bestFit="1" customWidth="1"/>
    <col min="31" max="31" width="10.28515625" bestFit="1" customWidth="1"/>
    <col min="32" max="32" width="18" bestFit="1" customWidth="1"/>
    <col min="33" max="33" width="13.85546875" bestFit="1" customWidth="1"/>
    <col min="34" max="34" width="38" bestFit="1" customWidth="1"/>
    <col min="35" max="35" width="8.85546875" bestFit="1" customWidth="1"/>
    <col min="36" max="36" width="14.140625" bestFit="1" customWidth="1"/>
    <col min="37" max="37" width="16.7109375" bestFit="1" customWidth="1"/>
    <col min="38" max="38" width="14.42578125" bestFit="1" customWidth="1"/>
    <col min="39" max="40" width="81.140625" bestFit="1" customWidth="1"/>
    <col min="41" max="41" width="16.42578125" bestFit="1" customWidth="1"/>
    <col min="42" max="42" width="11" bestFit="1" customWidth="1"/>
    <col min="43" max="43" width="7.140625" bestFit="1" customWidth="1"/>
    <col min="44" max="44" width="18.7109375" bestFit="1" customWidth="1"/>
    <col min="45" max="45" width="17.5703125" bestFit="1" customWidth="1"/>
    <col min="46" max="46" width="11.5703125" bestFit="1" customWidth="1"/>
    <col min="47" max="47" width="13.42578125" bestFit="1" customWidth="1"/>
    <col min="48" max="48" width="81.140625" bestFit="1" customWidth="1"/>
    <col min="49" max="49" width="12.7109375" bestFit="1" customWidth="1"/>
    <col min="50" max="50" width="33.140625" bestFit="1" customWidth="1"/>
    <col min="51" max="51" width="14.85546875" bestFit="1" customWidth="1"/>
    <col min="52" max="52" width="38" customWidth="1"/>
    <col min="53" max="54" width="12.7109375" bestFit="1" customWidth="1"/>
    <col min="55" max="55" width="11.42578125" bestFit="1" customWidth="1"/>
    <col min="56" max="64" width="5.140625" bestFit="1" customWidth="1"/>
    <col min="65" max="83" width="6.140625" bestFit="1" customWidth="1"/>
  </cols>
  <sheetData>
    <row r="1" spans="1:53" x14ac:dyDescent="0.25">
      <c r="A1" t="s">
        <v>563</v>
      </c>
      <c r="B1" t="s">
        <v>564</v>
      </c>
      <c r="C1" t="s">
        <v>565</v>
      </c>
      <c r="D1" t="s">
        <v>566</v>
      </c>
      <c r="E1" t="s">
        <v>567</v>
      </c>
      <c r="F1" t="s">
        <v>568</v>
      </c>
      <c r="G1" t="s">
        <v>569</v>
      </c>
      <c r="H1" t="s">
        <v>571</v>
      </c>
      <c r="I1" t="s">
        <v>572</v>
      </c>
      <c r="J1" t="s">
        <v>573</v>
      </c>
      <c r="K1" t="s">
        <v>577</v>
      </c>
      <c r="L1" t="s">
        <v>581</v>
      </c>
      <c r="M1" t="s">
        <v>582</v>
      </c>
      <c r="N1" t="s">
        <v>583</v>
      </c>
      <c r="O1" t="s">
        <v>584</v>
      </c>
      <c r="P1" t="s">
        <v>585</v>
      </c>
      <c r="Q1" t="s">
        <v>586</v>
      </c>
      <c r="R1" t="s">
        <v>590</v>
      </c>
      <c r="S1" t="s">
        <v>591</v>
      </c>
      <c r="T1" t="s">
        <v>593</v>
      </c>
      <c r="U1" t="s">
        <v>594</v>
      </c>
      <c r="V1" t="s">
        <v>596</v>
      </c>
      <c r="W1" t="s">
        <v>597</v>
      </c>
      <c r="X1" t="s">
        <v>599</v>
      </c>
      <c r="Y1" t="s">
        <v>602</v>
      </c>
      <c r="Z1" t="s">
        <v>604</v>
      </c>
      <c r="AA1" t="s">
        <v>313</v>
      </c>
      <c r="AB1" t="s">
        <v>605</v>
      </c>
      <c r="AC1" t="s">
        <v>609</v>
      </c>
      <c r="AD1" t="s">
        <v>324</v>
      </c>
      <c r="AE1" t="s">
        <v>611</v>
      </c>
      <c r="AF1" t="s">
        <v>669</v>
      </c>
      <c r="AG1" t="s">
        <v>614</v>
      </c>
      <c r="AH1" t="s">
        <v>615</v>
      </c>
      <c r="AI1" t="s">
        <v>616</v>
      </c>
      <c r="AJ1" t="s">
        <v>801</v>
      </c>
      <c r="AK1" t="s">
        <v>822</v>
      </c>
      <c r="AL1" t="s">
        <v>618</v>
      </c>
      <c r="AM1" t="s">
        <v>621</v>
      </c>
      <c r="AN1" t="s">
        <v>670</v>
      </c>
      <c r="AO1" t="s">
        <v>622</v>
      </c>
      <c r="AP1" t="s">
        <v>623</v>
      </c>
      <c r="AQ1" t="s">
        <v>624</v>
      </c>
      <c r="AR1" t="s">
        <v>625</v>
      </c>
      <c r="AS1" t="s">
        <v>626</v>
      </c>
      <c r="AT1" t="s">
        <v>628</v>
      </c>
      <c r="AU1" t="s">
        <v>629</v>
      </c>
      <c r="AV1" t="s">
        <v>630</v>
      </c>
      <c r="AW1" t="s">
        <v>631</v>
      </c>
      <c r="AX1" t="s">
        <v>632</v>
      </c>
      <c r="AY1" t="s">
        <v>633</v>
      </c>
      <c r="AZ1" t="s">
        <v>325</v>
      </c>
      <c r="BA1" t="s">
        <v>634</v>
      </c>
    </row>
    <row r="2" spans="1:53" x14ac:dyDescent="0.25">
      <c r="A2" t="s">
        <v>499</v>
      </c>
      <c r="B2" t="s">
        <v>500</v>
      </c>
      <c r="C2" t="s">
        <v>635</v>
      </c>
      <c r="D2" s="2" t="s">
        <v>635</v>
      </c>
      <c r="E2" t="s">
        <v>336</v>
      </c>
      <c r="F2" t="s">
        <v>635</v>
      </c>
      <c r="G2" t="s">
        <v>429</v>
      </c>
      <c r="H2" t="s">
        <v>635</v>
      </c>
      <c r="I2" s="2" t="s">
        <v>635</v>
      </c>
      <c r="J2" t="s">
        <v>635</v>
      </c>
      <c r="L2" t="s">
        <v>501</v>
      </c>
      <c r="M2" t="s">
        <v>56</v>
      </c>
      <c r="N2" t="s">
        <v>635</v>
      </c>
      <c r="O2" t="s">
        <v>635</v>
      </c>
      <c r="P2" t="s">
        <v>635</v>
      </c>
      <c r="Q2">
        <v>2015</v>
      </c>
      <c r="R2">
        <v>1</v>
      </c>
      <c r="S2">
        <v>1</v>
      </c>
      <c r="T2">
        <v>0</v>
      </c>
      <c r="U2" t="s">
        <v>635</v>
      </c>
      <c r="V2" s="2">
        <v>0</v>
      </c>
      <c r="W2" s="2">
        <v>0</v>
      </c>
      <c r="X2">
        <v>0</v>
      </c>
      <c r="Y2" s="2">
        <v>0</v>
      </c>
      <c r="Z2" t="s">
        <v>635</v>
      </c>
      <c r="AA2" t="s">
        <v>11</v>
      </c>
      <c r="AB2" t="s">
        <v>502</v>
      </c>
      <c r="AC2" t="s">
        <v>635</v>
      </c>
      <c r="AD2" t="s">
        <v>84</v>
      </c>
      <c r="AE2" t="s">
        <v>672</v>
      </c>
      <c r="AF2" t="s">
        <v>503</v>
      </c>
      <c r="AG2" t="s">
        <v>635</v>
      </c>
      <c r="AH2" t="s">
        <v>504</v>
      </c>
      <c r="AJ2" s="2" t="s">
        <v>635</v>
      </c>
      <c r="AK2" s="2" t="s">
        <v>635</v>
      </c>
      <c r="AL2" t="s">
        <v>635</v>
      </c>
      <c r="AM2" t="s">
        <v>635</v>
      </c>
      <c r="AN2" t="s">
        <v>635</v>
      </c>
      <c r="AO2" t="s">
        <v>635</v>
      </c>
      <c r="AP2" t="s">
        <v>85</v>
      </c>
      <c r="AQ2" t="s">
        <v>57</v>
      </c>
      <c r="AR2" t="s">
        <v>499</v>
      </c>
      <c r="AS2" s="2" t="s">
        <v>838</v>
      </c>
      <c r="AT2" t="s">
        <v>635</v>
      </c>
      <c r="AU2" t="s">
        <v>635</v>
      </c>
      <c r="AV2" t="s">
        <v>635</v>
      </c>
      <c r="AX2" t="s">
        <v>26</v>
      </c>
      <c r="AY2" t="s">
        <v>26</v>
      </c>
      <c r="AZ2" t="s">
        <v>86</v>
      </c>
      <c r="BA2" t="s">
        <v>635</v>
      </c>
    </row>
    <row r="3" spans="1:53" x14ac:dyDescent="0.25">
      <c r="A3" t="s">
        <v>505</v>
      </c>
      <c r="B3" t="s">
        <v>506</v>
      </c>
      <c r="C3" t="s">
        <v>635</v>
      </c>
      <c r="D3" s="2" t="s">
        <v>635</v>
      </c>
      <c r="E3" t="s">
        <v>336</v>
      </c>
      <c r="F3" t="s">
        <v>635</v>
      </c>
      <c r="G3" t="s">
        <v>429</v>
      </c>
      <c r="H3" t="s">
        <v>635</v>
      </c>
      <c r="I3" s="2" t="s">
        <v>635</v>
      </c>
      <c r="J3" t="s">
        <v>635</v>
      </c>
      <c r="L3" t="s">
        <v>507</v>
      </c>
      <c r="M3" t="s">
        <v>110</v>
      </c>
      <c r="N3" t="s">
        <v>635</v>
      </c>
      <c r="O3" t="s">
        <v>635</v>
      </c>
      <c r="P3" t="s">
        <v>635</v>
      </c>
      <c r="Q3">
        <v>2015</v>
      </c>
      <c r="R3">
        <v>0</v>
      </c>
      <c r="S3">
        <v>1</v>
      </c>
      <c r="T3">
        <v>0</v>
      </c>
      <c r="U3" t="s">
        <v>635</v>
      </c>
      <c r="V3" s="2">
        <v>0</v>
      </c>
      <c r="W3" s="2">
        <v>0</v>
      </c>
      <c r="X3">
        <v>0</v>
      </c>
      <c r="Y3" s="2">
        <v>0</v>
      </c>
      <c r="Z3" t="s">
        <v>635</v>
      </c>
      <c r="AA3" t="s">
        <v>11</v>
      </c>
      <c r="AB3" t="s">
        <v>502</v>
      </c>
      <c r="AC3" t="s">
        <v>635</v>
      </c>
      <c r="AD3" t="s">
        <v>165</v>
      </c>
      <c r="AE3" t="s">
        <v>673</v>
      </c>
      <c r="AF3" t="s">
        <v>635</v>
      </c>
      <c r="AG3" t="s">
        <v>635</v>
      </c>
      <c r="AH3" t="s">
        <v>508</v>
      </c>
      <c r="AJ3" s="2" t="s">
        <v>635</v>
      </c>
      <c r="AK3" s="2" t="s">
        <v>635</v>
      </c>
      <c r="AL3" t="s">
        <v>635</v>
      </c>
      <c r="AM3" t="s">
        <v>635</v>
      </c>
      <c r="AN3" t="s">
        <v>635</v>
      </c>
      <c r="AO3" t="s">
        <v>635</v>
      </c>
      <c r="AP3" t="s">
        <v>166</v>
      </c>
      <c r="AQ3" t="s">
        <v>57</v>
      </c>
      <c r="AR3" t="s">
        <v>505</v>
      </c>
      <c r="AS3" s="2" t="s">
        <v>838</v>
      </c>
      <c r="AT3" t="s">
        <v>635</v>
      </c>
      <c r="AU3" t="s">
        <v>635</v>
      </c>
      <c r="AV3" t="s">
        <v>635</v>
      </c>
      <c r="AX3" t="s">
        <v>26</v>
      </c>
      <c r="AY3" t="s">
        <v>26</v>
      </c>
      <c r="AZ3" t="s">
        <v>167</v>
      </c>
      <c r="BA3" t="s">
        <v>635</v>
      </c>
    </row>
    <row r="4" spans="1:53" x14ac:dyDescent="0.25">
      <c r="A4" t="s">
        <v>509</v>
      </c>
      <c r="B4" t="s">
        <v>510</v>
      </c>
      <c r="C4" t="s">
        <v>635</v>
      </c>
      <c r="D4" s="2" t="s">
        <v>635</v>
      </c>
      <c r="E4" t="s">
        <v>336</v>
      </c>
      <c r="F4" t="s">
        <v>635</v>
      </c>
      <c r="G4" t="s">
        <v>330</v>
      </c>
      <c r="H4" t="s">
        <v>635</v>
      </c>
      <c r="I4" s="2" t="s">
        <v>635</v>
      </c>
      <c r="J4" t="s">
        <v>635</v>
      </c>
      <c r="L4" t="s">
        <v>635</v>
      </c>
      <c r="M4" t="s">
        <v>13</v>
      </c>
      <c r="N4" t="s">
        <v>635</v>
      </c>
      <c r="O4" t="s">
        <v>635</v>
      </c>
      <c r="P4" t="s">
        <v>635</v>
      </c>
      <c r="Q4">
        <v>2015</v>
      </c>
      <c r="R4">
        <v>0</v>
      </c>
      <c r="S4">
        <v>1</v>
      </c>
      <c r="T4">
        <v>0</v>
      </c>
      <c r="U4" t="s">
        <v>635</v>
      </c>
      <c r="V4" s="2">
        <v>0</v>
      </c>
      <c r="W4" s="2">
        <v>0</v>
      </c>
      <c r="X4">
        <v>0</v>
      </c>
      <c r="Y4" s="2">
        <v>0</v>
      </c>
      <c r="Z4" t="s">
        <v>635</v>
      </c>
      <c r="AA4" t="s">
        <v>11</v>
      </c>
      <c r="AB4" t="s">
        <v>497</v>
      </c>
      <c r="AC4" t="s">
        <v>635</v>
      </c>
      <c r="AD4" t="s">
        <v>24</v>
      </c>
      <c r="AE4" t="s">
        <v>674</v>
      </c>
      <c r="AF4" t="s">
        <v>635</v>
      </c>
      <c r="AG4" t="s">
        <v>635</v>
      </c>
      <c r="AH4" t="s">
        <v>635</v>
      </c>
      <c r="AJ4" s="2" t="s">
        <v>635</v>
      </c>
      <c r="AK4" s="2" t="s">
        <v>635</v>
      </c>
      <c r="AL4" t="s">
        <v>635</v>
      </c>
      <c r="AM4" t="s">
        <v>635</v>
      </c>
      <c r="AN4" t="s">
        <v>635</v>
      </c>
      <c r="AO4" t="s">
        <v>635</v>
      </c>
      <c r="AP4" t="s">
        <v>25</v>
      </c>
      <c r="AQ4" t="s">
        <v>635</v>
      </c>
      <c r="AR4" t="s">
        <v>635</v>
      </c>
      <c r="AS4" s="2" t="s">
        <v>838</v>
      </c>
      <c r="AT4" t="s">
        <v>635</v>
      </c>
      <c r="AU4" t="s">
        <v>635</v>
      </c>
      <c r="AV4" t="s">
        <v>27</v>
      </c>
      <c r="AX4" t="s">
        <v>26</v>
      </c>
      <c r="AY4" t="s">
        <v>26</v>
      </c>
      <c r="AZ4" t="s">
        <v>28</v>
      </c>
      <c r="BA4" t="s">
        <v>635</v>
      </c>
    </row>
    <row r="5" spans="1:53" x14ac:dyDescent="0.25">
      <c r="A5" t="s">
        <v>511</v>
      </c>
      <c r="B5" t="s">
        <v>512</v>
      </c>
      <c r="C5" t="s">
        <v>635</v>
      </c>
      <c r="D5" s="2" t="s">
        <v>635</v>
      </c>
      <c r="E5" t="s">
        <v>336</v>
      </c>
      <c r="F5" t="s">
        <v>635</v>
      </c>
      <c r="G5" t="s">
        <v>429</v>
      </c>
      <c r="H5" t="s">
        <v>635</v>
      </c>
      <c r="I5" s="2" t="s">
        <v>635</v>
      </c>
      <c r="J5" t="s">
        <v>635</v>
      </c>
      <c r="L5" t="s">
        <v>513</v>
      </c>
      <c r="M5" t="s">
        <v>56</v>
      </c>
      <c r="N5" t="s">
        <v>635</v>
      </c>
      <c r="O5" t="s">
        <v>635</v>
      </c>
      <c r="P5" t="s">
        <v>635</v>
      </c>
      <c r="Q5">
        <v>2015</v>
      </c>
      <c r="R5">
        <v>1</v>
      </c>
      <c r="S5">
        <v>1</v>
      </c>
      <c r="T5">
        <v>0</v>
      </c>
      <c r="U5" t="s">
        <v>635</v>
      </c>
      <c r="V5" s="2">
        <v>0</v>
      </c>
      <c r="W5" s="2">
        <v>0</v>
      </c>
      <c r="X5">
        <v>0</v>
      </c>
      <c r="Y5" s="2">
        <v>0</v>
      </c>
      <c r="Z5" t="s">
        <v>635</v>
      </c>
      <c r="AA5" t="s">
        <v>11</v>
      </c>
      <c r="AB5" t="s">
        <v>502</v>
      </c>
      <c r="AC5" t="s">
        <v>635</v>
      </c>
      <c r="AD5" t="s">
        <v>111</v>
      </c>
      <c r="AE5" t="s">
        <v>676</v>
      </c>
      <c r="AF5" t="s">
        <v>503</v>
      </c>
      <c r="AG5" t="s">
        <v>635</v>
      </c>
      <c r="AH5" t="s">
        <v>514</v>
      </c>
      <c r="AJ5" s="2" t="s">
        <v>635</v>
      </c>
      <c r="AK5" s="2" t="s">
        <v>635</v>
      </c>
      <c r="AL5" t="s">
        <v>635</v>
      </c>
      <c r="AM5" t="s">
        <v>635</v>
      </c>
      <c r="AN5" t="s">
        <v>635</v>
      </c>
      <c r="AO5" t="s">
        <v>635</v>
      </c>
      <c r="AP5" t="s">
        <v>112</v>
      </c>
      <c r="AQ5" t="s">
        <v>57</v>
      </c>
      <c r="AR5" t="s">
        <v>511</v>
      </c>
      <c r="AS5" s="2" t="s">
        <v>838</v>
      </c>
      <c r="AT5" t="s">
        <v>635</v>
      </c>
      <c r="AU5" t="s">
        <v>635</v>
      </c>
      <c r="AV5" t="s">
        <v>635</v>
      </c>
      <c r="AX5" t="s">
        <v>26</v>
      </c>
      <c r="AY5" t="s">
        <v>26</v>
      </c>
      <c r="AZ5" t="s">
        <v>113</v>
      </c>
      <c r="BA5" t="s">
        <v>635</v>
      </c>
    </row>
    <row r="6" spans="1:53" x14ac:dyDescent="0.25">
      <c r="A6" t="s">
        <v>518</v>
      </c>
      <c r="B6" t="s">
        <v>519</v>
      </c>
      <c r="C6" t="s">
        <v>635</v>
      </c>
      <c r="D6" s="2" t="s">
        <v>635</v>
      </c>
      <c r="E6" t="s">
        <v>336</v>
      </c>
      <c r="F6" t="s">
        <v>635</v>
      </c>
      <c r="G6" t="s">
        <v>429</v>
      </c>
      <c r="H6" t="s">
        <v>635</v>
      </c>
      <c r="I6" s="2" t="s">
        <v>635</v>
      </c>
      <c r="J6" t="s">
        <v>635</v>
      </c>
      <c r="L6" t="s">
        <v>520</v>
      </c>
      <c r="M6" t="s">
        <v>56</v>
      </c>
      <c r="N6" t="s">
        <v>635</v>
      </c>
      <c r="O6" t="s">
        <v>635</v>
      </c>
      <c r="P6" t="s">
        <v>635</v>
      </c>
      <c r="Q6">
        <v>2015</v>
      </c>
      <c r="R6">
        <v>1</v>
      </c>
      <c r="S6">
        <v>1</v>
      </c>
      <c r="T6">
        <v>0</v>
      </c>
      <c r="U6" t="s">
        <v>635</v>
      </c>
      <c r="V6" s="2">
        <v>0</v>
      </c>
      <c r="W6" s="2">
        <v>0</v>
      </c>
      <c r="X6">
        <v>0</v>
      </c>
      <c r="Y6" s="2">
        <v>0</v>
      </c>
      <c r="Z6" t="s">
        <v>635</v>
      </c>
      <c r="AA6" t="s">
        <v>11</v>
      </c>
      <c r="AB6" t="s">
        <v>502</v>
      </c>
      <c r="AC6" t="s">
        <v>635</v>
      </c>
      <c r="AD6" t="s">
        <v>105</v>
      </c>
      <c r="AE6" t="s">
        <v>676</v>
      </c>
      <c r="AF6" t="s">
        <v>503</v>
      </c>
      <c r="AG6" t="s">
        <v>635</v>
      </c>
      <c r="AH6" t="s">
        <v>521</v>
      </c>
      <c r="AJ6" s="2" t="s">
        <v>635</v>
      </c>
      <c r="AK6" s="2" t="s">
        <v>635</v>
      </c>
      <c r="AL6" t="s">
        <v>635</v>
      </c>
      <c r="AM6" t="s">
        <v>635</v>
      </c>
      <c r="AN6" t="s">
        <v>635</v>
      </c>
      <c r="AO6" t="s">
        <v>635</v>
      </c>
      <c r="AP6" t="s">
        <v>106</v>
      </c>
      <c r="AQ6" t="s">
        <v>57</v>
      </c>
      <c r="AR6" t="s">
        <v>518</v>
      </c>
      <c r="AS6" s="2" t="s">
        <v>838</v>
      </c>
      <c r="AT6" t="s">
        <v>635</v>
      </c>
      <c r="AU6" t="s">
        <v>635</v>
      </c>
      <c r="AV6" t="s">
        <v>635</v>
      </c>
      <c r="AX6" t="s">
        <v>26</v>
      </c>
      <c r="AY6" t="s">
        <v>26</v>
      </c>
      <c r="AZ6" t="s">
        <v>107</v>
      </c>
      <c r="BA6" t="s">
        <v>635</v>
      </c>
    </row>
    <row r="7" spans="1:53" x14ac:dyDescent="0.25">
      <c r="A7" t="s">
        <v>385</v>
      </c>
      <c r="B7" t="s">
        <v>386</v>
      </c>
      <c r="C7" t="s">
        <v>635</v>
      </c>
      <c r="D7" s="2" t="s">
        <v>635</v>
      </c>
      <c r="E7" t="s">
        <v>336</v>
      </c>
      <c r="F7" t="s">
        <v>635</v>
      </c>
      <c r="G7" t="s">
        <v>429</v>
      </c>
      <c r="H7" t="s">
        <v>635</v>
      </c>
      <c r="I7" s="2" t="s">
        <v>635</v>
      </c>
      <c r="J7" t="s">
        <v>635</v>
      </c>
      <c r="L7" t="s">
        <v>524</v>
      </c>
      <c r="M7" t="s">
        <v>110</v>
      </c>
      <c r="N7" t="s">
        <v>635</v>
      </c>
      <c r="O7" t="s">
        <v>635</v>
      </c>
      <c r="P7" t="s">
        <v>635</v>
      </c>
      <c r="Q7">
        <v>2015</v>
      </c>
      <c r="R7">
        <v>0</v>
      </c>
      <c r="S7">
        <v>1</v>
      </c>
      <c r="T7">
        <v>0</v>
      </c>
      <c r="U7" t="s">
        <v>635</v>
      </c>
      <c r="V7" s="2">
        <v>0</v>
      </c>
      <c r="W7" s="2">
        <v>0</v>
      </c>
      <c r="X7">
        <v>0</v>
      </c>
      <c r="Y7" s="2">
        <v>0</v>
      </c>
      <c r="Z7" t="s">
        <v>635</v>
      </c>
      <c r="AA7" t="s">
        <v>11</v>
      </c>
      <c r="AB7" t="s">
        <v>502</v>
      </c>
      <c r="AC7" t="s">
        <v>635</v>
      </c>
      <c r="AD7" t="s">
        <v>168</v>
      </c>
      <c r="AE7" t="s">
        <v>667</v>
      </c>
      <c r="AF7" t="s">
        <v>635</v>
      </c>
      <c r="AG7" t="s">
        <v>635</v>
      </c>
      <c r="AH7" t="s">
        <v>525</v>
      </c>
      <c r="AJ7" s="2" t="s">
        <v>635</v>
      </c>
      <c r="AK7" s="2" t="s">
        <v>635</v>
      </c>
      <c r="AL7" t="s">
        <v>635</v>
      </c>
      <c r="AM7" t="s">
        <v>635</v>
      </c>
      <c r="AN7" t="s">
        <v>635</v>
      </c>
      <c r="AO7" t="s">
        <v>635</v>
      </c>
      <c r="AP7" t="s">
        <v>166</v>
      </c>
      <c r="AQ7" t="s">
        <v>57</v>
      </c>
      <c r="AR7" t="s">
        <v>385</v>
      </c>
      <c r="AS7" s="2" t="s">
        <v>838</v>
      </c>
      <c r="AT7" t="s">
        <v>635</v>
      </c>
      <c r="AU7" t="s">
        <v>635</v>
      </c>
      <c r="AV7" t="s">
        <v>635</v>
      </c>
      <c r="AX7" t="s">
        <v>26</v>
      </c>
      <c r="AY7" t="s">
        <v>26</v>
      </c>
      <c r="AZ7" t="s">
        <v>169</v>
      </c>
      <c r="BA7" t="s">
        <v>635</v>
      </c>
    </row>
    <row r="8" spans="1:53" x14ac:dyDescent="0.25">
      <c r="A8" t="s">
        <v>526</v>
      </c>
      <c r="B8" t="s">
        <v>527</v>
      </c>
      <c r="C8" t="s">
        <v>635</v>
      </c>
      <c r="D8" s="2" t="s">
        <v>635</v>
      </c>
      <c r="E8" t="s">
        <v>336</v>
      </c>
      <c r="F8" t="s">
        <v>635</v>
      </c>
      <c r="G8" t="s">
        <v>429</v>
      </c>
      <c r="H8" t="s">
        <v>635</v>
      </c>
      <c r="I8" s="2" t="s">
        <v>635</v>
      </c>
      <c r="J8" t="s">
        <v>635</v>
      </c>
      <c r="L8" t="s">
        <v>528</v>
      </c>
      <c r="M8" t="s">
        <v>56</v>
      </c>
      <c r="N8" t="s">
        <v>635</v>
      </c>
      <c r="O8" t="s">
        <v>635</v>
      </c>
      <c r="P8" t="s">
        <v>635</v>
      </c>
      <c r="Q8">
        <v>2015</v>
      </c>
      <c r="R8">
        <v>1</v>
      </c>
      <c r="S8">
        <v>1</v>
      </c>
      <c r="T8">
        <v>0</v>
      </c>
      <c r="U8" t="s">
        <v>635</v>
      </c>
      <c r="V8" s="2">
        <v>0</v>
      </c>
      <c r="W8" s="2">
        <v>0</v>
      </c>
      <c r="X8">
        <v>0</v>
      </c>
      <c r="Y8" s="2">
        <v>0</v>
      </c>
      <c r="Z8" t="s">
        <v>635</v>
      </c>
      <c r="AA8" t="s">
        <v>11</v>
      </c>
      <c r="AB8" t="s">
        <v>502</v>
      </c>
      <c r="AC8" t="s">
        <v>635</v>
      </c>
      <c r="AD8" t="s">
        <v>78</v>
      </c>
      <c r="AE8" t="s">
        <v>677</v>
      </c>
      <c r="AF8" t="s">
        <v>503</v>
      </c>
      <c r="AG8" t="s">
        <v>635</v>
      </c>
      <c r="AH8" t="s">
        <v>529</v>
      </c>
      <c r="AJ8" s="2" t="s">
        <v>635</v>
      </c>
      <c r="AK8" s="2" t="s">
        <v>635</v>
      </c>
      <c r="AL8" t="s">
        <v>635</v>
      </c>
      <c r="AM8" t="s">
        <v>635</v>
      </c>
      <c r="AN8" t="s">
        <v>635</v>
      </c>
      <c r="AO8" t="s">
        <v>635</v>
      </c>
      <c r="AP8" t="s">
        <v>79</v>
      </c>
      <c r="AQ8" t="s">
        <v>57</v>
      </c>
      <c r="AR8" t="s">
        <v>526</v>
      </c>
      <c r="AS8" s="2" t="s">
        <v>838</v>
      </c>
      <c r="AT8" t="s">
        <v>635</v>
      </c>
      <c r="AU8" t="s">
        <v>635</v>
      </c>
      <c r="AV8" t="s">
        <v>635</v>
      </c>
      <c r="AX8" t="s">
        <v>26</v>
      </c>
      <c r="AY8" t="s">
        <v>26</v>
      </c>
      <c r="AZ8" t="s">
        <v>80</v>
      </c>
      <c r="BA8" t="s">
        <v>635</v>
      </c>
    </row>
    <row r="9" spans="1:53" x14ac:dyDescent="0.25">
      <c r="A9" t="s">
        <v>530</v>
      </c>
      <c r="B9" t="s">
        <v>531</v>
      </c>
      <c r="C9" t="s">
        <v>635</v>
      </c>
      <c r="D9" s="2" t="s">
        <v>635</v>
      </c>
      <c r="E9" t="s">
        <v>336</v>
      </c>
      <c r="F9" t="s">
        <v>635</v>
      </c>
      <c r="G9" t="s">
        <v>429</v>
      </c>
      <c r="H9" t="s">
        <v>635</v>
      </c>
      <c r="I9" s="2" t="s">
        <v>635</v>
      </c>
      <c r="J9" t="s">
        <v>635</v>
      </c>
      <c r="L9" t="s">
        <v>532</v>
      </c>
      <c r="M9" t="s">
        <v>110</v>
      </c>
      <c r="N9" t="s">
        <v>635</v>
      </c>
      <c r="O9" t="s">
        <v>635</v>
      </c>
      <c r="P9" t="s">
        <v>635</v>
      </c>
      <c r="Q9">
        <v>2015</v>
      </c>
      <c r="R9">
        <v>0</v>
      </c>
      <c r="S9">
        <v>1</v>
      </c>
      <c r="T9">
        <v>0</v>
      </c>
      <c r="U9" t="s">
        <v>635</v>
      </c>
      <c r="V9" s="2">
        <v>0</v>
      </c>
      <c r="W9" s="2">
        <v>0</v>
      </c>
      <c r="X9">
        <v>0</v>
      </c>
      <c r="Y9" s="2">
        <v>0</v>
      </c>
      <c r="Z9" t="s">
        <v>635</v>
      </c>
      <c r="AA9" t="s">
        <v>11</v>
      </c>
      <c r="AB9" t="s">
        <v>502</v>
      </c>
      <c r="AC9" t="s">
        <v>635</v>
      </c>
      <c r="AD9" t="s">
        <v>108</v>
      </c>
      <c r="AE9" t="s">
        <v>533</v>
      </c>
      <c r="AF9" t="s">
        <v>534</v>
      </c>
      <c r="AG9" t="s">
        <v>635</v>
      </c>
      <c r="AH9" t="s">
        <v>535</v>
      </c>
      <c r="AJ9" s="2" t="s">
        <v>635</v>
      </c>
      <c r="AK9" s="2" t="s">
        <v>635</v>
      </c>
      <c r="AL9" t="s">
        <v>536</v>
      </c>
      <c r="AM9" t="s">
        <v>635</v>
      </c>
      <c r="AN9" t="s">
        <v>635</v>
      </c>
      <c r="AO9" t="s">
        <v>635</v>
      </c>
      <c r="AP9" t="s">
        <v>106</v>
      </c>
      <c r="AQ9" t="s">
        <v>57</v>
      </c>
      <c r="AR9" t="s">
        <v>530</v>
      </c>
      <c r="AS9" s="2" t="s">
        <v>838</v>
      </c>
      <c r="AT9" t="s">
        <v>635</v>
      </c>
      <c r="AU9" t="s">
        <v>635</v>
      </c>
      <c r="AV9" t="s">
        <v>635</v>
      </c>
      <c r="AX9" t="s">
        <v>26</v>
      </c>
      <c r="AY9" t="s">
        <v>26</v>
      </c>
      <c r="AZ9" t="s">
        <v>109</v>
      </c>
      <c r="BA9" t="s">
        <v>635</v>
      </c>
    </row>
    <row r="10" spans="1:53" x14ac:dyDescent="0.25">
      <c r="A10" t="s">
        <v>537</v>
      </c>
      <c r="B10" t="s">
        <v>538</v>
      </c>
      <c r="C10" t="s">
        <v>635</v>
      </c>
      <c r="D10" s="2" t="s">
        <v>635</v>
      </c>
      <c r="E10" t="s">
        <v>336</v>
      </c>
      <c r="F10" t="s">
        <v>635</v>
      </c>
      <c r="G10" t="s">
        <v>429</v>
      </c>
      <c r="H10" t="s">
        <v>635</v>
      </c>
      <c r="I10" s="2" t="s">
        <v>635</v>
      </c>
      <c r="J10" t="s">
        <v>635</v>
      </c>
      <c r="L10" t="s">
        <v>539</v>
      </c>
      <c r="M10" t="s">
        <v>56</v>
      </c>
      <c r="N10" t="s">
        <v>635</v>
      </c>
      <c r="O10" t="s">
        <v>635</v>
      </c>
      <c r="P10" t="s">
        <v>635</v>
      </c>
      <c r="Q10">
        <v>2015</v>
      </c>
      <c r="R10">
        <v>1</v>
      </c>
      <c r="S10">
        <v>1</v>
      </c>
      <c r="T10">
        <v>0</v>
      </c>
      <c r="U10" t="s">
        <v>635</v>
      </c>
      <c r="V10" s="2">
        <v>0</v>
      </c>
      <c r="W10" s="2">
        <v>0</v>
      </c>
      <c r="X10">
        <v>0</v>
      </c>
      <c r="Y10" s="2">
        <v>0</v>
      </c>
      <c r="Z10" t="s">
        <v>635</v>
      </c>
      <c r="AA10" t="s">
        <v>11</v>
      </c>
      <c r="AB10" t="s">
        <v>502</v>
      </c>
      <c r="AC10" t="s">
        <v>635</v>
      </c>
      <c r="AD10" t="s">
        <v>53</v>
      </c>
      <c r="AE10" t="s">
        <v>679</v>
      </c>
      <c r="AF10" t="s">
        <v>635</v>
      </c>
      <c r="AG10" t="s">
        <v>635</v>
      </c>
      <c r="AH10" t="s">
        <v>540</v>
      </c>
      <c r="AJ10" s="2" t="s">
        <v>635</v>
      </c>
      <c r="AK10" s="2" t="s">
        <v>635</v>
      </c>
      <c r="AL10" t="s">
        <v>536</v>
      </c>
      <c r="AM10" t="s">
        <v>635</v>
      </c>
      <c r="AN10" t="s">
        <v>635</v>
      </c>
      <c r="AO10" t="s">
        <v>635</v>
      </c>
      <c r="AP10" t="s">
        <v>54</v>
      </c>
      <c r="AQ10" t="s">
        <v>57</v>
      </c>
      <c r="AR10" t="s">
        <v>537</v>
      </c>
      <c r="AS10" s="2" t="s">
        <v>838</v>
      </c>
      <c r="AT10" t="s">
        <v>635</v>
      </c>
      <c r="AU10" t="s">
        <v>635</v>
      </c>
      <c r="AV10" t="s">
        <v>635</v>
      </c>
      <c r="AX10" t="s">
        <v>26</v>
      </c>
      <c r="AY10" t="s">
        <v>26</v>
      </c>
      <c r="AZ10" t="s">
        <v>55</v>
      </c>
      <c r="BA10" t="s">
        <v>635</v>
      </c>
    </row>
    <row r="11" spans="1:53" x14ac:dyDescent="0.25">
      <c r="A11" t="s">
        <v>541</v>
      </c>
      <c r="B11" t="s">
        <v>542</v>
      </c>
      <c r="C11" t="s">
        <v>635</v>
      </c>
      <c r="D11" s="2" t="s">
        <v>635</v>
      </c>
      <c r="E11" t="s">
        <v>336</v>
      </c>
      <c r="F11" t="s">
        <v>635</v>
      </c>
      <c r="G11" t="s">
        <v>429</v>
      </c>
      <c r="H11" t="s">
        <v>635</v>
      </c>
      <c r="I11" s="2" t="s">
        <v>635</v>
      </c>
      <c r="J11" t="s">
        <v>635</v>
      </c>
      <c r="L11" t="s">
        <v>543</v>
      </c>
      <c r="M11" t="s">
        <v>110</v>
      </c>
      <c r="N11" t="s">
        <v>635</v>
      </c>
      <c r="O11" t="s">
        <v>635</v>
      </c>
      <c r="P11" t="s">
        <v>635</v>
      </c>
      <c r="Q11">
        <v>2015</v>
      </c>
      <c r="R11">
        <v>0</v>
      </c>
      <c r="S11">
        <v>1</v>
      </c>
      <c r="T11">
        <v>0</v>
      </c>
      <c r="U11" t="s">
        <v>635</v>
      </c>
      <c r="V11" s="2">
        <v>0</v>
      </c>
      <c r="W11" s="2">
        <v>0</v>
      </c>
      <c r="X11">
        <v>0</v>
      </c>
      <c r="Y11" s="2">
        <v>0</v>
      </c>
      <c r="Z11" t="s">
        <v>635</v>
      </c>
      <c r="AA11" t="s">
        <v>11</v>
      </c>
      <c r="AB11" t="s">
        <v>502</v>
      </c>
      <c r="AC11" t="s">
        <v>635</v>
      </c>
      <c r="AD11" t="s">
        <v>170</v>
      </c>
      <c r="AE11" t="s">
        <v>678</v>
      </c>
      <c r="AF11" t="s">
        <v>635</v>
      </c>
      <c r="AG11" t="s">
        <v>635</v>
      </c>
      <c r="AH11" t="s">
        <v>544</v>
      </c>
      <c r="AJ11" s="2" t="s">
        <v>635</v>
      </c>
      <c r="AK11" s="2" t="s">
        <v>635</v>
      </c>
      <c r="AL11" t="s">
        <v>635</v>
      </c>
      <c r="AM11" t="s">
        <v>635</v>
      </c>
      <c r="AN11" t="s">
        <v>635</v>
      </c>
      <c r="AO11" t="s">
        <v>635</v>
      </c>
      <c r="AP11" t="s">
        <v>166</v>
      </c>
      <c r="AQ11" t="s">
        <v>57</v>
      </c>
      <c r="AR11" t="s">
        <v>541</v>
      </c>
      <c r="AS11" s="2" t="s">
        <v>838</v>
      </c>
      <c r="AT11" t="s">
        <v>635</v>
      </c>
      <c r="AU11" t="s">
        <v>635</v>
      </c>
      <c r="AV11" t="s">
        <v>635</v>
      </c>
      <c r="AX11" t="s">
        <v>26</v>
      </c>
      <c r="AY11" t="s">
        <v>26</v>
      </c>
      <c r="AZ11" t="s">
        <v>171</v>
      </c>
      <c r="BA11" t="s">
        <v>635</v>
      </c>
    </row>
    <row r="12" spans="1:53" x14ac:dyDescent="0.25">
      <c r="A12" t="s">
        <v>554</v>
      </c>
      <c r="B12" t="s">
        <v>555</v>
      </c>
      <c r="C12" t="s">
        <v>635</v>
      </c>
      <c r="D12" s="2" t="s">
        <v>635</v>
      </c>
      <c r="E12" t="s">
        <v>336</v>
      </c>
      <c r="F12" t="s">
        <v>635</v>
      </c>
      <c r="G12" t="s">
        <v>429</v>
      </c>
      <c r="H12" t="s">
        <v>635</v>
      </c>
      <c r="I12" s="2" t="s">
        <v>635</v>
      </c>
      <c r="J12" t="s">
        <v>635</v>
      </c>
      <c r="L12" t="s">
        <v>556</v>
      </c>
      <c r="M12" t="s">
        <v>56</v>
      </c>
      <c r="N12" t="s">
        <v>635</v>
      </c>
      <c r="O12" t="s">
        <v>635</v>
      </c>
      <c r="P12" t="s">
        <v>635</v>
      </c>
      <c r="Q12">
        <v>2015</v>
      </c>
      <c r="R12">
        <v>1</v>
      </c>
      <c r="S12">
        <v>1</v>
      </c>
      <c r="T12">
        <v>0</v>
      </c>
      <c r="U12" t="s">
        <v>635</v>
      </c>
      <c r="V12" s="2">
        <v>0</v>
      </c>
      <c r="W12" s="2">
        <v>0</v>
      </c>
      <c r="X12">
        <v>0</v>
      </c>
      <c r="Y12" s="2">
        <v>0</v>
      </c>
      <c r="Z12" t="s">
        <v>635</v>
      </c>
      <c r="AA12" t="s">
        <v>11</v>
      </c>
      <c r="AB12" t="s">
        <v>502</v>
      </c>
      <c r="AC12" t="s">
        <v>635</v>
      </c>
      <c r="AD12" t="s">
        <v>81</v>
      </c>
      <c r="AE12" t="s">
        <v>681</v>
      </c>
      <c r="AF12" t="s">
        <v>557</v>
      </c>
      <c r="AG12" t="s">
        <v>635</v>
      </c>
      <c r="AH12" t="s">
        <v>558</v>
      </c>
      <c r="AJ12" s="2" t="s">
        <v>635</v>
      </c>
      <c r="AK12" s="2" t="s">
        <v>635</v>
      </c>
      <c r="AL12" t="s">
        <v>635</v>
      </c>
      <c r="AM12" t="s">
        <v>635</v>
      </c>
      <c r="AN12" t="s">
        <v>635</v>
      </c>
      <c r="AO12" t="s">
        <v>635</v>
      </c>
      <c r="AP12" t="s">
        <v>82</v>
      </c>
      <c r="AQ12" t="s">
        <v>57</v>
      </c>
      <c r="AR12" t="s">
        <v>554</v>
      </c>
      <c r="AS12" s="2" t="s">
        <v>838</v>
      </c>
      <c r="AT12" t="s">
        <v>635</v>
      </c>
      <c r="AU12" t="s">
        <v>635</v>
      </c>
      <c r="AV12" t="s">
        <v>635</v>
      </c>
      <c r="AX12" t="s">
        <v>26</v>
      </c>
      <c r="AY12" t="s">
        <v>26</v>
      </c>
      <c r="AZ12" t="s">
        <v>83</v>
      </c>
      <c r="BA12" t="s">
        <v>635</v>
      </c>
    </row>
    <row r="13" spans="1:53" x14ac:dyDescent="0.25">
      <c r="A13" t="s">
        <v>559</v>
      </c>
      <c r="B13" t="s">
        <v>560</v>
      </c>
      <c r="C13" t="s">
        <v>635</v>
      </c>
      <c r="D13" s="2" t="s">
        <v>635</v>
      </c>
      <c r="E13" t="s">
        <v>336</v>
      </c>
      <c r="F13" t="s">
        <v>635</v>
      </c>
      <c r="G13" t="s">
        <v>429</v>
      </c>
      <c r="H13" t="s">
        <v>635</v>
      </c>
      <c r="I13" s="2" t="s">
        <v>635</v>
      </c>
      <c r="J13" t="s">
        <v>635</v>
      </c>
      <c r="L13" t="s">
        <v>561</v>
      </c>
      <c r="M13" t="s">
        <v>56</v>
      </c>
      <c r="N13" t="s">
        <v>635</v>
      </c>
      <c r="O13" t="s">
        <v>635</v>
      </c>
      <c r="P13" t="s">
        <v>635</v>
      </c>
      <c r="Q13">
        <v>2015</v>
      </c>
      <c r="R13">
        <v>1</v>
      </c>
      <c r="S13">
        <v>1</v>
      </c>
      <c r="T13">
        <v>0</v>
      </c>
      <c r="U13" t="s">
        <v>635</v>
      </c>
      <c r="V13" s="2">
        <v>0</v>
      </c>
      <c r="W13" s="2">
        <v>0</v>
      </c>
      <c r="X13">
        <v>0</v>
      </c>
      <c r="Y13" s="2">
        <v>0</v>
      </c>
      <c r="Z13" t="s">
        <v>635</v>
      </c>
      <c r="AA13" t="s">
        <v>11</v>
      </c>
      <c r="AB13" t="s">
        <v>502</v>
      </c>
      <c r="AC13" t="s">
        <v>635</v>
      </c>
      <c r="AD13" t="s">
        <v>93</v>
      </c>
      <c r="AE13" t="s">
        <v>682</v>
      </c>
      <c r="AF13" t="s">
        <v>503</v>
      </c>
      <c r="AG13" t="s">
        <v>635</v>
      </c>
      <c r="AH13" t="s">
        <v>562</v>
      </c>
      <c r="AJ13" s="2" t="s">
        <v>635</v>
      </c>
      <c r="AK13" s="2" t="s">
        <v>635</v>
      </c>
      <c r="AL13" t="s">
        <v>635</v>
      </c>
      <c r="AM13" t="s">
        <v>635</v>
      </c>
      <c r="AN13" t="s">
        <v>635</v>
      </c>
      <c r="AO13" t="s">
        <v>635</v>
      </c>
      <c r="AP13" t="s">
        <v>94</v>
      </c>
      <c r="AQ13" t="s">
        <v>57</v>
      </c>
      <c r="AR13" t="s">
        <v>559</v>
      </c>
      <c r="AS13" s="2" t="s">
        <v>838</v>
      </c>
      <c r="AT13" t="s">
        <v>635</v>
      </c>
      <c r="AU13" t="s">
        <v>635</v>
      </c>
      <c r="AV13" t="s">
        <v>635</v>
      </c>
      <c r="AX13" t="s">
        <v>26</v>
      </c>
      <c r="AY13" t="s">
        <v>26</v>
      </c>
      <c r="AZ13" t="s">
        <v>95</v>
      </c>
      <c r="BA13" t="s">
        <v>635</v>
      </c>
    </row>
    <row r="14" spans="1:53" x14ac:dyDescent="0.25">
      <c r="A14" t="s">
        <v>545</v>
      </c>
      <c r="B14" t="s">
        <v>546</v>
      </c>
      <c r="C14" t="s">
        <v>635</v>
      </c>
      <c r="D14" s="2" t="s">
        <v>635</v>
      </c>
      <c r="E14" t="s">
        <v>336</v>
      </c>
      <c r="F14" t="s">
        <v>635</v>
      </c>
      <c r="G14" t="s">
        <v>330</v>
      </c>
      <c r="H14" t="s">
        <v>7</v>
      </c>
      <c r="I14" s="2" t="s">
        <v>635</v>
      </c>
      <c r="J14" t="s">
        <v>7</v>
      </c>
      <c r="K14">
        <v>17</v>
      </c>
      <c r="L14" t="s">
        <v>635</v>
      </c>
      <c r="M14" t="s">
        <v>35</v>
      </c>
      <c r="N14" t="s">
        <v>635</v>
      </c>
      <c r="O14" t="s">
        <v>635</v>
      </c>
      <c r="P14" t="s">
        <v>635</v>
      </c>
      <c r="Q14">
        <v>2015</v>
      </c>
      <c r="R14">
        <v>1</v>
      </c>
      <c r="S14">
        <v>1</v>
      </c>
      <c r="T14">
        <v>0</v>
      </c>
      <c r="U14" t="s">
        <v>635</v>
      </c>
      <c r="V14" s="2">
        <v>0</v>
      </c>
      <c r="W14" s="2">
        <v>0</v>
      </c>
      <c r="X14">
        <v>1</v>
      </c>
      <c r="Y14" s="2">
        <v>0</v>
      </c>
      <c r="Z14" t="s">
        <v>635</v>
      </c>
      <c r="AA14" t="s">
        <v>11</v>
      </c>
      <c r="AB14" t="s">
        <v>497</v>
      </c>
      <c r="AC14" t="s">
        <v>635</v>
      </c>
      <c r="AD14" t="s">
        <v>29</v>
      </c>
      <c r="AE14" t="s">
        <v>666</v>
      </c>
      <c r="AF14" t="s">
        <v>635</v>
      </c>
      <c r="AG14" t="s">
        <v>635</v>
      </c>
      <c r="AH14" t="s">
        <v>635</v>
      </c>
      <c r="AI14">
        <v>1</v>
      </c>
      <c r="AJ14" s="2" t="s">
        <v>635</v>
      </c>
      <c r="AK14" s="2" t="s">
        <v>635</v>
      </c>
      <c r="AL14" t="s">
        <v>635</v>
      </c>
      <c r="AM14" t="s">
        <v>1082</v>
      </c>
      <c r="AN14" t="s">
        <v>547</v>
      </c>
      <c r="AO14" t="s">
        <v>635</v>
      </c>
      <c r="AP14" t="s">
        <v>30</v>
      </c>
      <c r="AQ14" t="s">
        <v>635</v>
      </c>
      <c r="AR14" t="s">
        <v>635</v>
      </c>
      <c r="AS14" s="2" t="s">
        <v>838</v>
      </c>
      <c r="AT14" t="s">
        <v>29</v>
      </c>
      <c r="AU14" t="s">
        <v>635</v>
      </c>
      <c r="AV14" t="s">
        <v>33</v>
      </c>
      <c r="AW14">
        <v>1</v>
      </c>
      <c r="AX14" t="s">
        <v>32</v>
      </c>
      <c r="AY14" t="s">
        <v>31</v>
      </c>
      <c r="AZ14" t="s">
        <v>34</v>
      </c>
      <c r="BA14" t="s">
        <v>635</v>
      </c>
    </row>
    <row r="15" spans="1:53" x14ac:dyDescent="0.25">
      <c r="A15" t="s">
        <v>522</v>
      </c>
      <c r="B15" t="s">
        <v>523</v>
      </c>
      <c r="C15" t="s">
        <v>635</v>
      </c>
      <c r="D15" s="2" t="s">
        <v>635</v>
      </c>
      <c r="E15" t="s">
        <v>336</v>
      </c>
      <c r="F15" t="s">
        <v>635</v>
      </c>
      <c r="G15" t="s">
        <v>330</v>
      </c>
      <c r="H15" t="s">
        <v>64</v>
      </c>
      <c r="I15" s="2" t="s">
        <v>635</v>
      </c>
      <c r="J15" t="s">
        <v>64</v>
      </c>
      <c r="K15">
        <v>56</v>
      </c>
      <c r="L15" t="s">
        <v>635</v>
      </c>
      <c r="M15" t="s">
        <v>35</v>
      </c>
      <c r="N15" t="s">
        <v>635</v>
      </c>
      <c r="O15" t="s">
        <v>635</v>
      </c>
      <c r="P15" t="s">
        <v>635</v>
      </c>
      <c r="Q15">
        <v>2015</v>
      </c>
      <c r="R15">
        <v>1</v>
      </c>
      <c r="S15">
        <v>1</v>
      </c>
      <c r="T15">
        <v>0</v>
      </c>
      <c r="U15" t="s">
        <v>635</v>
      </c>
      <c r="V15" s="2">
        <v>0</v>
      </c>
      <c r="W15" s="2">
        <v>0</v>
      </c>
      <c r="X15">
        <v>1</v>
      </c>
      <c r="Y15" s="2">
        <v>0</v>
      </c>
      <c r="Z15" t="s">
        <v>635</v>
      </c>
      <c r="AA15" t="s">
        <v>11</v>
      </c>
      <c r="AB15" t="s">
        <v>497</v>
      </c>
      <c r="AC15" t="s">
        <v>635</v>
      </c>
      <c r="AD15" t="s">
        <v>62</v>
      </c>
      <c r="AE15" t="s">
        <v>678</v>
      </c>
      <c r="AF15" t="s">
        <v>635</v>
      </c>
      <c r="AG15" t="s">
        <v>635</v>
      </c>
      <c r="AH15" t="s">
        <v>635</v>
      </c>
      <c r="AI15">
        <v>1</v>
      </c>
      <c r="AJ15" s="2" t="s">
        <v>635</v>
      </c>
      <c r="AK15" s="2" t="s">
        <v>635</v>
      </c>
      <c r="AL15" t="s">
        <v>635</v>
      </c>
      <c r="AM15" t="s">
        <v>1080</v>
      </c>
      <c r="AN15" t="s">
        <v>1081</v>
      </c>
      <c r="AO15" t="s">
        <v>635</v>
      </c>
      <c r="AP15" t="s">
        <v>63</v>
      </c>
      <c r="AQ15" t="s">
        <v>635</v>
      </c>
      <c r="AR15" t="s">
        <v>635</v>
      </c>
      <c r="AS15" s="2" t="s">
        <v>838</v>
      </c>
      <c r="AT15" t="s">
        <v>62</v>
      </c>
      <c r="AU15" t="s">
        <v>635</v>
      </c>
      <c r="AV15" t="s">
        <v>635</v>
      </c>
      <c r="AW15">
        <v>1</v>
      </c>
      <c r="AX15" t="s">
        <v>65</v>
      </c>
      <c r="AY15" t="s">
        <v>31</v>
      </c>
      <c r="AZ15" t="s">
        <v>66</v>
      </c>
      <c r="BA15" t="s">
        <v>635</v>
      </c>
    </row>
    <row r="16" spans="1:53" x14ac:dyDescent="0.25">
      <c r="A16" t="s">
        <v>552</v>
      </c>
      <c r="B16" t="s">
        <v>553</v>
      </c>
      <c r="C16" t="s">
        <v>635</v>
      </c>
      <c r="D16" s="2" t="s">
        <v>635</v>
      </c>
      <c r="E16" t="s">
        <v>336</v>
      </c>
      <c r="F16" t="s">
        <v>635</v>
      </c>
      <c r="G16" t="s">
        <v>330</v>
      </c>
      <c r="H16" t="s">
        <v>7</v>
      </c>
      <c r="I16" s="2" t="s">
        <v>635</v>
      </c>
      <c r="J16" t="s">
        <v>7</v>
      </c>
      <c r="K16">
        <v>21</v>
      </c>
      <c r="L16" t="s">
        <v>635</v>
      </c>
      <c r="M16" t="s">
        <v>35</v>
      </c>
      <c r="N16" t="s">
        <v>635</v>
      </c>
      <c r="O16" t="s">
        <v>635</v>
      </c>
      <c r="P16" t="s">
        <v>635</v>
      </c>
      <c r="Q16">
        <v>2015</v>
      </c>
      <c r="R16">
        <v>1</v>
      </c>
      <c r="S16">
        <v>1</v>
      </c>
      <c r="T16">
        <v>0</v>
      </c>
      <c r="U16" t="s">
        <v>635</v>
      </c>
      <c r="V16" s="2">
        <v>0</v>
      </c>
      <c r="W16" s="2">
        <v>0</v>
      </c>
      <c r="X16">
        <v>1</v>
      </c>
      <c r="Y16" s="2">
        <v>0</v>
      </c>
      <c r="Z16" t="s">
        <v>635</v>
      </c>
      <c r="AA16" t="s">
        <v>11</v>
      </c>
      <c r="AB16" t="s">
        <v>497</v>
      </c>
      <c r="AC16" t="s">
        <v>635</v>
      </c>
      <c r="AD16" t="s">
        <v>58</v>
      </c>
      <c r="AE16" t="s">
        <v>655</v>
      </c>
      <c r="AF16" t="s">
        <v>635</v>
      </c>
      <c r="AG16" t="s">
        <v>635</v>
      </c>
      <c r="AH16" t="s">
        <v>635</v>
      </c>
      <c r="AI16">
        <v>1</v>
      </c>
      <c r="AJ16" s="2" t="s">
        <v>635</v>
      </c>
      <c r="AK16" s="2" t="s">
        <v>635</v>
      </c>
      <c r="AL16" t="s">
        <v>635</v>
      </c>
      <c r="AM16" t="s">
        <v>1084</v>
      </c>
      <c r="AN16" t="s">
        <v>1085</v>
      </c>
      <c r="AO16" t="s">
        <v>635</v>
      </c>
      <c r="AP16" t="s">
        <v>59</v>
      </c>
      <c r="AQ16" t="s">
        <v>635</v>
      </c>
      <c r="AR16" t="s">
        <v>635</v>
      </c>
      <c r="AS16" s="2" t="s">
        <v>838</v>
      </c>
      <c r="AT16" t="s">
        <v>58</v>
      </c>
      <c r="AU16" t="s">
        <v>635</v>
      </c>
      <c r="AV16" t="s">
        <v>635</v>
      </c>
      <c r="AW16">
        <v>1</v>
      </c>
      <c r="AX16" t="s">
        <v>60</v>
      </c>
      <c r="AY16" t="s">
        <v>31</v>
      </c>
      <c r="AZ16" t="s">
        <v>61</v>
      </c>
      <c r="BA16" t="s">
        <v>635</v>
      </c>
    </row>
    <row r="17" spans="1:53" x14ac:dyDescent="0.25">
      <c r="A17" t="s">
        <v>515</v>
      </c>
      <c r="B17" t="s">
        <v>516</v>
      </c>
      <c r="C17" t="s">
        <v>635</v>
      </c>
      <c r="D17" s="2" t="s">
        <v>635</v>
      </c>
      <c r="E17" t="s">
        <v>336</v>
      </c>
      <c r="F17" t="s">
        <v>635</v>
      </c>
      <c r="G17" t="s">
        <v>330</v>
      </c>
      <c r="H17" t="s">
        <v>38</v>
      </c>
      <c r="I17" s="2" t="s">
        <v>635</v>
      </c>
      <c r="J17" t="s">
        <v>1078</v>
      </c>
      <c r="K17">
        <v>0</v>
      </c>
      <c r="L17" t="s">
        <v>635</v>
      </c>
      <c r="M17" t="s">
        <v>35</v>
      </c>
      <c r="N17" t="s">
        <v>635</v>
      </c>
      <c r="O17" t="s">
        <v>635</v>
      </c>
      <c r="P17" t="s">
        <v>635</v>
      </c>
      <c r="Q17">
        <v>2015</v>
      </c>
      <c r="R17">
        <v>1</v>
      </c>
      <c r="S17">
        <v>1</v>
      </c>
      <c r="T17">
        <v>0</v>
      </c>
      <c r="U17" t="s">
        <v>635</v>
      </c>
      <c r="V17" s="2">
        <v>0</v>
      </c>
      <c r="W17" s="2">
        <v>0</v>
      </c>
      <c r="X17">
        <v>0</v>
      </c>
      <c r="Y17" s="2">
        <v>0</v>
      </c>
      <c r="Z17" t="s">
        <v>40</v>
      </c>
      <c r="AA17" t="s">
        <v>11</v>
      </c>
      <c r="AB17" t="s">
        <v>497</v>
      </c>
      <c r="AC17" t="s">
        <v>635</v>
      </c>
      <c r="AD17" t="s">
        <v>36</v>
      </c>
      <c r="AE17" t="s">
        <v>677</v>
      </c>
      <c r="AF17" t="s">
        <v>635</v>
      </c>
      <c r="AG17" t="s">
        <v>635</v>
      </c>
      <c r="AH17" t="s">
        <v>635</v>
      </c>
      <c r="AI17">
        <v>1</v>
      </c>
      <c r="AJ17" s="2" t="s">
        <v>635</v>
      </c>
      <c r="AK17" s="2" t="s">
        <v>635</v>
      </c>
      <c r="AL17" t="s">
        <v>635</v>
      </c>
      <c r="AM17" t="s">
        <v>1079</v>
      </c>
      <c r="AN17" t="s">
        <v>517</v>
      </c>
      <c r="AO17" t="s">
        <v>635</v>
      </c>
      <c r="AP17" t="s">
        <v>37</v>
      </c>
      <c r="AQ17" t="s">
        <v>635</v>
      </c>
      <c r="AR17" t="s">
        <v>635</v>
      </c>
      <c r="AS17" s="2" t="s">
        <v>838</v>
      </c>
      <c r="AT17" t="s">
        <v>36</v>
      </c>
      <c r="AU17" t="s">
        <v>635</v>
      </c>
      <c r="AV17" t="s">
        <v>41</v>
      </c>
      <c r="AW17">
        <v>1</v>
      </c>
      <c r="AX17" t="s">
        <v>39</v>
      </c>
      <c r="AY17" t="s">
        <v>31</v>
      </c>
      <c r="AZ17" t="s">
        <v>42</v>
      </c>
      <c r="BA17" t="s">
        <v>635</v>
      </c>
    </row>
    <row r="18" spans="1:53" x14ac:dyDescent="0.25">
      <c r="A18" t="s">
        <v>495</v>
      </c>
      <c r="B18" t="s">
        <v>496</v>
      </c>
      <c r="C18" t="s">
        <v>635</v>
      </c>
      <c r="D18" s="2" t="s">
        <v>635</v>
      </c>
      <c r="E18" t="s">
        <v>336</v>
      </c>
      <c r="F18" t="s">
        <v>329</v>
      </c>
      <c r="G18" t="s">
        <v>330</v>
      </c>
      <c r="H18" t="s">
        <v>175</v>
      </c>
      <c r="I18" s="2" t="s">
        <v>635</v>
      </c>
      <c r="J18" t="s">
        <v>175</v>
      </c>
      <c r="K18">
        <v>83</v>
      </c>
      <c r="L18" t="s">
        <v>635</v>
      </c>
      <c r="M18" t="s">
        <v>13</v>
      </c>
      <c r="N18" t="s">
        <v>635</v>
      </c>
      <c r="O18" t="s">
        <v>635</v>
      </c>
      <c r="P18" t="s">
        <v>635</v>
      </c>
      <c r="Q18">
        <v>2003</v>
      </c>
      <c r="R18">
        <v>0</v>
      </c>
      <c r="S18">
        <v>1</v>
      </c>
      <c r="T18">
        <v>1</v>
      </c>
      <c r="U18" t="s">
        <v>635</v>
      </c>
      <c r="V18" s="2">
        <v>0</v>
      </c>
      <c r="W18" s="2">
        <v>0</v>
      </c>
      <c r="X18">
        <v>1</v>
      </c>
      <c r="Y18" s="2">
        <v>0</v>
      </c>
      <c r="Z18" t="s">
        <v>635</v>
      </c>
      <c r="AA18" t="s">
        <v>11</v>
      </c>
      <c r="AB18" t="s">
        <v>497</v>
      </c>
      <c r="AC18" t="s">
        <v>635</v>
      </c>
      <c r="AD18" t="s">
        <v>226</v>
      </c>
      <c r="AE18" t="s">
        <v>671</v>
      </c>
      <c r="AF18" t="s">
        <v>635</v>
      </c>
      <c r="AG18" t="s">
        <v>635</v>
      </c>
      <c r="AH18" t="s">
        <v>635</v>
      </c>
      <c r="AI18">
        <v>2</v>
      </c>
      <c r="AJ18" s="2" t="s">
        <v>635</v>
      </c>
      <c r="AK18" s="2" t="s">
        <v>635</v>
      </c>
      <c r="AL18" t="s">
        <v>498</v>
      </c>
      <c r="AM18" t="s">
        <v>1076</v>
      </c>
      <c r="AN18" t="s">
        <v>1077</v>
      </c>
      <c r="AO18" t="s">
        <v>635</v>
      </c>
      <c r="AP18" t="s">
        <v>227</v>
      </c>
      <c r="AQ18" t="s">
        <v>635</v>
      </c>
      <c r="AR18" t="s">
        <v>635</v>
      </c>
      <c r="AS18" s="2" t="s">
        <v>838</v>
      </c>
      <c r="AT18" t="s">
        <v>226</v>
      </c>
      <c r="AU18" t="s">
        <v>635</v>
      </c>
      <c r="AV18" t="s">
        <v>635</v>
      </c>
      <c r="AW18">
        <v>2</v>
      </c>
      <c r="AX18" t="s">
        <v>228</v>
      </c>
      <c r="AY18" t="s">
        <v>31</v>
      </c>
      <c r="AZ18" t="s">
        <v>229</v>
      </c>
      <c r="BA18" t="s">
        <v>635</v>
      </c>
    </row>
    <row r="19" spans="1:53" x14ac:dyDescent="0.25">
      <c r="A19" t="s">
        <v>548</v>
      </c>
      <c r="B19" t="s">
        <v>549</v>
      </c>
      <c r="C19" t="s">
        <v>635</v>
      </c>
      <c r="D19" s="2" t="s">
        <v>635</v>
      </c>
      <c r="E19" t="s">
        <v>336</v>
      </c>
      <c r="F19" t="s">
        <v>329</v>
      </c>
      <c r="G19" t="s">
        <v>330</v>
      </c>
      <c r="H19" t="s">
        <v>7</v>
      </c>
      <c r="I19" s="2" t="s">
        <v>635</v>
      </c>
      <c r="J19" t="s">
        <v>7</v>
      </c>
      <c r="K19">
        <v>29</v>
      </c>
      <c r="L19" t="s">
        <v>635</v>
      </c>
      <c r="M19" t="s">
        <v>13</v>
      </c>
      <c r="N19" t="s">
        <v>635</v>
      </c>
      <c r="O19" t="s">
        <v>635</v>
      </c>
      <c r="P19" t="s">
        <v>550</v>
      </c>
      <c r="Q19">
        <v>2015</v>
      </c>
      <c r="R19">
        <v>0</v>
      </c>
      <c r="S19">
        <v>1</v>
      </c>
      <c r="T19">
        <v>0</v>
      </c>
      <c r="U19" t="s">
        <v>635</v>
      </c>
      <c r="V19" s="2">
        <v>0</v>
      </c>
      <c r="W19" s="2">
        <v>0</v>
      </c>
      <c r="X19">
        <v>0</v>
      </c>
      <c r="Y19" s="2">
        <v>0</v>
      </c>
      <c r="Z19" t="s">
        <v>184</v>
      </c>
      <c r="AA19" t="s">
        <v>11</v>
      </c>
      <c r="AB19" t="s">
        <v>497</v>
      </c>
      <c r="AC19" t="s">
        <v>635</v>
      </c>
      <c r="AD19" t="s">
        <v>180</v>
      </c>
      <c r="AE19" t="s">
        <v>680</v>
      </c>
      <c r="AF19" t="s">
        <v>635</v>
      </c>
      <c r="AG19" t="s">
        <v>635</v>
      </c>
      <c r="AH19" t="s">
        <v>635</v>
      </c>
      <c r="AI19">
        <v>4</v>
      </c>
      <c r="AJ19" s="2" t="s">
        <v>635</v>
      </c>
      <c r="AK19" s="2" t="s">
        <v>635</v>
      </c>
      <c r="AL19" t="s">
        <v>635</v>
      </c>
      <c r="AM19" t="s">
        <v>1083</v>
      </c>
      <c r="AN19" t="s">
        <v>551</v>
      </c>
      <c r="AO19" t="s">
        <v>635</v>
      </c>
      <c r="AP19" t="s">
        <v>181</v>
      </c>
      <c r="AQ19" t="s">
        <v>635</v>
      </c>
      <c r="AR19" t="s">
        <v>635</v>
      </c>
      <c r="AS19" s="2" t="s">
        <v>838</v>
      </c>
      <c r="AT19" t="s">
        <v>182</v>
      </c>
      <c r="AU19" t="s">
        <v>46</v>
      </c>
      <c r="AV19" t="s">
        <v>184</v>
      </c>
      <c r="AW19">
        <v>4</v>
      </c>
      <c r="AX19" t="s">
        <v>183</v>
      </c>
      <c r="AY19" t="s">
        <v>31</v>
      </c>
      <c r="AZ19" t="s">
        <v>185</v>
      </c>
      <c r="BA19" t="s">
        <v>635</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D4BC-542E-49D8-B02A-56096A905D01}">
  <dimension ref="A1:CD47"/>
  <sheetViews>
    <sheetView tabSelected="1" workbookViewId="0">
      <selection activeCell="B8" sqref="B8"/>
    </sheetView>
  </sheetViews>
  <sheetFormatPr defaultRowHeight="15" x14ac:dyDescent="0.25"/>
  <cols>
    <col min="1" max="1" width="19.42578125" bestFit="1" customWidth="1"/>
    <col min="2" max="2" width="38.140625" bestFit="1" customWidth="1"/>
    <col min="3" max="3" width="12.7109375" bestFit="1" customWidth="1"/>
    <col min="4" max="4" width="17.5703125" bestFit="1" customWidth="1"/>
    <col min="5" max="5" width="18" bestFit="1" customWidth="1"/>
    <col min="6" max="6" width="15.7109375" bestFit="1" customWidth="1"/>
    <col min="7" max="7" width="14.28515625" bestFit="1" customWidth="1"/>
    <col min="8" max="8" width="71.28515625" bestFit="1" customWidth="1"/>
    <col min="9" max="9" width="14.85546875" bestFit="1" customWidth="1"/>
    <col min="10" max="10" width="16" bestFit="1" customWidth="1"/>
    <col min="11" max="11" width="8.85546875" bestFit="1" customWidth="1"/>
    <col min="12" max="12" width="10.7109375" bestFit="1" customWidth="1"/>
    <col min="13" max="13" width="11.85546875" bestFit="1" customWidth="1"/>
    <col min="14" max="14" width="14" bestFit="1" customWidth="1"/>
    <col min="15" max="15" width="18" bestFit="1" customWidth="1"/>
    <col min="16" max="16" width="26.140625" bestFit="1" customWidth="1"/>
    <col min="17" max="17" width="18" bestFit="1" customWidth="1"/>
    <col min="18" max="18" width="17" bestFit="1" customWidth="1"/>
    <col min="19" max="19" width="26.42578125" bestFit="1" customWidth="1"/>
    <col min="20" max="20" width="19.140625" bestFit="1" customWidth="1"/>
    <col min="21" max="21" width="18.28515625" bestFit="1" customWidth="1"/>
    <col min="22" max="22" width="30" bestFit="1" customWidth="1"/>
    <col min="23" max="23" width="81.140625" bestFit="1" customWidth="1"/>
    <col min="24" max="24" width="57.85546875" bestFit="1" customWidth="1"/>
    <col min="25" max="25" width="15.5703125" bestFit="1" customWidth="1"/>
    <col min="26" max="26" width="7.7109375" bestFit="1" customWidth="1"/>
    <col min="27" max="27" width="25.85546875" bestFit="1" customWidth="1"/>
    <col min="28" max="28" width="21.5703125" bestFit="1" customWidth="1"/>
    <col min="29" max="29" width="9.7109375" bestFit="1" customWidth="1"/>
    <col min="30" max="30" width="13.42578125" bestFit="1" customWidth="1"/>
    <col min="31" max="31" width="14.7109375" bestFit="1" customWidth="1"/>
    <col min="32" max="32" width="10.7109375" bestFit="1" customWidth="1"/>
    <col min="33" max="33" width="10.28515625" bestFit="1" customWidth="1"/>
    <col min="34" max="34" width="17.85546875" bestFit="1" customWidth="1"/>
    <col min="35" max="35" width="15" bestFit="1" customWidth="1"/>
    <col min="36" max="36" width="13.85546875" bestFit="1" customWidth="1"/>
    <col min="37" max="37" width="10.7109375" bestFit="1" customWidth="1"/>
    <col min="38" max="38" width="15.5703125" bestFit="1" customWidth="1"/>
    <col min="39" max="39" width="11.5703125" bestFit="1" customWidth="1"/>
    <col min="40" max="40" width="13.42578125" bestFit="1" customWidth="1"/>
    <col min="41" max="41" width="17.85546875" bestFit="1" customWidth="1"/>
    <col min="42" max="42" width="12.42578125" bestFit="1" customWidth="1"/>
    <col min="43" max="43" width="15.85546875" bestFit="1" customWidth="1"/>
    <col min="44" max="44" width="33.42578125" bestFit="1" customWidth="1"/>
    <col min="45" max="45" width="13.140625" bestFit="1" customWidth="1"/>
    <col min="46" max="46" width="9.5703125" bestFit="1" customWidth="1"/>
    <col min="47" max="47" width="49" bestFit="1" customWidth="1"/>
    <col min="48" max="48" width="6.28515625" bestFit="1" customWidth="1"/>
    <col min="49" max="49" width="9.28515625" bestFit="1" customWidth="1"/>
    <col min="50" max="50" width="12.42578125" bestFit="1" customWidth="1"/>
    <col min="51" max="51" width="13.140625" bestFit="1" customWidth="1"/>
    <col min="52" max="52" width="50.85546875" bestFit="1" customWidth="1"/>
    <col min="53" max="53" width="10.28515625" bestFit="1" customWidth="1"/>
    <col min="54" max="54" width="18.140625" bestFit="1" customWidth="1"/>
    <col min="55" max="55" width="21.85546875" bestFit="1" customWidth="1"/>
    <col min="56" max="56" width="81.140625" bestFit="1" customWidth="1"/>
    <col min="57" max="57" width="76.5703125" bestFit="1" customWidth="1"/>
    <col min="58" max="58" width="8.85546875" bestFit="1" customWidth="1"/>
    <col min="59" max="59" width="30" bestFit="1" customWidth="1"/>
    <col min="60" max="60" width="81.140625" bestFit="1" customWidth="1"/>
    <col min="61" max="61" width="33.85546875" bestFit="1" customWidth="1"/>
    <col min="62" max="62" width="81.140625" bestFit="1" customWidth="1"/>
    <col min="63" max="63" width="16.7109375" bestFit="1" customWidth="1"/>
    <col min="64" max="64" width="51.85546875" bestFit="1" customWidth="1"/>
    <col min="65" max="65" width="11.140625" bestFit="1" customWidth="1"/>
    <col min="66" max="66" width="21.5703125" bestFit="1" customWidth="1"/>
    <col min="67" max="67" width="15" bestFit="1" customWidth="1"/>
    <col min="68" max="68" width="16.42578125" bestFit="1" customWidth="1"/>
    <col min="69" max="69" width="11" bestFit="1" customWidth="1"/>
    <col min="70" max="70" width="7.140625" bestFit="1" customWidth="1"/>
    <col min="71" max="71" width="11.7109375" bestFit="1" customWidth="1"/>
    <col min="72" max="73" width="81.140625" bestFit="1" customWidth="1"/>
    <col min="74" max="74" width="18.28515625" bestFit="1" customWidth="1"/>
    <col min="75" max="75" width="13.42578125" bestFit="1" customWidth="1"/>
    <col min="76" max="77" width="81.140625" bestFit="1" customWidth="1"/>
    <col min="78" max="78" width="36" bestFit="1" customWidth="1"/>
    <col min="79" max="79" width="15.85546875" bestFit="1" customWidth="1"/>
    <col min="80" max="80" width="38.140625" bestFit="1" customWidth="1"/>
    <col min="81" max="81" width="81.140625" bestFit="1" customWidth="1"/>
    <col min="82" max="82" width="12.7109375" bestFit="1" customWidth="1"/>
  </cols>
  <sheetData>
    <row r="1" spans="1:82" x14ac:dyDescent="0.25">
      <c r="A1" t="s">
        <v>563</v>
      </c>
      <c r="B1" t="s">
        <v>564</v>
      </c>
      <c r="C1" t="s">
        <v>565</v>
      </c>
      <c r="D1" t="s">
        <v>566</v>
      </c>
      <c r="E1" t="s">
        <v>567</v>
      </c>
      <c r="F1" t="s">
        <v>568</v>
      </c>
      <c r="G1" t="s">
        <v>569</v>
      </c>
      <c r="H1" t="s">
        <v>570</v>
      </c>
      <c r="I1" t="s">
        <v>571</v>
      </c>
      <c r="J1" t="s">
        <v>572</v>
      </c>
      <c r="K1" t="s">
        <v>573</v>
      </c>
      <c r="L1" t="s">
        <v>574</v>
      </c>
      <c r="M1" t="s">
        <v>575</v>
      </c>
      <c r="N1" t="s">
        <v>576</v>
      </c>
      <c r="O1" t="s">
        <v>577</v>
      </c>
      <c r="P1" t="s">
        <v>578</v>
      </c>
      <c r="Q1" t="s">
        <v>579</v>
      </c>
      <c r="R1" t="s">
        <v>580</v>
      </c>
      <c r="S1" t="s">
        <v>581</v>
      </c>
      <c r="T1" t="s">
        <v>821</v>
      </c>
      <c r="U1" t="s">
        <v>582</v>
      </c>
      <c r="V1" t="s">
        <v>583</v>
      </c>
      <c r="W1" t="s">
        <v>584</v>
      </c>
      <c r="X1" t="s">
        <v>585</v>
      </c>
      <c r="Y1" t="s">
        <v>586</v>
      </c>
      <c r="Z1" t="s">
        <v>587</v>
      </c>
      <c r="AA1" t="s">
        <v>588</v>
      </c>
      <c r="AB1" t="s">
        <v>589</v>
      </c>
      <c r="AC1" t="s">
        <v>590</v>
      </c>
      <c r="AD1" t="s">
        <v>591</v>
      </c>
      <c r="AE1" t="s">
        <v>592</v>
      </c>
      <c r="AF1" t="s">
        <v>593</v>
      </c>
      <c r="AG1" t="s">
        <v>594</v>
      </c>
      <c r="AH1" t="s">
        <v>798</v>
      </c>
      <c r="AI1" t="s">
        <v>595</v>
      </c>
      <c r="AJ1" t="s">
        <v>596</v>
      </c>
      <c r="AK1" t="s">
        <v>597</v>
      </c>
      <c r="AL1" t="s">
        <v>598</v>
      </c>
      <c r="AM1" t="s">
        <v>599</v>
      </c>
      <c r="AN1" t="s">
        <v>600</v>
      </c>
      <c r="AO1" t="s">
        <v>601</v>
      </c>
      <c r="AP1" t="s">
        <v>602</v>
      </c>
      <c r="AQ1" t="s">
        <v>603</v>
      </c>
      <c r="AR1" t="s">
        <v>604</v>
      </c>
      <c r="AS1" t="s">
        <v>313</v>
      </c>
      <c r="AT1" t="s">
        <v>605</v>
      </c>
      <c r="AU1" t="s">
        <v>606</v>
      </c>
      <c r="AV1" t="s">
        <v>607</v>
      </c>
      <c r="AW1" t="s">
        <v>608</v>
      </c>
      <c r="AX1" t="s">
        <v>609</v>
      </c>
      <c r="AY1" t="s">
        <v>610</v>
      </c>
      <c r="AZ1" t="s">
        <v>324</v>
      </c>
      <c r="BA1" t="s">
        <v>611</v>
      </c>
      <c r="BB1" t="s">
        <v>612</v>
      </c>
      <c r="BC1" t="s">
        <v>613</v>
      </c>
      <c r="BD1" t="s">
        <v>614</v>
      </c>
      <c r="BE1" t="s">
        <v>615</v>
      </c>
      <c r="BF1" t="s">
        <v>616</v>
      </c>
      <c r="BG1" t="s">
        <v>799</v>
      </c>
      <c r="BH1" t="s">
        <v>800</v>
      </c>
      <c r="BI1" t="s">
        <v>801</v>
      </c>
      <c r="BJ1" t="s">
        <v>617</v>
      </c>
      <c r="BK1" t="s">
        <v>822</v>
      </c>
      <c r="BL1" t="s">
        <v>618</v>
      </c>
      <c r="BM1" t="s">
        <v>619</v>
      </c>
      <c r="BN1" t="s">
        <v>620</v>
      </c>
      <c r="BO1" t="s">
        <v>621</v>
      </c>
      <c r="BP1" t="s">
        <v>622</v>
      </c>
      <c r="BQ1" t="s">
        <v>623</v>
      </c>
      <c r="BR1" t="s">
        <v>624</v>
      </c>
      <c r="BS1" t="s">
        <v>625</v>
      </c>
      <c r="BT1" t="s">
        <v>626</v>
      </c>
      <c r="BU1" t="s">
        <v>627</v>
      </c>
      <c r="BV1" t="s">
        <v>628</v>
      </c>
      <c r="BW1" t="s">
        <v>629</v>
      </c>
      <c r="BX1" t="s">
        <v>630</v>
      </c>
      <c r="BY1" t="s">
        <v>631</v>
      </c>
      <c r="BZ1" t="s">
        <v>632</v>
      </c>
      <c r="CA1" t="s">
        <v>633</v>
      </c>
      <c r="CB1" t="s">
        <v>325</v>
      </c>
      <c r="CC1" t="s">
        <v>823</v>
      </c>
      <c r="CD1" t="s">
        <v>634</v>
      </c>
    </row>
    <row r="2" spans="1:82" x14ac:dyDescent="0.25">
      <c r="A2" s="2" t="s">
        <v>326</v>
      </c>
      <c r="B2" s="2" t="s">
        <v>327</v>
      </c>
      <c r="C2" s="2" t="s">
        <v>635</v>
      </c>
      <c r="D2" s="2" t="s">
        <v>635</v>
      </c>
      <c r="E2" s="2" t="s">
        <v>328</v>
      </c>
      <c r="F2" s="2" t="s">
        <v>329</v>
      </c>
      <c r="G2" s="2" t="s">
        <v>330</v>
      </c>
      <c r="H2" s="2" t="s">
        <v>635</v>
      </c>
      <c r="I2" s="2" t="s">
        <v>18</v>
      </c>
      <c r="J2" s="2" t="s">
        <v>635</v>
      </c>
      <c r="K2" s="2" t="s">
        <v>18</v>
      </c>
      <c r="L2" s="2" t="s">
        <v>635</v>
      </c>
      <c r="M2" s="2" t="s">
        <v>635</v>
      </c>
      <c r="N2">
        <v>8670</v>
      </c>
      <c r="O2">
        <v>22</v>
      </c>
      <c r="Q2" s="2" t="s">
        <v>635</v>
      </c>
      <c r="S2" s="2" t="s">
        <v>635</v>
      </c>
      <c r="T2" s="2" t="s">
        <v>635</v>
      </c>
      <c r="U2" s="2" t="s">
        <v>35</v>
      </c>
      <c r="V2" s="2" t="s">
        <v>635</v>
      </c>
      <c r="W2" s="2" t="s">
        <v>635</v>
      </c>
      <c r="X2" s="2" t="s">
        <v>635</v>
      </c>
      <c r="Y2">
        <v>2015</v>
      </c>
      <c r="AA2" s="2" t="s">
        <v>635</v>
      </c>
      <c r="AB2" s="2" t="s">
        <v>635</v>
      </c>
      <c r="AC2">
        <v>1</v>
      </c>
      <c r="AD2">
        <v>1</v>
      </c>
      <c r="AF2">
        <v>0</v>
      </c>
      <c r="AH2">
        <v>0</v>
      </c>
      <c r="AI2">
        <v>0</v>
      </c>
      <c r="AJ2">
        <v>0</v>
      </c>
      <c r="AK2">
        <v>0</v>
      </c>
      <c r="AM2">
        <v>0</v>
      </c>
      <c r="AN2">
        <v>0</v>
      </c>
      <c r="AO2">
        <v>0</v>
      </c>
      <c r="AP2">
        <v>0</v>
      </c>
      <c r="AR2" s="2" t="s">
        <v>635</v>
      </c>
      <c r="AS2" s="2" t="s">
        <v>11</v>
      </c>
      <c r="AT2" s="2" t="s">
        <v>331</v>
      </c>
      <c r="AU2" s="2" t="s">
        <v>635</v>
      </c>
      <c r="AV2" s="2" t="s">
        <v>635</v>
      </c>
      <c r="AW2" s="2" t="s">
        <v>635</v>
      </c>
      <c r="AX2" s="2" t="s">
        <v>163</v>
      </c>
      <c r="AY2" s="2" t="s">
        <v>828</v>
      </c>
      <c r="AZ2" s="2" t="s">
        <v>161</v>
      </c>
      <c r="BA2" s="2" t="s">
        <v>636</v>
      </c>
      <c r="BC2" s="1"/>
      <c r="BD2" s="2" t="s">
        <v>1091</v>
      </c>
      <c r="BE2" s="2" t="s">
        <v>635</v>
      </c>
      <c r="BG2" s="2" t="s">
        <v>635</v>
      </c>
      <c r="BH2" s="2" t="s">
        <v>635</v>
      </c>
      <c r="BI2" s="2" t="s">
        <v>635</v>
      </c>
      <c r="BJ2" s="2" t="s">
        <v>332</v>
      </c>
      <c r="BK2" s="2" t="s">
        <v>635</v>
      </c>
      <c r="BL2" s="2" t="s">
        <v>635</v>
      </c>
      <c r="BM2" s="2" t="s">
        <v>52</v>
      </c>
      <c r="BN2" s="2" t="s">
        <v>635</v>
      </c>
      <c r="BO2" s="2" t="s">
        <v>635</v>
      </c>
      <c r="BP2" s="2" t="s">
        <v>333</v>
      </c>
      <c r="BQ2" s="2" t="s">
        <v>162</v>
      </c>
      <c r="BR2" s="2" t="s">
        <v>635</v>
      </c>
      <c r="BS2" s="2" t="s">
        <v>635</v>
      </c>
      <c r="BT2" s="2" t="s">
        <v>831</v>
      </c>
      <c r="BU2" s="2" t="s">
        <v>635</v>
      </c>
      <c r="BV2" s="2" t="s">
        <v>635</v>
      </c>
      <c r="BW2" s="2" t="s">
        <v>635</v>
      </c>
      <c r="BX2" s="2" t="s">
        <v>1091</v>
      </c>
      <c r="BY2" s="2" t="s">
        <v>635</v>
      </c>
      <c r="BZ2" s="2" t="s">
        <v>136</v>
      </c>
      <c r="CA2" s="2" t="s">
        <v>136</v>
      </c>
      <c r="CB2" s="2" t="s">
        <v>164</v>
      </c>
      <c r="CC2" s="2" t="s">
        <v>832</v>
      </c>
      <c r="CD2" s="2" t="s">
        <v>635</v>
      </c>
    </row>
    <row r="3" spans="1:82" x14ac:dyDescent="0.25">
      <c r="A3" s="2" t="s">
        <v>334</v>
      </c>
      <c r="B3" s="2" t="s">
        <v>335</v>
      </c>
      <c r="C3" s="2" t="s">
        <v>635</v>
      </c>
      <c r="D3" s="2" t="s">
        <v>635</v>
      </c>
      <c r="E3" s="2" t="s">
        <v>336</v>
      </c>
      <c r="F3" s="2" t="s">
        <v>329</v>
      </c>
      <c r="G3" s="2" t="s">
        <v>330</v>
      </c>
      <c r="H3" s="2" t="s">
        <v>635</v>
      </c>
      <c r="I3" s="2" t="s">
        <v>18</v>
      </c>
      <c r="J3" s="2" t="s">
        <v>635</v>
      </c>
      <c r="K3" s="2" t="s">
        <v>18</v>
      </c>
      <c r="L3" s="2" t="s">
        <v>635</v>
      </c>
      <c r="M3" s="2" t="s">
        <v>635</v>
      </c>
      <c r="N3">
        <v>13450</v>
      </c>
      <c r="O3">
        <v>29</v>
      </c>
      <c r="Q3" s="2" t="s">
        <v>635</v>
      </c>
      <c r="S3" s="2" t="s">
        <v>635</v>
      </c>
      <c r="T3" s="2" t="s">
        <v>635</v>
      </c>
      <c r="U3" s="2" t="s">
        <v>13</v>
      </c>
      <c r="V3" s="2" t="s">
        <v>635</v>
      </c>
      <c r="W3" s="2" t="s">
        <v>337</v>
      </c>
      <c r="X3" s="2" t="s">
        <v>635</v>
      </c>
      <c r="Y3">
        <v>2015</v>
      </c>
      <c r="AA3" s="2" t="s">
        <v>635</v>
      </c>
      <c r="AB3" s="2" t="s">
        <v>635</v>
      </c>
      <c r="AC3">
        <v>0</v>
      </c>
      <c r="AD3">
        <v>1</v>
      </c>
      <c r="AF3">
        <v>0</v>
      </c>
      <c r="AH3">
        <v>0</v>
      </c>
      <c r="AI3">
        <v>0</v>
      </c>
      <c r="AJ3">
        <v>0</v>
      </c>
      <c r="AK3">
        <v>0</v>
      </c>
      <c r="AM3">
        <v>1</v>
      </c>
      <c r="AN3">
        <v>0</v>
      </c>
      <c r="AO3">
        <v>0</v>
      </c>
      <c r="AP3">
        <v>0</v>
      </c>
      <c r="AR3" s="2" t="s">
        <v>132</v>
      </c>
      <c r="AS3" s="2" t="s">
        <v>11</v>
      </c>
      <c r="AT3" s="2" t="s">
        <v>331</v>
      </c>
      <c r="AU3" s="2" t="s">
        <v>635</v>
      </c>
      <c r="AV3" s="2" t="s">
        <v>635</v>
      </c>
      <c r="AW3" s="2" t="s">
        <v>635</v>
      </c>
      <c r="AX3" s="2" t="s">
        <v>129</v>
      </c>
      <c r="AY3" s="2" t="s">
        <v>835</v>
      </c>
      <c r="AZ3" s="2" t="s">
        <v>128</v>
      </c>
      <c r="BA3" s="2" t="s">
        <v>338</v>
      </c>
      <c r="BC3" s="1">
        <v>43776</v>
      </c>
      <c r="BD3" s="2" t="s">
        <v>635</v>
      </c>
      <c r="BE3" s="2" t="s">
        <v>635</v>
      </c>
      <c r="BF3">
        <v>4</v>
      </c>
      <c r="BG3" s="2" t="s">
        <v>635</v>
      </c>
      <c r="BH3" s="2" t="s">
        <v>635</v>
      </c>
      <c r="BI3" s="2" t="s">
        <v>635</v>
      </c>
      <c r="BJ3" s="2" t="s">
        <v>339</v>
      </c>
      <c r="BK3" s="2" t="s">
        <v>635</v>
      </c>
      <c r="BL3" s="2" t="s">
        <v>635</v>
      </c>
      <c r="BM3" s="2" t="s">
        <v>104</v>
      </c>
      <c r="BN3" s="2" t="s">
        <v>635</v>
      </c>
      <c r="BO3" s="2" t="s">
        <v>635</v>
      </c>
      <c r="BP3" s="2" t="s">
        <v>635</v>
      </c>
      <c r="BQ3" s="2" t="s">
        <v>122</v>
      </c>
      <c r="BR3" s="2" t="s">
        <v>635</v>
      </c>
      <c r="BS3" s="2" t="s">
        <v>635</v>
      </c>
      <c r="BT3" s="2" t="s">
        <v>838</v>
      </c>
      <c r="BU3" s="2" t="s">
        <v>635</v>
      </c>
      <c r="BV3" s="2" t="s">
        <v>130</v>
      </c>
      <c r="BW3" s="2" t="s">
        <v>635</v>
      </c>
      <c r="BX3" s="2" t="s">
        <v>1092</v>
      </c>
      <c r="BY3" s="2" t="s">
        <v>837</v>
      </c>
      <c r="BZ3" s="2" t="s">
        <v>131</v>
      </c>
      <c r="CA3" s="2" t="s">
        <v>6</v>
      </c>
      <c r="CB3" s="2" t="s">
        <v>133</v>
      </c>
      <c r="CC3" s="2" t="s">
        <v>635</v>
      </c>
      <c r="CD3" s="2" t="s">
        <v>635</v>
      </c>
    </row>
    <row r="4" spans="1:82" x14ac:dyDescent="0.25">
      <c r="A4" s="2" t="s">
        <v>340</v>
      </c>
      <c r="B4" s="2" t="s">
        <v>341</v>
      </c>
      <c r="C4" s="2" t="s">
        <v>635</v>
      </c>
      <c r="D4" s="2" t="s">
        <v>635</v>
      </c>
      <c r="E4" s="2" t="s">
        <v>336</v>
      </c>
      <c r="F4" s="2" t="s">
        <v>329</v>
      </c>
      <c r="G4" s="2" t="s">
        <v>330</v>
      </c>
      <c r="H4" s="2" t="s">
        <v>635</v>
      </c>
      <c r="I4" s="2" t="s">
        <v>18</v>
      </c>
      <c r="J4" s="2" t="s">
        <v>635</v>
      </c>
      <c r="K4" s="2" t="s">
        <v>18</v>
      </c>
      <c r="L4" s="2" t="s">
        <v>635</v>
      </c>
      <c r="M4" s="2" t="s">
        <v>635</v>
      </c>
      <c r="N4">
        <v>20214</v>
      </c>
      <c r="O4">
        <v>19</v>
      </c>
      <c r="Q4" s="2" t="s">
        <v>635</v>
      </c>
      <c r="S4" s="2" t="s">
        <v>635</v>
      </c>
      <c r="T4" s="2" t="s">
        <v>635</v>
      </c>
      <c r="U4" s="2" t="s">
        <v>13</v>
      </c>
      <c r="V4" s="2" t="s">
        <v>635</v>
      </c>
      <c r="W4" s="2" t="s">
        <v>1093</v>
      </c>
      <c r="X4" s="2" t="s">
        <v>635</v>
      </c>
      <c r="Y4">
        <v>2015</v>
      </c>
      <c r="AA4" s="2" t="s">
        <v>635</v>
      </c>
      <c r="AB4" s="2" t="s">
        <v>635</v>
      </c>
      <c r="AC4">
        <v>0</v>
      </c>
      <c r="AD4">
        <v>1</v>
      </c>
      <c r="AF4">
        <v>0</v>
      </c>
      <c r="AH4">
        <v>0</v>
      </c>
      <c r="AI4">
        <v>0</v>
      </c>
      <c r="AJ4">
        <v>0</v>
      </c>
      <c r="AK4">
        <v>0</v>
      </c>
      <c r="AM4">
        <v>1</v>
      </c>
      <c r="AN4">
        <v>0</v>
      </c>
      <c r="AO4">
        <v>0</v>
      </c>
      <c r="AP4">
        <v>0</v>
      </c>
      <c r="AR4" s="2" t="s">
        <v>635</v>
      </c>
      <c r="AS4" s="2" t="s">
        <v>11</v>
      </c>
      <c r="AT4" s="2" t="s">
        <v>331</v>
      </c>
      <c r="AU4" s="2" t="s">
        <v>635</v>
      </c>
      <c r="AV4" s="2" t="s">
        <v>635</v>
      </c>
      <c r="AW4" s="2" t="s">
        <v>635</v>
      </c>
      <c r="AX4" s="2" t="s">
        <v>135</v>
      </c>
      <c r="AY4" s="2" t="s">
        <v>854</v>
      </c>
      <c r="AZ4" s="2" t="s">
        <v>134</v>
      </c>
      <c r="BA4" s="2" t="s">
        <v>342</v>
      </c>
      <c r="BC4" s="1">
        <v>43776</v>
      </c>
      <c r="BD4" s="2" t="s">
        <v>635</v>
      </c>
      <c r="BE4" s="2" t="s">
        <v>635</v>
      </c>
      <c r="BG4" s="2" t="s">
        <v>635</v>
      </c>
      <c r="BH4" s="2" t="s">
        <v>635</v>
      </c>
      <c r="BI4" s="2" t="s">
        <v>635</v>
      </c>
      <c r="BJ4" s="2" t="s">
        <v>343</v>
      </c>
      <c r="BK4" s="2" t="s">
        <v>635</v>
      </c>
      <c r="BL4" s="2" t="s">
        <v>635</v>
      </c>
      <c r="BM4" s="2" t="s">
        <v>14</v>
      </c>
      <c r="BN4" s="2" t="s">
        <v>635</v>
      </c>
      <c r="BO4" s="2" t="s">
        <v>635</v>
      </c>
      <c r="BP4" s="2" t="s">
        <v>635</v>
      </c>
      <c r="BQ4" s="2" t="s">
        <v>122</v>
      </c>
      <c r="BR4" s="2" t="s">
        <v>635</v>
      </c>
      <c r="BS4" s="2" t="s">
        <v>635</v>
      </c>
      <c r="BT4" s="2" t="s">
        <v>838</v>
      </c>
      <c r="BU4" s="2" t="s">
        <v>635</v>
      </c>
      <c r="BV4" s="2" t="s">
        <v>635</v>
      </c>
      <c r="BW4" s="2" t="s">
        <v>635</v>
      </c>
      <c r="BX4" s="2" t="s">
        <v>137</v>
      </c>
      <c r="BY4" s="2" t="s">
        <v>635</v>
      </c>
      <c r="BZ4" s="2" t="s">
        <v>136</v>
      </c>
      <c r="CA4" s="2" t="s">
        <v>136</v>
      </c>
      <c r="CB4" s="2" t="s">
        <v>138</v>
      </c>
      <c r="CC4" s="2" t="s">
        <v>635</v>
      </c>
      <c r="CD4" s="2" t="s">
        <v>635</v>
      </c>
    </row>
    <row r="5" spans="1:82" x14ac:dyDescent="0.25">
      <c r="A5" s="2" t="s">
        <v>344</v>
      </c>
      <c r="B5" s="2" t="s">
        <v>345</v>
      </c>
      <c r="C5" s="2" t="s">
        <v>635</v>
      </c>
      <c r="D5" s="2" t="s">
        <v>635</v>
      </c>
      <c r="E5" s="2" t="s">
        <v>346</v>
      </c>
      <c r="F5" s="2" t="s">
        <v>329</v>
      </c>
      <c r="G5" s="2" t="s">
        <v>330</v>
      </c>
      <c r="H5" s="2" t="s">
        <v>347</v>
      </c>
      <c r="I5" s="2" t="s">
        <v>64</v>
      </c>
      <c r="J5" s="2" t="s">
        <v>635</v>
      </c>
      <c r="K5" s="2" t="s">
        <v>635</v>
      </c>
      <c r="L5" s="2" t="s">
        <v>635</v>
      </c>
      <c r="M5" s="2" t="s">
        <v>635</v>
      </c>
      <c r="P5">
        <v>110</v>
      </c>
      <c r="Q5" s="2" t="s">
        <v>635</v>
      </c>
      <c r="R5">
        <v>110</v>
      </c>
      <c r="S5" s="2" t="s">
        <v>348</v>
      </c>
      <c r="T5" s="2" t="s">
        <v>635</v>
      </c>
      <c r="U5" s="2" t="s">
        <v>35</v>
      </c>
      <c r="V5" s="2" t="s">
        <v>635</v>
      </c>
      <c r="W5" s="2" t="s">
        <v>349</v>
      </c>
      <c r="X5" s="2" t="s">
        <v>350</v>
      </c>
      <c r="Y5">
        <v>2015</v>
      </c>
      <c r="AA5" s="2" t="s">
        <v>635</v>
      </c>
      <c r="AB5" s="2" t="s">
        <v>635</v>
      </c>
      <c r="AC5">
        <v>1</v>
      </c>
      <c r="AD5">
        <v>1</v>
      </c>
      <c r="AF5">
        <v>0</v>
      </c>
      <c r="AH5">
        <v>0</v>
      </c>
      <c r="AI5">
        <v>0</v>
      </c>
      <c r="AJ5">
        <v>0</v>
      </c>
      <c r="AK5">
        <v>0</v>
      </c>
      <c r="AM5">
        <v>0</v>
      </c>
      <c r="AN5">
        <v>0</v>
      </c>
      <c r="AO5">
        <v>0</v>
      </c>
      <c r="AP5">
        <v>0</v>
      </c>
      <c r="AR5" s="2" t="s">
        <v>846</v>
      </c>
      <c r="AS5" s="2" t="s">
        <v>11</v>
      </c>
      <c r="AT5" s="2" t="s">
        <v>351</v>
      </c>
      <c r="AU5" s="2" t="s">
        <v>635</v>
      </c>
      <c r="AV5" s="2" t="s">
        <v>635</v>
      </c>
      <c r="AW5" s="2" t="s">
        <v>635</v>
      </c>
      <c r="AX5" s="2" t="s">
        <v>635</v>
      </c>
      <c r="AY5" s="2" t="s">
        <v>845</v>
      </c>
      <c r="AZ5" s="2" t="s">
        <v>348</v>
      </c>
      <c r="BA5" s="2" t="s">
        <v>352</v>
      </c>
      <c r="BC5" s="1"/>
      <c r="BD5" s="2" t="s">
        <v>1094</v>
      </c>
      <c r="BE5" s="2" t="s">
        <v>849</v>
      </c>
      <c r="BF5">
        <v>9</v>
      </c>
      <c r="BG5" s="2" t="s">
        <v>635</v>
      </c>
      <c r="BH5" s="2" t="s">
        <v>635</v>
      </c>
      <c r="BI5" s="2" t="s">
        <v>635</v>
      </c>
      <c r="BJ5" s="2" t="s">
        <v>353</v>
      </c>
      <c r="BK5" s="2" t="s">
        <v>635</v>
      </c>
      <c r="BL5" s="2" t="s">
        <v>635</v>
      </c>
      <c r="BM5" s="2" t="s">
        <v>23</v>
      </c>
      <c r="BN5" s="2" t="s">
        <v>635</v>
      </c>
      <c r="BO5" s="2" t="s">
        <v>635</v>
      </c>
      <c r="BP5" s="2" t="s">
        <v>635</v>
      </c>
      <c r="BQ5" s="2" t="s">
        <v>192</v>
      </c>
      <c r="BR5" s="2" t="s">
        <v>354</v>
      </c>
      <c r="BS5" s="2" t="s">
        <v>635</v>
      </c>
      <c r="BT5" s="2" t="s">
        <v>838</v>
      </c>
      <c r="BU5" s="2" t="s">
        <v>635</v>
      </c>
      <c r="BV5" s="2" t="s">
        <v>355</v>
      </c>
      <c r="BW5" s="2" t="s">
        <v>46</v>
      </c>
      <c r="BX5" s="2" t="s">
        <v>1095</v>
      </c>
      <c r="BY5" s="2" t="s">
        <v>680</v>
      </c>
      <c r="BZ5" s="2" t="s">
        <v>356</v>
      </c>
      <c r="CA5" s="2" t="s">
        <v>6</v>
      </c>
      <c r="CB5" s="2" t="s">
        <v>357</v>
      </c>
      <c r="CC5" s="2" t="s">
        <v>635</v>
      </c>
      <c r="CD5" s="2" t="s">
        <v>635</v>
      </c>
    </row>
    <row r="6" spans="1:82" x14ac:dyDescent="0.25">
      <c r="A6" s="2" t="s">
        <v>358</v>
      </c>
      <c r="B6" s="2" t="s">
        <v>359</v>
      </c>
      <c r="C6" s="2" t="s">
        <v>635</v>
      </c>
      <c r="D6" s="2" t="s">
        <v>635</v>
      </c>
      <c r="E6" s="2" t="s">
        <v>360</v>
      </c>
      <c r="F6" s="2" t="s">
        <v>635</v>
      </c>
      <c r="G6" s="2" t="s">
        <v>330</v>
      </c>
      <c r="H6" s="2" t="s">
        <v>635</v>
      </c>
      <c r="I6" s="2" t="s">
        <v>175</v>
      </c>
      <c r="J6" s="2" t="s">
        <v>635</v>
      </c>
      <c r="K6" s="2" t="s">
        <v>175</v>
      </c>
      <c r="L6" s="2" t="s">
        <v>635</v>
      </c>
      <c r="M6" s="2" t="s">
        <v>635</v>
      </c>
      <c r="N6">
        <v>3676</v>
      </c>
      <c r="O6">
        <v>31</v>
      </c>
      <c r="Q6" s="2" t="s">
        <v>635</v>
      </c>
      <c r="S6" s="2" t="s">
        <v>635</v>
      </c>
      <c r="T6" s="2" t="s">
        <v>635</v>
      </c>
      <c r="U6" s="2" t="s">
        <v>35</v>
      </c>
      <c r="V6" s="2" t="s">
        <v>635</v>
      </c>
      <c r="W6" s="2" t="s">
        <v>635</v>
      </c>
      <c r="X6" s="2" t="s">
        <v>635</v>
      </c>
      <c r="Y6">
        <v>2015</v>
      </c>
      <c r="AA6" s="2" t="s">
        <v>635</v>
      </c>
      <c r="AB6" s="2" t="s">
        <v>635</v>
      </c>
      <c r="AC6">
        <v>1</v>
      </c>
      <c r="AD6">
        <v>1</v>
      </c>
      <c r="AF6">
        <v>0</v>
      </c>
      <c r="AH6">
        <v>0</v>
      </c>
      <c r="AI6">
        <v>1</v>
      </c>
      <c r="AJ6">
        <v>0</v>
      </c>
      <c r="AK6">
        <v>1</v>
      </c>
      <c r="AM6">
        <v>1</v>
      </c>
      <c r="AN6">
        <v>0</v>
      </c>
      <c r="AO6">
        <v>0</v>
      </c>
      <c r="AP6">
        <v>0</v>
      </c>
      <c r="AR6" s="2" t="s">
        <v>635</v>
      </c>
      <c r="AS6" s="2" t="s">
        <v>11</v>
      </c>
      <c r="AT6" s="2" t="s">
        <v>331</v>
      </c>
      <c r="AU6" s="2" t="s">
        <v>635</v>
      </c>
      <c r="AV6" s="2" t="s">
        <v>635</v>
      </c>
      <c r="AW6" s="2" t="s">
        <v>635</v>
      </c>
      <c r="AX6" s="2" t="s">
        <v>267</v>
      </c>
      <c r="AY6" s="2" t="s">
        <v>854</v>
      </c>
      <c r="AZ6" s="2" t="s">
        <v>265</v>
      </c>
      <c r="BA6" s="2" t="s">
        <v>637</v>
      </c>
      <c r="BC6" s="1">
        <v>44997</v>
      </c>
      <c r="BD6" s="2" t="s">
        <v>635</v>
      </c>
      <c r="BE6" s="2" t="s">
        <v>635</v>
      </c>
      <c r="BF6">
        <v>4</v>
      </c>
      <c r="BG6" s="2" t="s">
        <v>635</v>
      </c>
      <c r="BH6" s="2" t="s">
        <v>635</v>
      </c>
      <c r="BI6" s="2" t="s">
        <v>635</v>
      </c>
      <c r="BJ6" s="2" t="s">
        <v>361</v>
      </c>
      <c r="BK6" s="2" t="s">
        <v>635</v>
      </c>
      <c r="BL6" s="2" t="s">
        <v>635</v>
      </c>
      <c r="BM6" s="2" t="s">
        <v>52</v>
      </c>
      <c r="BN6" s="2" t="s">
        <v>635</v>
      </c>
      <c r="BO6" s="2" t="s">
        <v>635</v>
      </c>
      <c r="BP6" s="2" t="s">
        <v>333</v>
      </c>
      <c r="BQ6" s="2" t="s">
        <v>266</v>
      </c>
      <c r="BR6" s="2" t="s">
        <v>635</v>
      </c>
      <c r="BS6" s="2" t="s">
        <v>635</v>
      </c>
      <c r="BT6" s="2" t="s">
        <v>838</v>
      </c>
      <c r="BU6" s="2" t="s">
        <v>635</v>
      </c>
      <c r="BV6" s="2" t="s">
        <v>268</v>
      </c>
      <c r="BW6" s="2" t="s">
        <v>635</v>
      </c>
      <c r="BX6" s="2" t="s">
        <v>1096</v>
      </c>
      <c r="BY6" s="2" t="s">
        <v>671</v>
      </c>
      <c r="BZ6" s="2" t="s">
        <v>269</v>
      </c>
      <c r="CA6" s="2" t="s">
        <v>6</v>
      </c>
      <c r="CB6" s="2" t="s">
        <v>270</v>
      </c>
      <c r="CC6" s="2" t="s">
        <v>635</v>
      </c>
      <c r="CD6" s="2" t="s">
        <v>635</v>
      </c>
    </row>
    <row r="7" spans="1:82" x14ac:dyDescent="0.25">
      <c r="A7" s="2" t="s">
        <v>362</v>
      </c>
      <c r="B7" s="2" t="s">
        <v>363</v>
      </c>
      <c r="C7" s="2" t="s">
        <v>635</v>
      </c>
      <c r="D7" s="2" t="s">
        <v>635</v>
      </c>
      <c r="E7" s="2" t="s">
        <v>346</v>
      </c>
      <c r="F7" s="2" t="s">
        <v>329</v>
      </c>
      <c r="G7" s="2" t="s">
        <v>330</v>
      </c>
      <c r="H7" s="2" t="s">
        <v>635</v>
      </c>
      <c r="I7" s="2" t="s">
        <v>158</v>
      </c>
      <c r="J7" s="2" t="s">
        <v>635</v>
      </c>
      <c r="K7" s="2" t="s">
        <v>635</v>
      </c>
      <c r="L7" s="2" t="s">
        <v>635</v>
      </c>
      <c r="M7" s="2" t="s">
        <v>635</v>
      </c>
      <c r="N7">
        <v>20374</v>
      </c>
      <c r="O7">
        <v>26</v>
      </c>
      <c r="Q7" s="2" t="s">
        <v>635</v>
      </c>
      <c r="S7" s="2" t="s">
        <v>635</v>
      </c>
      <c r="T7" s="2" t="s">
        <v>635</v>
      </c>
      <c r="U7" s="2" t="s">
        <v>35</v>
      </c>
      <c r="V7" s="2" t="s">
        <v>635</v>
      </c>
      <c r="W7" s="2" t="s">
        <v>1097</v>
      </c>
      <c r="X7" s="2" t="s">
        <v>364</v>
      </c>
      <c r="Y7">
        <v>2015</v>
      </c>
      <c r="AA7" s="2" t="s">
        <v>635</v>
      </c>
      <c r="AB7" s="2" t="s">
        <v>635</v>
      </c>
      <c r="AC7">
        <v>1</v>
      </c>
      <c r="AD7">
        <v>1</v>
      </c>
      <c r="AF7">
        <v>0</v>
      </c>
      <c r="AH7">
        <v>0</v>
      </c>
      <c r="AI7">
        <v>0</v>
      </c>
      <c r="AJ7">
        <v>0</v>
      </c>
      <c r="AK7">
        <v>0</v>
      </c>
      <c r="AM7">
        <v>0</v>
      </c>
      <c r="AN7">
        <v>0</v>
      </c>
      <c r="AO7">
        <v>0</v>
      </c>
      <c r="AP7">
        <v>0</v>
      </c>
      <c r="AR7" s="2" t="s">
        <v>862</v>
      </c>
      <c r="AS7" s="2" t="s">
        <v>11</v>
      </c>
      <c r="AT7" s="2" t="s">
        <v>331</v>
      </c>
      <c r="AU7" s="2" t="s">
        <v>635</v>
      </c>
      <c r="AV7" s="2" t="s">
        <v>635</v>
      </c>
      <c r="AW7" s="2" t="s">
        <v>635</v>
      </c>
      <c r="AX7" s="2" t="s">
        <v>199</v>
      </c>
      <c r="AY7" s="2" t="s">
        <v>854</v>
      </c>
      <c r="AZ7" s="2" t="s">
        <v>197</v>
      </c>
      <c r="BA7" s="2" t="s">
        <v>638</v>
      </c>
      <c r="BC7" s="1"/>
      <c r="BD7" s="2" t="s">
        <v>1098</v>
      </c>
      <c r="BE7" s="2" t="s">
        <v>635</v>
      </c>
      <c r="BF7">
        <v>2</v>
      </c>
      <c r="BG7" s="2" t="s">
        <v>635</v>
      </c>
      <c r="BH7" s="2" t="s">
        <v>635</v>
      </c>
      <c r="BI7" s="2" t="s">
        <v>635</v>
      </c>
      <c r="BJ7" s="2" t="s">
        <v>198</v>
      </c>
      <c r="BK7" s="2" t="s">
        <v>635</v>
      </c>
      <c r="BL7" s="2" t="s">
        <v>635</v>
      </c>
      <c r="BM7" s="2" t="s">
        <v>104</v>
      </c>
      <c r="BN7" s="2" t="s">
        <v>635</v>
      </c>
      <c r="BO7" s="2" t="s">
        <v>635</v>
      </c>
      <c r="BP7" s="2" t="s">
        <v>635</v>
      </c>
      <c r="BQ7" s="2" t="s">
        <v>198</v>
      </c>
      <c r="BR7" s="2" t="s">
        <v>635</v>
      </c>
      <c r="BS7" s="2" t="s">
        <v>635</v>
      </c>
      <c r="BT7" s="2" t="s">
        <v>866</v>
      </c>
      <c r="BU7" s="2" t="s">
        <v>635</v>
      </c>
      <c r="BV7" s="2" t="s">
        <v>200</v>
      </c>
      <c r="BW7" s="2" t="s">
        <v>635</v>
      </c>
      <c r="BX7" s="2" t="s">
        <v>1099</v>
      </c>
      <c r="BY7" s="2" t="s">
        <v>837</v>
      </c>
      <c r="BZ7" s="2" t="s">
        <v>201</v>
      </c>
      <c r="CA7" s="2" t="s">
        <v>6</v>
      </c>
      <c r="CB7" s="2" t="s">
        <v>202</v>
      </c>
      <c r="CC7" s="2" t="s">
        <v>635</v>
      </c>
      <c r="CD7" s="2" t="s">
        <v>635</v>
      </c>
    </row>
    <row r="8" spans="1:82" x14ac:dyDescent="0.25">
      <c r="A8" s="2" t="s">
        <v>365</v>
      </c>
      <c r="B8" s="2" t="s">
        <v>366</v>
      </c>
      <c r="C8" s="2" t="s">
        <v>635</v>
      </c>
      <c r="D8" s="2" t="s">
        <v>635</v>
      </c>
      <c r="E8" s="2" t="s">
        <v>346</v>
      </c>
      <c r="F8" s="2" t="s">
        <v>329</v>
      </c>
      <c r="G8" s="2" t="s">
        <v>330</v>
      </c>
      <c r="H8" s="2" t="s">
        <v>635</v>
      </c>
      <c r="I8" s="2" t="s">
        <v>7</v>
      </c>
      <c r="J8" s="2" t="s">
        <v>635</v>
      </c>
      <c r="K8" s="2" t="s">
        <v>7</v>
      </c>
      <c r="L8" s="2" t="s">
        <v>635</v>
      </c>
      <c r="M8" s="2" t="s">
        <v>635</v>
      </c>
      <c r="N8">
        <v>24053</v>
      </c>
      <c r="O8">
        <v>26</v>
      </c>
      <c r="Q8" s="2" t="s">
        <v>635</v>
      </c>
      <c r="S8" s="2" t="s">
        <v>635</v>
      </c>
      <c r="T8" s="2" t="s">
        <v>635</v>
      </c>
      <c r="U8" s="2" t="s">
        <v>35</v>
      </c>
      <c r="V8" s="2" t="s">
        <v>635</v>
      </c>
      <c r="W8" s="2" t="s">
        <v>635</v>
      </c>
      <c r="X8" s="2" t="s">
        <v>635</v>
      </c>
      <c r="Y8">
        <v>2003</v>
      </c>
      <c r="AA8" s="2" t="s">
        <v>635</v>
      </c>
      <c r="AB8" s="2" t="s">
        <v>635</v>
      </c>
      <c r="AC8">
        <v>1</v>
      </c>
      <c r="AD8">
        <v>1</v>
      </c>
      <c r="AF8">
        <v>0</v>
      </c>
      <c r="AH8">
        <v>0</v>
      </c>
      <c r="AI8">
        <v>0</v>
      </c>
      <c r="AJ8">
        <v>0</v>
      </c>
      <c r="AK8">
        <v>0</v>
      </c>
      <c r="AM8">
        <v>0</v>
      </c>
      <c r="AN8">
        <v>0</v>
      </c>
      <c r="AO8">
        <v>0</v>
      </c>
      <c r="AP8">
        <v>0</v>
      </c>
      <c r="AR8" s="2" t="s">
        <v>247</v>
      </c>
      <c r="AS8" s="2" t="s">
        <v>11</v>
      </c>
      <c r="AT8" s="2" t="s">
        <v>331</v>
      </c>
      <c r="AU8" s="2" t="s">
        <v>635</v>
      </c>
      <c r="AV8" s="2" t="s">
        <v>635</v>
      </c>
      <c r="AW8" s="2" t="s">
        <v>635</v>
      </c>
      <c r="AX8" s="2" t="s">
        <v>244</v>
      </c>
      <c r="AY8" s="2" t="s">
        <v>835</v>
      </c>
      <c r="AZ8" s="2" t="s">
        <v>242</v>
      </c>
      <c r="BA8" s="2" t="s">
        <v>639</v>
      </c>
      <c r="BC8" s="1"/>
      <c r="BD8" s="2" t="s">
        <v>1100</v>
      </c>
      <c r="BE8" s="2" t="s">
        <v>635</v>
      </c>
      <c r="BF8">
        <v>3</v>
      </c>
      <c r="BG8" s="2" t="s">
        <v>635</v>
      </c>
      <c r="BH8" s="2" t="s">
        <v>635</v>
      </c>
      <c r="BI8" s="2" t="s">
        <v>635</v>
      </c>
      <c r="BJ8" s="2" t="s">
        <v>367</v>
      </c>
      <c r="BK8" s="2" t="s">
        <v>635</v>
      </c>
      <c r="BL8" s="2" t="s">
        <v>635</v>
      </c>
      <c r="BM8" s="2" t="s">
        <v>104</v>
      </c>
      <c r="BN8" s="2" t="s">
        <v>635</v>
      </c>
      <c r="BO8" s="2" t="s">
        <v>635</v>
      </c>
      <c r="BP8" s="2" t="s">
        <v>635</v>
      </c>
      <c r="BQ8" s="2" t="s">
        <v>243</v>
      </c>
      <c r="BR8" s="2" t="s">
        <v>635</v>
      </c>
      <c r="BS8" s="2" t="s">
        <v>635</v>
      </c>
      <c r="BT8" s="2" t="s">
        <v>873</v>
      </c>
      <c r="BU8" s="2" t="s">
        <v>635</v>
      </c>
      <c r="BV8" s="2" t="s">
        <v>245</v>
      </c>
      <c r="BW8" s="2" t="s">
        <v>635</v>
      </c>
      <c r="BX8" s="2" t="s">
        <v>1101</v>
      </c>
      <c r="BY8" s="2" t="s">
        <v>678</v>
      </c>
      <c r="BZ8" s="2" t="s">
        <v>246</v>
      </c>
      <c r="CA8" s="2" t="s">
        <v>6</v>
      </c>
      <c r="CB8" s="2" t="s">
        <v>248</v>
      </c>
      <c r="CC8" s="2" t="s">
        <v>635</v>
      </c>
      <c r="CD8" s="2" t="s">
        <v>635</v>
      </c>
    </row>
    <row r="9" spans="1:82" x14ac:dyDescent="0.25">
      <c r="A9" s="2" t="s">
        <v>368</v>
      </c>
      <c r="B9" s="2" t="s">
        <v>369</v>
      </c>
      <c r="C9" s="2" t="s">
        <v>635</v>
      </c>
      <c r="D9" s="2" t="s">
        <v>635</v>
      </c>
      <c r="E9" s="2" t="s">
        <v>346</v>
      </c>
      <c r="F9" s="2" t="s">
        <v>329</v>
      </c>
      <c r="G9" s="2" t="s">
        <v>330</v>
      </c>
      <c r="H9" s="2" t="s">
        <v>635</v>
      </c>
      <c r="I9" s="2" t="s">
        <v>18</v>
      </c>
      <c r="J9" s="2" t="s">
        <v>635</v>
      </c>
      <c r="K9" s="2" t="s">
        <v>18</v>
      </c>
      <c r="L9" s="2" t="s">
        <v>635</v>
      </c>
      <c r="M9" s="2" t="s">
        <v>635</v>
      </c>
      <c r="N9">
        <v>12474</v>
      </c>
      <c r="O9">
        <v>25</v>
      </c>
      <c r="Q9" s="2" t="s">
        <v>635</v>
      </c>
      <c r="S9" s="2" t="s">
        <v>635</v>
      </c>
      <c r="T9" s="2" t="s">
        <v>635</v>
      </c>
      <c r="U9" s="2" t="s">
        <v>35</v>
      </c>
      <c r="V9" s="2" t="s">
        <v>635</v>
      </c>
      <c r="W9" s="2" t="s">
        <v>370</v>
      </c>
      <c r="X9" s="2" t="s">
        <v>635</v>
      </c>
      <c r="Y9">
        <v>2015</v>
      </c>
      <c r="AA9" s="2" t="s">
        <v>635</v>
      </c>
      <c r="AB9" s="2" t="s">
        <v>635</v>
      </c>
      <c r="AC9">
        <v>1</v>
      </c>
      <c r="AD9">
        <v>1</v>
      </c>
      <c r="AF9">
        <v>0</v>
      </c>
      <c r="AH9">
        <v>0</v>
      </c>
      <c r="AI9">
        <v>0</v>
      </c>
      <c r="AJ9">
        <v>0</v>
      </c>
      <c r="AK9">
        <v>0</v>
      </c>
      <c r="AM9">
        <v>1</v>
      </c>
      <c r="AN9">
        <v>0</v>
      </c>
      <c r="AO9">
        <v>0</v>
      </c>
      <c r="AP9">
        <v>0</v>
      </c>
      <c r="AR9" s="2" t="s">
        <v>635</v>
      </c>
      <c r="AS9" s="2" t="s">
        <v>11</v>
      </c>
      <c r="AT9" s="2" t="s">
        <v>331</v>
      </c>
      <c r="AU9" s="2" t="s">
        <v>635</v>
      </c>
      <c r="AV9" s="2" t="s">
        <v>635</v>
      </c>
      <c r="AW9" s="2" t="s">
        <v>635</v>
      </c>
      <c r="AX9" s="2" t="s">
        <v>163</v>
      </c>
      <c r="AY9" s="2" t="s">
        <v>828</v>
      </c>
      <c r="AZ9" s="2" t="s">
        <v>208</v>
      </c>
      <c r="BA9" s="2" t="s">
        <v>640</v>
      </c>
      <c r="BC9" s="1"/>
      <c r="BD9" s="2" t="s">
        <v>209</v>
      </c>
      <c r="BE9" s="2" t="s">
        <v>635</v>
      </c>
      <c r="BG9" s="2" t="s">
        <v>635</v>
      </c>
      <c r="BH9" s="2" t="s">
        <v>635</v>
      </c>
      <c r="BI9" s="2" t="s">
        <v>635</v>
      </c>
      <c r="BJ9" s="2" t="s">
        <v>371</v>
      </c>
      <c r="BK9" s="2" t="s">
        <v>635</v>
      </c>
      <c r="BL9" s="2" t="s">
        <v>635</v>
      </c>
      <c r="BM9" s="2" t="s">
        <v>14</v>
      </c>
      <c r="BN9" s="2" t="s">
        <v>635</v>
      </c>
      <c r="BO9" s="2" t="s">
        <v>635</v>
      </c>
      <c r="BP9" s="2" t="s">
        <v>635</v>
      </c>
      <c r="BQ9" s="2" t="s">
        <v>204</v>
      </c>
      <c r="BR9" s="2" t="s">
        <v>635</v>
      </c>
      <c r="BS9" s="2" t="s">
        <v>635</v>
      </c>
      <c r="BT9" s="2" t="s">
        <v>878</v>
      </c>
      <c r="BU9" s="2" t="s">
        <v>635</v>
      </c>
      <c r="BV9" s="2" t="s">
        <v>635</v>
      </c>
      <c r="BW9" s="2" t="s">
        <v>635</v>
      </c>
      <c r="BX9" s="2" t="s">
        <v>209</v>
      </c>
      <c r="BY9" s="2" t="s">
        <v>635</v>
      </c>
      <c r="BZ9" s="2" t="s">
        <v>136</v>
      </c>
      <c r="CA9" s="2" t="s">
        <v>136</v>
      </c>
      <c r="CB9" s="2" t="s">
        <v>210</v>
      </c>
      <c r="CC9" s="2" t="s">
        <v>635</v>
      </c>
      <c r="CD9" s="2" t="s">
        <v>635</v>
      </c>
    </row>
    <row r="10" spans="1:82" x14ac:dyDescent="0.25">
      <c r="A10" s="2" t="s">
        <v>372</v>
      </c>
      <c r="B10" s="2" t="s">
        <v>373</v>
      </c>
      <c r="C10" s="2" t="s">
        <v>635</v>
      </c>
      <c r="D10" s="2" t="s">
        <v>635</v>
      </c>
      <c r="E10" s="2" t="s">
        <v>346</v>
      </c>
      <c r="F10" s="2" t="s">
        <v>635</v>
      </c>
      <c r="G10" s="2" t="s">
        <v>330</v>
      </c>
      <c r="H10" s="2" t="s">
        <v>635</v>
      </c>
      <c r="I10" s="2" t="s">
        <v>374</v>
      </c>
      <c r="J10" s="2" t="s">
        <v>635</v>
      </c>
      <c r="K10" s="2" t="s">
        <v>879</v>
      </c>
      <c r="L10" s="2" t="s">
        <v>635</v>
      </c>
      <c r="M10" s="2" t="s">
        <v>635</v>
      </c>
      <c r="N10">
        <v>4879</v>
      </c>
      <c r="O10">
        <v>64</v>
      </c>
      <c r="Q10" s="2" t="s">
        <v>635</v>
      </c>
      <c r="S10" s="2" t="s">
        <v>635</v>
      </c>
      <c r="T10" s="2" t="s">
        <v>635</v>
      </c>
      <c r="U10" s="2" t="s">
        <v>51</v>
      </c>
      <c r="V10" s="2" t="s">
        <v>811</v>
      </c>
      <c r="W10" s="2" t="s">
        <v>635</v>
      </c>
      <c r="X10" s="2" t="s">
        <v>882</v>
      </c>
      <c r="Y10">
        <v>2015</v>
      </c>
      <c r="AA10" s="2" t="s">
        <v>635</v>
      </c>
      <c r="AB10" s="2" t="s">
        <v>635</v>
      </c>
      <c r="AC10">
        <v>1</v>
      </c>
      <c r="AD10">
        <v>0</v>
      </c>
      <c r="AF10">
        <v>0</v>
      </c>
      <c r="AH10">
        <v>0</v>
      </c>
      <c r="AI10">
        <v>0</v>
      </c>
      <c r="AJ10">
        <v>0</v>
      </c>
      <c r="AK10">
        <v>0</v>
      </c>
      <c r="AM10">
        <v>0</v>
      </c>
      <c r="AN10">
        <v>0</v>
      </c>
      <c r="AO10">
        <v>0</v>
      </c>
      <c r="AP10">
        <v>0</v>
      </c>
      <c r="AR10" s="2" t="s">
        <v>883</v>
      </c>
      <c r="AS10" s="2" t="s">
        <v>49</v>
      </c>
      <c r="AT10" s="2" t="s">
        <v>331</v>
      </c>
      <c r="AU10" s="2" t="s">
        <v>884</v>
      </c>
      <c r="AV10" s="2" t="s">
        <v>635</v>
      </c>
      <c r="AW10" s="2" t="s">
        <v>635</v>
      </c>
      <c r="AX10" s="2" t="s">
        <v>45</v>
      </c>
      <c r="AY10" s="2" t="s">
        <v>885</v>
      </c>
      <c r="AZ10" s="2" t="s">
        <v>43</v>
      </c>
      <c r="BA10" s="2" t="s">
        <v>665</v>
      </c>
      <c r="BC10" s="1"/>
      <c r="BD10" s="2" t="s">
        <v>635</v>
      </c>
      <c r="BE10" s="2" t="s">
        <v>635</v>
      </c>
      <c r="BF10">
        <v>0</v>
      </c>
      <c r="BG10" s="2" t="s">
        <v>811</v>
      </c>
      <c r="BH10" s="2" t="s">
        <v>1102</v>
      </c>
      <c r="BI10" s="2" t="s">
        <v>812</v>
      </c>
      <c r="BJ10" s="2" t="s">
        <v>44</v>
      </c>
      <c r="BK10" s="2" t="s">
        <v>635</v>
      </c>
      <c r="BL10" s="2" t="s">
        <v>889</v>
      </c>
      <c r="BM10" s="2" t="s">
        <v>52</v>
      </c>
      <c r="BN10" s="2" t="s">
        <v>635</v>
      </c>
      <c r="BO10" s="2" t="s">
        <v>635</v>
      </c>
      <c r="BP10" s="2" t="s">
        <v>375</v>
      </c>
      <c r="BQ10" s="2" t="s">
        <v>44</v>
      </c>
      <c r="BR10" s="2" t="s">
        <v>635</v>
      </c>
      <c r="BS10" s="2" t="s">
        <v>635</v>
      </c>
      <c r="BT10" s="2" t="s">
        <v>890</v>
      </c>
      <c r="BU10" s="2" t="s">
        <v>635</v>
      </c>
      <c r="BV10" s="2" t="s">
        <v>47</v>
      </c>
      <c r="BW10" s="2" t="s">
        <v>46</v>
      </c>
      <c r="BX10" s="2" t="s">
        <v>1103</v>
      </c>
      <c r="BY10" s="2" t="s">
        <v>837</v>
      </c>
      <c r="BZ10" s="2" t="s">
        <v>48</v>
      </c>
      <c r="CA10" s="2" t="s">
        <v>6</v>
      </c>
      <c r="CB10" s="2" t="s">
        <v>50</v>
      </c>
      <c r="CC10" s="2" t="s">
        <v>893</v>
      </c>
      <c r="CD10" s="2" t="s">
        <v>635</v>
      </c>
    </row>
    <row r="11" spans="1:82" x14ac:dyDescent="0.25">
      <c r="A11" s="2" t="s">
        <v>376</v>
      </c>
      <c r="B11" s="2" t="s">
        <v>377</v>
      </c>
      <c r="C11" s="2" t="s">
        <v>635</v>
      </c>
      <c r="D11" s="2" t="s">
        <v>635</v>
      </c>
      <c r="E11" s="2" t="s">
        <v>346</v>
      </c>
      <c r="F11" s="2" t="s">
        <v>329</v>
      </c>
      <c r="G11" s="2" t="s">
        <v>330</v>
      </c>
      <c r="H11" s="2" t="s">
        <v>635</v>
      </c>
      <c r="I11" s="2" t="s">
        <v>175</v>
      </c>
      <c r="J11" s="2" t="s">
        <v>635</v>
      </c>
      <c r="K11" s="2" t="s">
        <v>175</v>
      </c>
      <c r="L11" s="2" t="s">
        <v>635</v>
      </c>
      <c r="M11" s="2" t="s">
        <v>635</v>
      </c>
      <c r="N11">
        <v>27726</v>
      </c>
      <c r="O11">
        <v>61</v>
      </c>
      <c r="Q11" s="2" t="s">
        <v>635</v>
      </c>
      <c r="S11" s="2" t="s">
        <v>635</v>
      </c>
      <c r="T11" s="2" t="s">
        <v>635</v>
      </c>
      <c r="U11" s="2" t="s">
        <v>35</v>
      </c>
      <c r="V11" s="2" t="s">
        <v>635</v>
      </c>
      <c r="W11" s="2" t="s">
        <v>635</v>
      </c>
      <c r="X11" s="2" t="s">
        <v>635</v>
      </c>
      <c r="Y11">
        <v>1997</v>
      </c>
      <c r="AA11" s="2" t="s">
        <v>635</v>
      </c>
      <c r="AB11" s="2" t="s">
        <v>635</v>
      </c>
      <c r="AC11">
        <v>1</v>
      </c>
      <c r="AD11">
        <v>1</v>
      </c>
      <c r="AF11">
        <v>0</v>
      </c>
      <c r="AH11">
        <v>0</v>
      </c>
      <c r="AI11">
        <v>0</v>
      </c>
      <c r="AJ11">
        <v>0</v>
      </c>
      <c r="AK11">
        <v>0</v>
      </c>
      <c r="AM11">
        <v>0</v>
      </c>
      <c r="AN11">
        <v>0</v>
      </c>
      <c r="AO11">
        <v>0</v>
      </c>
      <c r="AP11">
        <v>0</v>
      </c>
      <c r="AR11" s="2" t="s">
        <v>273</v>
      </c>
      <c r="AS11" s="2" t="s">
        <v>11</v>
      </c>
      <c r="AT11" s="2" t="s">
        <v>331</v>
      </c>
      <c r="AU11" s="2" t="s">
        <v>635</v>
      </c>
      <c r="AV11" s="2" t="s">
        <v>635</v>
      </c>
      <c r="AW11" s="2" t="s">
        <v>635</v>
      </c>
      <c r="AX11" s="2" t="s">
        <v>205</v>
      </c>
      <c r="AY11" s="2" t="s">
        <v>828</v>
      </c>
      <c r="AZ11" s="2" t="s">
        <v>271</v>
      </c>
      <c r="BA11" s="2" t="s">
        <v>641</v>
      </c>
      <c r="BC11" s="1"/>
      <c r="BD11" s="2" t="s">
        <v>1104</v>
      </c>
      <c r="BE11" s="2" t="s">
        <v>635</v>
      </c>
      <c r="BG11" s="2" t="s">
        <v>635</v>
      </c>
      <c r="BH11" s="2" t="s">
        <v>635</v>
      </c>
      <c r="BI11" s="2" t="s">
        <v>635</v>
      </c>
      <c r="BJ11" s="2" t="s">
        <v>378</v>
      </c>
      <c r="BK11" s="2" t="s">
        <v>635</v>
      </c>
      <c r="BL11" s="2" t="s">
        <v>635</v>
      </c>
      <c r="BM11" s="2" t="s">
        <v>14</v>
      </c>
      <c r="BN11" s="2" t="s">
        <v>635</v>
      </c>
      <c r="BO11" s="2" t="s">
        <v>635</v>
      </c>
      <c r="BP11" s="2" t="s">
        <v>635</v>
      </c>
      <c r="BQ11" s="2" t="s">
        <v>272</v>
      </c>
      <c r="BR11" s="2" t="s">
        <v>635</v>
      </c>
      <c r="BS11" s="2" t="s">
        <v>635</v>
      </c>
      <c r="BT11" s="2" t="s">
        <v>899</v>
      </c>
      <c r="BU11" s="2" t="s">
        <v>635</v>
      </c>
      <c r="BV11" s="2" t="s">
        <v>635</v>
      </c>
      <c r="BW11" s="2" t="s">
        <v>635</v>
      </c>
      <c r="BX11" s="2" t="s">
        <v>1105</v>
      </c>
      <c r="BY11" s="2" t="s">
        <v>635</v>
      </c>
      <c r="BZ11" s="2" t="s">
        <v>99</v>
      </c>
      <c r="CA11" s="2" t="s">
        <v>99</v>
      </c>
      <c r="CB11" s="2" t="s">
        <v>274</v>
      </c>
      <c r="CC11" s="2" t="s">
        <v>635</v>
      </c>
      <c r="CD11" s="2" t="s">
        <v>635</v>
      </c>
    </row>
    <row r="12" spans="1:82" x14ac:dyDescent="0.25">
      <c r="A12" s="2" t="s">
        <v>379</v>
      </c>
      <c r="B12" s="2" t="s">
        <v>380</v>
      </c>
      <c r="C12" s="2" t="s">
        <v>635</v>
      </c>
      <c r="D12" s="2" t="s">
        <v>635</v>
      </c>
      <c r="E12" s="2" t="s">
        <v>328</v>
      </c>
      <c r="F12" s="2" t="s">
        <v>329</v>
      </c>
      <c r="G12" s="2" t="s">
        <v>330</v>
      </c>
      <c r="H12" s="2" t="s">
        <v>635</v>
      </c>
      <c r="I12" s="2" t="s">
        <v>175</v>
      </c>
      <c r="J12" s="2" t="s">
        <v>635</v>
      </c>
      <c r="K12" s="2" t="s">
        <v>175</v>
      </c>
      <c r="L12" s="2" t="s">
        <v>635</v>
      </c>
      <c r="M12" s="2" t="s">
        <v>635</v>
      </c>
      <c r="N12">
        <v>13404</v>
      </c>
      <c r="O12">
        <v>43</v>
      </c>
      <c r="Q12" s="2" t="s">
        <v>635</v>
      </c>
      <c r="S12" s="2" t="s">
        <v>635</v>
      </c>
      <c r="T12" s="2" t="s">
        <v>635</v>
      </c>
      <c r="U12" s="2" t="s">
        <v>35</v>
      </c>
      <c r="V12" s="2" t="s">
        <v>635</v>
      </c>
      <c r="W12" s="2" t="s">
        <v>381</v>
      </c>
      <c r="X12" s="2" t="s">
        <v>635</v>
      </c>
      <c r="Y12">
        <v>2015</v>
      </c>
      <c r="AA12" s="2" t="s">
        <v>635</v>
      </c>
      <c r="AB12" s="2" t="s">
        <v>635</v>
      </c>
      <c r="AC12">
        <v>1</v>
      </c>
      <c r="AD12">
        <v>1</v>
      </c>
      <c r="AF12">
        <v>0</v>
      </c>
      <c r="AH12">
        <v>0</v>
      </c>
      <c r="AI12">
        <v>0</v>
      </c>
      <c r="AJ12">
        <v>0</v>
      </c>
      <c r="AK12">
        <v>0</v>
      </c>
      <c r="AM12">
        <v>1</v>
      </c>
      <c r="AN12">
        <v>0</v>
      </c>
      <c r="AO12">
        <v>0</v>
      </c>
      <c r="AP12">
        <v>0</v>
      </c>
      <c r="AR12" s="2" t="s">
        <v>178</v>
      </c>
      <c r="AS12" s="2" t="s">
        <v>11</v>
      </c>
      <c r="AT12" s="2" t="s">
        <v>331</v>
      </c>
      <c r="AU12" s="2" t="s">
        <v>635</v>
      </c>
      <c r="AV12" s="2" t="s">
        <v>635</v>
      </c>
      <c r="AW12" s="2" t="s">
        <v>635</v>
      </c>
      <c r="AX12" s="2" t="s">
        <v>174</v>
      </c>
      <c r="AY12" s="2" t="s">
        <v>904</v>
      </c>
      <c r="AZ12" s="2" t="s">
        <v>172</v>
      </c>
      <c r="BA12" s="2" t="s">
        <v>642</v>
      </c>
      <c r="BC12" s="1"/>
      <c r="BD12" s="2" t="s">
        <v>1106</v>
      </c>
      <c r="BE12" s="2" t="s">
        <v>635</v>
      </c>
      <c r="BG12" s="2" t="s">
        <v>635</v>
      </c>
      <c r="BH12" s="2" t="s">
        <v>635</v>
      </c>
      <c r="BI12" s="2" t="s">
        <v>635</v>
      </c>
      <c r="BJ12" s="2" t="s">
        <v>382</v>
      </c>
      <c r="BK12" s="2" t="s">
        <v>635</v>
      </c>
      <c r="BL12" s="2" t="s">
        <v>635</v>
      </c>
      <c r="BM12" s="2" t="s">
        <v>14</v>
      </c>
      <c r="BN12" s="2" t="s">
        <v>635</v>
      </c>
      <c r="BO12" s="2" t="s">
        <v>635</v>
      </c>
      <c r="BP12" s="2" t="s">
        <v>635</v>
      </c>
      <c r="BQ12" s="2" t="s">
        <v>173</v>
      </c>
      <c r="BR12" s="2" t="s">
        <v>635</v>
      </c>
      <c r="BS12" s="2" t="s">
        <v>635</v>
      </c>
      <c r="BT12" s="2" t="s">
        <v>907</v>
      </c>
      <c r="BU12" s="2" t="s">
        <v>635</v>
      </c>
      <c r="BV12" s="2" t="s">
        <v>176</v>
      </c>
      <c r="BW12" s="2" t="s">
        <v>635</v>
      </c>
      <c r="BX12" s="2" t="s">
        <v>1106</v>
      </c>
      <c r="BY12" s="2" t="s">
        <v>635</v>
      </c>
      <c r="BZ12" s="2" t="s">
        <v>177</v>
      </c>
      <c r="CA12" s="2" t="s">
        <v>153</v>
      </c>
      <c r="CB12" s="2" t="s">
        <v>179</v>
      </c>
      <c r="CC12" s="2" t="s">
        <v>635</v>
      </c>
      <c r="CD12" s="2" t="s">
        <v>635</v>
      </c>
    </row>
    <row r="13" spans="1:82" x14ac:dyDescent="0.25">
      <c r="A13" s="2" t="s">
        <v>344</v>
      </c>
      <c r="B13" s="2" t="s">
        <v>345</v>
      </c>
      <c r="C13" s="2" t="s">
        <v>635</v>
      </c>
      <c r="D13" s="2" t="s">
        <v>635</v>
      </c>
      <c r="E13" s="2" t="s">
        <v>346</v>
      </c>
      <c r="F13" s="2" t="s">
        <v>329</v>
      </c>
      <c r="G13" s="2" t="s">
        <v>330</v>
      </c>
      <c r="H13" s="2" t="s">
        <v>347</v>
      </c>
      <c r="I13" s="2" t="s">
        <v>64</v>
      </c>
      <c r="J13" s="2" t="s">
        <v>635</v>
      </c>
      <c r="K13" s="2" t="s">
        <v>64</v>
      </c>
      <c r="L13" s="2" t="s">
        <v>635</v>
      </c>
      <c r="M13" s="2" t="s">
        <v>635</v>
      </c>
      <c r="N13">
        <v>2522</v>
      </c>
      <c r="O13">
        <v>32</v>
      </c>
      <c r="P13">
        <v>40</v>
      </c>
      <c r="Q13" s="2" t="s">
        <v>635</v>
      </c>
      <c r="R13">
        <v>40</v>
      </c>
      <c r="S13" s="2" t="s">
        <v>383</v>
      </c>
      <c r="T13" s="2" t="s">
        <v>635</v>
      </c>
      <c r="U13" s="2" t="s">
        <v>35</v>
      </c>
      <c r="V13" s="2" t="s">
        <v>635</v>
      </c>
      <c r="W13" s="2" t="s">
        <v>384</v>
      </c>
      <c r="X13" s="2" t="s">
        <v>350</v>
      </c>
      <c r="Y13">
        <v>2015</v>
      </c>
      <c r="AA13" s="2" t="s">
        <v>635</v>
      </c>
      <c r="AB13" s="2" t="s">
        <v>635</v>
      </c>
      <c r="AC13">
        <v>1</v>
      </c>
      <c r="AD13">
        <v>1</v>
      </c>
      <c r="AF13">
        <v>0</v>
      </c>
      <c r="AH13">
        <v>0</v>
      </c>
      <c r="AI13">
        <v>0</v>
      </c>
      <c r="AJ13">
        <v>0</v>
      </c>
      <c r="AK13">
        <v>0</v>
      </c>
      <c r="AM13">
        <v>0</v>
      </c>
      <c r="AN13">
        <v>0</v>
      </c>
      <c r="AO13">
        <v>0</v>
      </c>
      <c r="AP13">
        <v>0</v>
      </c>
      <c r="AR13" s="2" t="s">
        <v>910</v>
      </c>
      <c r="AS13" s="2" t="s">
        <v>11</v>
      </c>
      <c r="AT13" s="2" t="s">
        <v>351</v>
      </c>
      <c r="AU13" s="2" t="s">
        <v>884</v>
      </c>
      <c r="AV13" s="2" t="s">
        <v>635</v>
      </c>
      <c r="AW13" s="2" t="s">
        <v>635</v>
      </c>
      <c r="AX13" s="2" t="s">
        <v>193</v>
      </c>
      <c r="AY13" s="2" t="s">
        <v>854</v>
      </c>
      <c r="AZ13" s="2" t="s">
        <v>191</v>
      </c>
      <c r="BA13" s="2" t="s">
        <v>668</v>
      </c>
      <c r="BC13" s="1"/>
      <c r="BD13" s="2" t="s">
        <v>1107</v>
      </c>
      <c r="BE13" s="2" t="s">
        <v>913</v>
      </c>
      <c r="BF13">
        <v>4</v>
      </c>
      <c r="BG13" s="2" t="s">
        <v>635</v>
      </c>
      <c r="BH13" s="2" t="s">
        <v>635</v>
      </c>
      <c r="BI13" s="2" t="s">
        <v>635</v>
      </c>
      <c r="BJ13" s="2" t="s">
        <v>353</v>
      </c>
      <c r="BK13" s="2" t="s">
        <v>635</v>
      </c>
      <c r="BL13" s="2" t="s">
        <v>635</v>
      </c>
      <c r="BM13" s="2" t="s">
        <v>23</v>
      </c>
      <c r="BN13" s="2" t="s">
        <v>635</v>
      </c>
      <c r="BO13" s="2" t="s">
        <v>635</v>
      </c>
      <c r="BP13" s="2" t="s">
        <v>333</v>
      </c>
      <c r="BQ13" s="2" t="s">
        <v>192</v>
      </c>
      <c r="BR13" s="2" t="s">
        <v>57</v>
      </c>
      <c r="BS13" s="2" t="s">
        <v>635</v>
      </c>
      <c r="BT13" s="2" t="s">
        <v>914</v>
      </c>
      <c r="BU13" s="2" t="s">
        <v>635</v>
      </c>
      <c r="BV13" s="2" t="s">
        <v>194</v>
      </c>
      <c r="BW13" s="2" t="s">
        <v>46</v>
      </c>
      <c r="BX13" s="2" t="s">
        <v>1108</v>
      </c>
      <c r="BY13" s="2" t="s">
        <v>671</v>
      </c>
      <c r="BZ13" s="2" t="s">
        <v>195</v>
      </c>
      <c r="CA13" s="2" t="s">
        <v>6</v>
      </c>
      <c r="CB13" s="2" t="s">
        <v>196</v>
      </c>
      <c r="CC13" s="2" t="s">
        <v>635</v>
      </c>
      <c r="CD13" s="2" t="s">
        <v>635</v>
      </c>
    </row>
    <row r="14" spans="1:82" x14ac:dyDescent="0.25">
      <c r="A14" s="2" t="s">
        <v>385</v>
      </c>
      <c r="B14" s="2" t="s">
        <v>386</v>
      </c>
      <c r="C14" s="2" t="s">
        <v>635</v>
      </c>
      <c r="D14" s="2" t="s">
        <v>635</v>
      </c>
      <c r="E14" s="2" t="s">
        <v>346</v>
      </c>
      <c r="F14" s="2" t="s">
        <v>329</v>
      </c>
      <c r="G14" s="2" t="s">
        <v>330</v>
      </c>
      <c r="H14" s="2" t="s">
        <v>635</v>
      </c>
      <c r="I14" s="2" t="s">
        <v>18</v>
      </c>
      <c r="J14" s="2" t="s">
        <v>635</v>
      </c>
      <c r="K14" s="2" t="s">
        <v>18</v>
      </c>
      <c r="L14" s="2" t="s">
        <v>635</v>
      </c>
      <c r="M14" s="2" t="s">
        <v>635</v>
      </c>
      <c r="N14">
        <v>10064</v>
      </c>
      <c r="O14">
        <v>29</v>
      </c>
      <c r="Q14" s="2" t="s">
        <v>635</v>
      </c>
      <c r="S14" s="2" t="s">
        <v>635</v>
      </c>
      <c r="T14" s="2" t="s">
        <v>635</v>
      </c>
      <c r="U14" s="2" t="s">
        <v>35</v>
      </c>
      <c r="V14" s="2" t="s">
        <v>635</v>
      </c>
      <c r="W14" s="2" t="s">
        <v>1109</v>
      </c>
      <c r="X14" s="2" t="s">
        <v>635</v>
      </c>
      <c r="Y14">
        <v>2003</v>
      </c>
      <c r="AA14" s="2" t="s">
        <v>635</v>
      </c>
      <c r="AB14" s="2" t="s">
        <v>635</v>
      </c>
      <c r="AC14">
        <v>1</v>
      </c>
      <c r="AD14">
        <v>1</v>
      </c>
      <c r="AF14">
        <v>0</v>
      </c>
      <c r="AH14">
        <v>0</v>
      </c>
      <c r="AI14">
        <v>0</v>
      </c>
      <c r="AJ14">
        <v>0</v>
      </c>
      <c r="AK14">
        <v>0</v>
      </c>
      <c r="AM14">
        <v>0</v>
      </c>
      <c r="AN14">
        <v>0</v>
      </c>
      <c r="AO14">
        <v>0</v>
      </c>
      <c r="AP14">
        <v>0</v>
      </c>
      <c r="AR14" s="2" t="s">
        <v>234</v>
      </c>
      <c r="AS14" s="2" t="s">
        <v>11</v>
      </c>
      <c r="AT14" s="2" t="s">
        <v>331</v>
      </c>
      <c r="AU14" s="2" t="s">
        <v>635</v>
      </c>
      <c r="AV14" s="2" t="s">
        <v>635</v>
      </c>
      <c r="AW14" s="2" t="s">
        <v>635</v>
      </c>
      <c r="AX14" s="2" t="s">
        <v>116</v>
      </c>
      <c r="AY14" s="2" t="s">
        <v>885</v>
      </c>
      <c r="AZ14" s="2" t="s">
        <v>230</v>
      </c>
      <c r="BA14" s="2" t="s">
        <v>643</v>
      </c>
      <c r="BC14" s="1"/>
      <c r="BD14" s="2" t="s">
        <v>387</v>
      </c>
      <c r="BE14" s="2" t="s">
        <v>635</v>
      </c>
      <c r="BF14">
        <v>2</v>
      </c>
      <c r="BG14" s="2" t="s">
        <v>635</v>
      </c>
      <c r="BH14" s="2" t="s">
        <v>635</v>
      </c>
      <c r="BI14" s="2" t="s">
        <v>635</v>
      </c>
      <c r="BJ14" s="2" t="s">
        <v>388</v>
      </c>
      <c r="BK14" s="2" t="s">
        <v>635</v>
      </c>
      <c r="BL14" s="2" t="s">
        <v>635</v>
      </c>
      <c r="BM14" s="2" t="s">
        <v>14</v>
      </c>
      <c r="BN14" s="2" t="s">
        <v>635</v>
      </c>
      <c r="BO14" s="2" t="s">
        <v>635</v>
      </c>
      <c r="BP14" s="2" t="s">
        <v>635</v>
      </c>
      <c r="BQ14" s="2" t="s">
        <v>231</v>
      </c>
      <c r="BR14" s="2" t="s">
        <v>635</v>
      </c>
      <c r="BS14" s="2" t="s">
        <v>635</v>
      </c>
      <c r="BT14" s="2" t="s">
        <v>919</v>
      </c>
      <c r="BU14" s="2" t="s">
        <v>635</v>
      </c>
      <c r="BV14" s="2" t="s">
        <v>232</v>
      </c>
      <c r="BW14" s="2" t="s">
        <v>635</v>
      </c>
      <c r="BX14" s="2" t="s">
        <v>235</v>
      </c>
      <c r="BY14" s="2" t="s">
        <v>865</v>
      </c>
      <c r="BZ14" s="2" t="s">
        <v>233</v>
      </c>
      <c r="CA14" s="2" t="s">
        <v>6</v>
      </c>
      <c r="CB14" s="2" t="s">
        <v>236</v>
      </c>
      <c r="CC14" s="2" t="s">
        <v>635</v>
      </c>
      <c r="CD14" s="2" t="s">
        <v>635</v>
      </c>
    </row>
    <row r="15" spans="1:82" x14ac:dyDescent="0.25">
      <c r="A15" s="2" t="s">
        <v>389</v>
      </c>
      <c r="B15" s="2" t="s">
        <v>390</v>
      </c>
      <c r="C15" s="2" t="s">
        <v>635</v>
      </c>
      <c r="D15" s="2" t="s">
        <v>635</v>
      </c>
      <c r="E15" s="2" t="s">
        <v>346</v>
      </c>
      <c r="F15" s="2" t="s">
        <v>329</v>
      </c>
      <c r="G15" s="2" t="s">
        <v>330</v>
      </c>
      <c r="H15" s="2" t="s">
        <v>635</v>
      </c>
      <c r="I15" s="2" t="s">
        <v>64</v>
      </c>
      <c r="J15" s="2" t="s">
        <v>635</v>
      </c>
      <c r="K15" s="2" t="s">
        <v>64</v>
      </c>
      <c r="L15" s="2" t="s">
        <v>635</v>
      </c>
      <c r="M15" s="2" t="s">
        <v>635</v>
      </c>
      <c r="N15">
        <v>19221</v>
      </c>
      <c r="O15">
        <v>67</v>
      </c>
      <c r="Q15" s="2" t="s">
        <v>635</v>
      </c>
      <c r="S15" s="2" t="s">
        <v>635</v>
      </c>
      <c r="T15" s="2" t="s">
        <v>635</v>
      </c>
      <c r="U15" s="2" t="s">
        <v>35</v>
      </c>
      <c r="V15" s="2" t="s">
        <v>635</v>
      </c>
      <c r="W15" s="2" t="s">
        <v>391</v>
      </c>
      <c r="X15" s="2" t="s">
        <v>635</v>
      </c>
      <c r="Y15">
        <v>2003</v>
      </c>
      <c r="AA15" s="2" t="s">
        <v>635</v>
      </c>
      <c r="AB15" s="2" t="s">
        <v>635</v>
      </c>
      <c r="AC15">
        <v>1</v>
      </c>
      <c r="AD15">
        <v>1</v>
      </c>
      <c r="AF15">
        <v>0</v>
      </c>
      <c r="AH15">
        <v>0</v>
      </c>
      <c r="AI15">
        <v>0</v>
      </c>
      <c r="AJ15">
        <v>0</v>
      </c>
      <c r="AK15">
        <v>0</v>
      </c>
      <c r="AM15">
        <v>0</v>
      </c>
      <c r="AN15">
        <v>0</v>
      </c>
      <c r="AO15">
        <v>0</v>
      </c>
      <c r="AP15">
        <v>0</v>
      </c>
      <c r="AR15" s="2" t="s">
        <v>252</v>
      </c>
      <c r="AS15" s="2" t="s">
        <v>11</v>
      </c>
      <c r="AT15" s="2" t="s">
        <v>331</v>
      </c>
      <c r="AU15" s="2" t="s">
        <v>635</v>
      </c>
      <c r="AV15" s="2" t="s">
        <v>635</v>
      </c>
      <c r="AW15" s="2" t="s">
        <v>635</v>
      </c>
      <c r="AX15" s="2" t="s">
        <v>251</v>
      </c>
      <c r="AY15" s="2" t="s">
        <v>828</v>
      </c>
      <c r="AZ15" s="2" t="s">
        <v>249</v>
      </c>
      <c r="BA15" s="2" t="s">
        <v>644</v>
      </c>
      <c r="BC15" s="1"/>
      <c r="BD15" s="2" t="s">
        <v>392</v>
      </c>
      <c r="BE15" s="2" t="s">
        <v>635</v>
      </c>
      <c r="BG15" s="2" t="s">
        <v>635</v>
      </c>
      <c r="BH15" s="2" t="s">
        <v>635</v>
      </c>
      <c r="BI15" s="2" t="s">
        <v>635</v>
      </c>
      <c r="BJ15" s="2" t="s">
        <v>250</v>
      </c>
      <c r="BK15" s="2" t="s">
        <v>635</v>
      </c>
      <c r="BL15" s="2" t="s">
        <v>635</v>
      </c>
      <c r="BM15" s="2" t="s">
        <v>14</v>
      </c>
      <c r="BN15" s="2" t="s">
        <v>635</v>
      </c>
      <c r="BO15" s="2" t="s">
        <v>635</v>
      </c>
      <c r="BP15" s="2" t="s">
        <v>635</v>
      </c>
      <c r="BQ15" s="2" t="s">
        <v>250</v>
      </c>
      <c r="BR15" s="2" t="s">
        <v>635</v>
      </c>
      <c r="BS15" s="2" t="s">
        <v>635</v>
      </c>
      <c r="BT15" s="2" t="s">
        <v>922</v>
      </c>
      <c r="BU15" s="2" t="s">
        <v>635</v>
      </c>
      <c r="BV15" s="2" t="s">
        <v>635</v>
      </c>
      <c r="BW15" s="2" t="s">
        <v>635</v>
      </c>
      <c r="BX15" s="2" t="s">
        <v>253</v>
      </c>
      <c r="BY15" s="2" t="s">
        <v>635</v>
      </c>
      <c r="BZ15" s="2" t="s">
        <v>136</v>
      </c>
      <c r="CA15" s="2" t="s">
        <v>136</v>
      </c>
      <c r="CB15" s="2" t="s">
        <v>254</v>
      </c>
      <c r="CC15" s="2" t="s">
        <v>635</v>
      </c>
      <c r="CD15" s="2" t="s">
        <v>923</v>
      </c>
    </row>
    <row r="16" spans="1:82" x14ac:dyDescent="0.25">
      <c r="A16" s="2" t="s">
        <v>344</v>
      </c>
      <c r="B16" s="2" t="s">
        <v>345</v>
      </c>
      <c r="C16" s="2" t="s">
        <v>635</v>
      </c>
      <c r="D16" s="2" t="s">
        <v>635</v>
      </c>
      <c r="E16" s="2" t="s">
        <v>346</v>
      </c>
      <c r="F16" s="2" t="s">
        <v>329</v>
      </c>
      <c r="G16" s="2" t="s">
        <v>330</v>
      </c>
      <c r="H16" s="2" t="s">
        <v>347</v>
      </c>
      <c r="I16" s="2" t="s">
        <v>64</v>
      </c>
      <c r="J16" s="2" t="s">
        <v>635</v>
      </c>
      <c r="K16" s="2" t="s">
        <v>64</v>
      </c>
      <c r="L16" s="2" t="s">
        <v>635</v>
      </c>
      <c r="M16" s="2" t="s">
        <v>635</v>
      </c>
      <c r="N16">
        <v>2372</v>
      </c>
      <c r="O16">
        <v>28</v>
      </c>
      <c r="P16">
        <v>70</v>
      </c>
      <c r="Q16" s="2" t="s">
        <v>635</v>
      </c>
      <c r="R16">
        <v>70</v>
      </c>
      <c r="S16" s="2" t="s">
        <v>393</v>
      </c>
      <c r="T16" s="2" t="s">
        <v>635</v>
      </c>
      <c r="U16" s="2" t="s">
        <v>35</v>
      </c>
      <c r="V16" s="2" t="s">
        <v>635</v>
      </c>
      <c r="W16" s="2" t="s">
        <v>394</v>
      </c>
      <c r="X16" s="2" t="s">
        <v>350</v>
      </c>
      <c r="Y16">
        <v>2015</v>
      </c>
      <c r="AA16" s="2" t="s">
        <v>635</v>
      </c>
      <c r="AB16" s="2" t="s">
        <v>635</v>
      </c>
      <c r="AC16">
        <v>1</v>
      </c>
      <c r="AD16">
        <v>1</v>
      </c>
      <c r="AF16">
        <v>0</v>
      </c>
      <c r="AH16">
        <v>0</v>
      </c>
      <c r="AI16">
        <v>0</v>
      </c>
      <c r="AJ16">
        <v>0</v>
      </c>
      <c r="AK16">
        <v>0</v>
      </c>
      <c r="AM16">
        <v>0</v>
      </c>
      <c r="AN16">
        <v>0</v>
      </c>
      <c r="AO16">
        <v>0</v>
      </c>
      <c r="AP16">
        <v>0</v>
      </c>
      <c r="AR16" s="2" t="s">
        <v>395</v>
      </c>
      <c r="AS16" s="2" t="s">
        <v>11</v>
      </c>
      <c r="AT16" s="2" t="s">
        <v>351</v>
      </c>
      <c r="AU16" s="2" t="s">
        <v>884</v>
      </c>
      <c r="AV16" s="2" t="s">
        <v>635</v>
      </c>
      <c r="AW16" s="2" t="s">
        <v>635</v>
      </c>
      <c r="AX16" s="2" t="s">
        <v>222</v>
      </c>
      <c r="AY16" s="2" t="s">
        <v>926</v>
      </c>
      <c r="AZ16" s="2" t="s">
        <v>396</v>
      </c>
      <c r="BA16" s="2" t="s">
        <v>803</v>
      </c>
      <c r="BC16" s="1"/>
      <c r="BD16" s="2" t="s">
        <v>1110</v>
      </c>
      <c r="BE16" s="2" t="s">
        <v>913</v>
      </c>
      <c r="BF16">
        <v>5</v>
      </c>
      <c r="BG16" s="2" t="s">
        <v>635</v>
      </c>
      <c r="BH16" s="2" t="s">
        <v>635</v>
      </c>
      <c r="BI16" s="2" t="s">
        <v>635</v>
      </c>
      <c r="BJ16" s="2" t="s">
        <v>353</v>
      </c>
      <c r="BK16" s="2" t="s">
        <v>635</v>
      </c>
      <c r="BL16" s="2" t="s">
        <v>635</v>
      </c>
      <c r="BM16" s="2" t="s">
        <v>52</v>
      </c>
      <c r="BN16" s="2" t="s">
        <v>635</v>
      </c>
      <c r="BO16" s="2" t="s">
        <v>635</v>
      </c>
      <c r="BP16" s="2" t="s">
        <v>333</v>
      </c>
      <c r="BQ16" s="2" t="s">
        <v>192</v>
      </c>
      <c r="BR16" s="2" t="s">
        <v>57</v>
      </c>
      <c r="BS16" s="2" t="s">
        <v>635</v>
      </c>
      <c r="BT16" s="2" t="s">
        <v>914</v>
      </c>
      <c r="BU16" s="2" t="s">
        <v>635</v>
      </c>
      <c r="BV16" s="2" t="s">
        <v>194</v>
      </c>
      <c r="BW16" s="2" t="s">
        <v>46</v>
      </c>
      <c r="BX16" s="2" t="s">
        <v>1111</v>
      </c>
      <c r="BY16" s="2" t="s">
        <v>666</v>
      </c>
      <c r="BZ16" s="2" t="s">
        <v>195</v>
      </c>
      <c r="CA16" s="2" t="s">
        <v>6</v>
      </c>
      <c r="CB16" s="2" t="s">
        <v>397</v>
      </c>
      <c r="CC16" s="2" t="s">
        <v>635</v>
      </c>
      <c r="CD16" s="2" t="s">
        <v>635</v>
      </c>
    </row>
    <row r="17" spans="1:82" x14ac:dyDescent="0.25">
      <c r="A17" s="2" t="s">
        <v>398</v>
      </c>
      <c r="B17" s="2" t="s">
        <v>399</v>
      </c>
      <c r="C17" s="2" t="s">
        <v>635</v>
      </c>
      <c r="D17" s="2" t="s">
        <v>635</v>
      </c>
      <c r="E17" s="2" t="s">
        <v>336</v>
      </c>
      <c r="F17" s="2" t="s">
        <v>635</v>
      </c>
      <c r="G17" s="2" t="s">
        <v>330</v>
      </c>
      <c r="H17" s="2" t="s">
        <v>635</v>
      </c>
      <c r="I17" s="2" t="s">
        <v>18</v>
      </c>
      <c r="J17" s="2" t="s">
        <v>635</v>
      </c>
      <c r="K17" s="2" t="s">
        <v>18</v>
      </c>
      <c r="L17" s="2" t="s">
        <v>635</v>
      </c>
      <c r="M17" s="2" t="s">
        <v>635</v>
      </c>
      <c r="N17">
        <v>602</v>
      </c>
      <c r="O17">
        <v>31</v>
      </c>
      <c r="Q17" s="2" t="s">
        <v>635</v>
      </c>
      <c r="S17" s="2" t="s">
        <v>635</v>
      </c>
      <c r="T17" s="2" t="s">
        <v>635</v>
      </c>
      <c r="U17" s="2" t="s">
        <v>51</v>
      </c>
      <c r="V17" s="2" t="s">
        <v>635</v>
      </c>
      <c r="W17" s="2" t="s">
        <v>635</v>
      </c>
      <c r="X17" s="2" t="s">
        <v>635</v>
      </c>
      <c r="Y17">
        <v>2015</v>
      </c>
      <c r="AA17" s="2" t="s">
        <v>635</v>
      </c>
      <c r="AB17" s="2" t="s">
        <v>635</v>
      </c>
      <c r="AC17">
        <v>1</v>
      </c>
      <c r="AD17">
        <v>0</v>
      </c>
      <c r="AE17">
        <v>1</v>
      </c>
      <c r="AF17">
        <v>0</v>
      </c>
      <c r="AH17">
        <v>0</v>
      </c>
      <c r="AI17">
        <v>0</v>
      </c>
      <c r="AJ17">
        <v>0</v>
      </c>
      <c r="AK17">
        <v>1</v>
      </c>
      <c r="AM17">
        <v>1</v>
      </c>
      <c r="AN17">
        <v>0</v>
      </c>
      <c r="AO17">
        <v>0</v>
      </c>
      <c r="AP17">
        <v>0</v>
      </c>
      <c r="AR17" s="2" t="s">
        <v>119</v>
      </c>
      <c r="AS17" s="2" t="s">
        <v>11</v>
      </c>
      <c r="AT17" s="2" t="s">
        <v>331</v>
      </c>
      <c r="AU17" s="2" t="s">
        <v>635</v>
      </c>
      <c r="AV17" s="2" t="s">
        <v>635</v>
      </c>
      <c r="AW17" s="2" t="s">
        <v>635</v>
      </c>
      <c r="AX17" s="2" t="s">
        <v>116</v>
      </c>
      <c r="AY17" s="2" t="s">
        <v>885</v>
      </c>
      <c r="AZ17" s="2" t="s">
        <v>114</v>
      </c>
      <c r="BA17" s="2" t="s">
        <v>400</v>
      </c>
      <c r="BC17" s="1"/>
      <c r="BD17" s="2" t="s">
        <v>635</v>
      </c>
      <c r="BE17" s="2" t="s">
        <v>635</v>
      </c>
      <c r="BF17">
        <v>2</v>
      </c>
      <c r="BG17" s="2" t="s">
        <v>635</v>
      </c>
      <c r="BH17" s="2" t="s">
        <v>635</v>
      </c>
      <c r="BI17" s="2" t="s">
        <v>635</v>
      </c>
      <c r="BJ17" s="2" t="s">
        <v>932</v>
      </c>
      <c r="BK17" s="2" t="s">
        <v>635</v>
      </c>
      <c r="BL17" s="2" t="s">
        <v>401</v>
      </c>
      <c r="BM17" s="2" t="s">
        <v>52</v>
      </c>
      <c r="BN17" s="2" t="s">
        <v>635</v>
      </c>
      <c r="BO17" s="2" t="s">
        <v>635</v>
      </c>
      <c r="BP17" s="2" t="s">
        <v>333</v>
      </c>
      <c r="BQ17" s="2" t="s">
        <v>115</v>
      </c>
      <c r="BR17" s="2" t="s">
        <v>635</v>
      </c>
      <c r="BS17" s="2" t="s">
        <v>635</v>
      </c>
      <c r="BT17" s="2" t="s">
        <v>838</v>
      </c>
      <c r="BU17" s="2" t="s">
        <v>635</v>
      </c>
      <c r="BV17" s="2" t="s">
        <v>117</v>
      </c>
      <c r="BW17" s="2" t="s">
        <v>635</v>
      </c>
      <c r="BX17" s="2" t="s">
        <v>1112</v>
      </c>
      <c r="BY17" s="2" t="s">
        <v>671</v>
      </c>
      <c r="BZ17" s="2" t="s">
        <v>118</v>
      </c>
      <c r="CA17" s="2" t="s">
        <v>6</v>
      </c>
      <c r="CB17" s="2" t="s">
        <v>120</v>
      </c>
      <c r="CC17" s="2" t="s">
        <v>937</v>
      </c>
      <c r="CD17" s="2" t="s">
        <v>635</v>
      </c>
    </row>
    <row r="18" spans="1:82" x14ac:dyDescent="0.25">
      <c r="A18" s="2" t="s">
        <v>376</v>
      </c>
      <c r="B18" s="2" t="s">
        <v>377</v>
      </c>
      <c r="C18" s="2" t="s">
        <v>635</v>
      </c>
      <c r="D18" s="2" t="s">
        <v>635</v>
      </c>
      <c r="E18" s="2" t="s">
        <v>336</v>
      </c>
      <c r="F18" s="2" t="s">
        <v>329</v>
      </c>
      <c r="G18" s="2" t="s">
        <v>330</v>
      </c>
      <c r="H18" s="2" t="s">
        <v>635</v>
      </c>
      <c r="I18" s="2" t="s">
        <v>635</v>
      </c>
      <c r="J18" s="2" t="s">
        <v>635</v>
      </c>
      <c r="K18" s="2" t="s">
        <v>635</v>
      </c>
      <c r="L18" s="2" t="s">
        <v>635</v>
      </c>
      <c r="M18" s="2" t="s">
        <v>635</v>
      </c>
      <c r="N18">
        <v>27276</v>
      </c>
      <c r="O18">
        <v>33</v>
      </c>
      <c r="Q18" s="2" t="s">
        <v>635</v>
      </c>
      <c r="S18" s="2" t="s">
        <v>635</v>
      </c>
      <c r="T18" s="2" t="s">
        <v>635</v>
      </c>
      <c r="U18" s="2" t="s">
        <v>13</v>
      </c>
      <c r="V18" s="2" t="s">
        <v>635</v>
      </c>
      <c r="W18" s="2" t="s">
        <v>635</v>
      </c>
      <c r="X18" s="2" t="s">
        <v>635</v>
      </c>
      <c r="Y18">
        <v>1993</v>
      </c>
      <c r="AA18" s="2" t="s">
        <v>635</v>
      </c>
      <c r="AB18" s="2" t="s">
        <v>635</v>
      </c>
      <c r="AC18">
        <v>0</v>
      </c>
      <c r="AD18">
        <v>1</v>
      </c>
      <c r="AF18">
        <v>0</v>
      </c>
      <c r="AH18">
        <v>0</v>
      </c>
      <c r="AI18">
        <v>0</v>
      </c>
      <c r="AJ18">
        <v>0</v>
      </c>
      <c r="AK18">
        <v>0</v>
      </c>
      <c r="AM18">
        <v>0</v>
      </c>
      <c r="AN18">
        <v>0</v>
      </c>
      <c r="AO18">
        <v>0</v>
      </c>
      <c r="AP18">
        <v>0</v>
      </c>
      <c r="AR18" s="2" t="s">
        <v>635</v>
      </c>
      <c r="AS18" s="2" t="s">
        <v>11</v>
      </c>
      <c r="AT18" s="2" t="s">
        <v>331</v>
      </c>
      <c r="AU18" s="2" t="s">
        <v>635</v>
      </c>
      <c r="AV18" s="2" t="s">
        <v>635</v>
      </c>
      <c r="AW18" s="2" t="s">
        <v>635</v>
      </c>
      <c r="AX18" s="2" t="s">
        <v>277</v>
      </c>
      <c r="AY18" s="2" t="s">
        <v>854</v>
      </c>
      <c r="AZ18" s="2" t="s">
        <v>297</v>
      </c>
      <c r="BA18" s="2" t="s">
        <v>645</v>
      </c>
      <c r="BC18" s="1"/>
      <c r="BD18" s="2" t="s">
        <v>813</v>
      </c>
      <c r="BE18" s="2" t="s">
        <v>635</v>
      </c>
      <c r="BG18" s="2" t="s">
        <v>635</v>
      </c>
      <c r="BH18" s="2" t="s">
        <v>635</v>
      </c>
      <c r="BI18" s="2" t="s">
        <v>635</v>
      </c>
      <c r="BJ18" s="2" t="s">
        <v>402</v>
      </c>
      <c r="BK18" s="2" t="s">
        <v>635</v>
      </c>
      <c r="BL18" s="2" t="s">
        <v>635</v>
      </c>
      <c r="BM18" s="2" t="s">
        <v>52</v>
      </c>
      <c r="BN18" s="2" t="s">
        <v>635</v>
      </c>
      <c r="BO18" s="2" t="s">
        <v>635</v>
      </c>
      <c r="BP18" s="2" t="s">
        <v>635</v>
      </c>
      <c r="BQ18" s="2" t="s">
        <v>298</v>
      </c>
      <c r="BR18" s="2" t="s">
        <v>635</v>
      </c>
      <c r="BS18" s="2" t="s">
        <v>635</v>
      </c>
      <c r="BT18" s="2" t="s">
        <v>941</v>
      </c>
      <c r="BU18" s="2" t="s">
        <v>635</v>
      </c>
      <c r="BV18" s="2" t="s">
        <v>635</v>
      </c>
      <c r="BW18" s="2" t="s">
        <v>635</v>
      </c>
      <c r="BX18" s="2" t="s">
        <v>814</v>
      </c>
      <c r="BY18" s="2" t="s">
        <v>635</v>
      </c>
      <c r="BZ18" s="2" t="s">
        <v>189</v>
      </c>
      <c r="CA18" s="2" t="s">
        <v>189</v>
      </c>
      <c r="CB18" s="2" t="s">
        <v>299</v>
      </c>
      <c r="CC18" s="2" t="s">
        <v>635</v>
      </c>
      <c r="CD18" s="2" t="s">
        <v>635</v>
      </c>
    </row>
    <row r="19" spans="1:82" x14ac:dyDescent="0.25">
      <c r="A19" s="2" t="s">
        <v>403</v>
      </c>
      <c r="B19" s="2" t="s">
        <v>404</v>
      </c>
      <c r="C19" s="2" t="s">
        <v>635</v>
      </c>
      <c r="D19" s="2" t="s">
        <v>635</v>
      </c>
      <c r="E19" s="2" t="s">
        <v>328</v>
      </c>
      <c r="F19" s="2" t="s">
        <v>329</v>
      </c>
      <c r="G19" s="2" t="s">
        <v>330</v>
      </c>
      <c r="H19" s="2" t="s">
        <v>635</v>
      </c>
      <c r="I19" s="2" t="s">
        <v>158</v>
      </c>
      <c r="J19" s="2" t="s">
        <v>635</v>
      </c>
      <c r="K19" s="2" t="s">
        <v>158</v>
      </c>
      <c r="L19" s="2" t="s">
        <v>635</v>
      </c>
      <c r="M19" s="2" t="s">
        <v>635</v>
      </c>
      <c r="N19">
        <v>18665</v>
      </c>
      <c r="O19">
        <v>4</v>
      </c>
      <c r="Q19" s="2" t="s">
        <v>635</v>
      </c>
      <c r="S19" s="2" t="s">
        <v>635</v>
      </c>
      <c r="T19" s="2" t="s">
        <v>635</v>
      </c>
      <c r="U19" s="2" t="s">
        <v>35</v>
      </c>
      <c r="V19" s="2" t="s">
        <v>635</v>
      </c>
      <c r="W19" s="2" t="s">
        <v>1113</v>
      </c>
      <c r="X19" s="2" t="s">
        <v>635</v>
      </c>
      <c r="Y19">
        <v>2015</v>
      </c>
      <c r="AA19" s="2" t="s">
        <v>635</v>
      </c>
      <c r="AB19" s="2" t="s">
        <v>635</v>
      </c>
      <c r="AC19">
        <v>1</v>
      </c>
      <c r="AD19">
        <v>1</v>
      </c>
      <c r="AF19">
        <v>0</v>
      </c>
      <c r="AH19">
        <v>0</v>
      </c>
      <c r="AI19">
        <v>0</v>
      </c>
      <c r="AJ19">
        <v>0</v>
      </c>
      <c r="AK19">
        <v>0</v>
      </c>
      <c r="AM19">
        <v>0</v>
      </c>
      <c r="AN19">
        <v>0</v>
      </c>
      <c r="AO19">
        <v>0</v>
      </c>
      <c r="AP19">
        <v>0</v>
      </c>
      <c r="AR19" s="2" t="s">
        <v>635</v>
      </c>
      <c r="AS19" s="2" t="s">
        <v>11</v>
      </c>
      <c r="AT19" s="2" t="s">
        <v>331</v>
      </c>
      <c r="AU19" s="2" t="s">
        <v>635</v>
      </c>
      <c r="AV19" s="2" t="s">
        <v>635</v>
      </c>
      <c r="AW19" s="2" t="s">
        <v>635</v>
      </c>
      <c r="AX19" s="2" t="s">
        <v>157</v>
      </c>
      <c r="AY19" s="2" t="s">
        <v>885</v>
      </c>
      <c r="AZ19" s="2" t="s">
        <v>155</v>
      </c>
      <c r="BA19" s="2" t="s">
        <v>646</v>
      </c>
      <c r="BC19" s="1"/>
      <c r="BD19" s="2" t="s">
        <v>159</v>
      </c>
      <c r="BE19" s="2" t="s">
        <v>635</v>
      </c>
      <c r="BG19" s="2" t="s">
        <v>635</v>
      </c>
      <c r="BH19" s="2" t="s">
        <v>635</v>
      </c>
      <c r="BI19" s="2" t="s">
        <v>635</v>
      </c>
      <c r="BJ19" s="2" t="s">
        <v>156</v>
      </c>
      <c r="BK19" s="2" t="s">
        <v>635</v>
      </c>
      <c r="BL19" s="2" t="s">
        <v>635</v>
      </c>
      <c r="BM19" s="2" t="s">
        <v>14</v>
      </c>
      <c r="BN19" s="2" t="s">
        <v>635</v>
      </c>
      <c r="BO19" s="2" t="s">
        <v>635</v>
      </c>
      <c r="BP19" s="2" t="s">
        <v>635</v>
      </c>
      <c r="BQ19" s="2" t="s">
        <v>156</v>
      </c>
      <c r="BR19" s="2" t="s">
        <v>635</v>
      </c>
      <c r="BS19" s="2" t="s">
        <v>635</v>
      </c>
      <c r="BT19" s="2" t="s">
        <v>946</v>
      </c>
      <c r="BU19" s="2" t="s">
        <v>635</v>
      </c>
      <c r="BV19" s="2" t="s">
        <v>635</v>
      </c>
      <c r="BW19" s="2" t="s">
        <v>635</v>
      </c>
      <c r="BX19" s="2" t="s">
        <v>159</v>
      </c>
      <c r="BY19" s="2" t="s">
        <v>635</v>
      </c>
      <c r="BZ19" s="2" t="s">
        <v>136</v>
      </c>
      <c r="CA19" s="2" t="s">
        <v>136</v>
      </c>
      <c r="CB19" s="2" t="s">
        <v>160</v>
      </c>
      <c r="CC19" s="2" t="s">
        <v>635</v>
      </c>
      <c r="CD19" s="2" t="s">
        <v>635</v>
      </c>
    </row>
    <row r="20" spans="1:82" x14ac:dyDescent="0.25">
      <c r="A20" s="2" t="s">
        <v>947</v>
      </c>
      <c r="B20" s="2" t="s">
        <v>948</v>
      </c>
      <c r="C20" s="2" t="s">
        <v>635</v>
      </c>
      <c r="D20" s="2" t="s">
        <v>635</v>
      </c>
      <c r="E20" s="2" t="s">
        <v>346</v>
      </c>
      <c r="F20" s="2" t="s">
        <v>329</v>
      </c>
      <c r="G20" s="2" t="s">
        <v>330</v>
      </c>
      <c r="H20" s="2" t="s">
        <v>635</v>
      </c>
      <c r="I20" s="2" t="s">
        <v>175</v>
      </c>
      <c r="J20" s="2" t="s">
        <v>635</v>
      </c>
      <c r="K20" s="2" t="s">
        <v>175</v>
      </c>
      <c r="L20" s="2" t="s">
        <v>635</v>
      </c>
      <c r="M20" s="2" t="s">
        <v>635</v>
      </c>
      <c r="N20">
        <v>11263</v>
      </c>
      <c r="O20">
        <v>31</v>
      </c>
      <c r="P20">
        <v>40</v>
      </c>
      <c r="Q20" s="2" t="s">
        <v>635</v>
      </c>
      <c r="R20">
        <v>40</v>
      </c>
      <c r="S20" s="2" t="s">
        <v>950</v>
      </c>
      <c r="T20" s="2" t="s">
        <v>635</v>
      </c>
      <c r="U20" s="2" t="s">
        <v>35</v>
      </c>
      <c r="V20" s="2" t="s">
        <v>635</v>
      </c>
      <c r="W20" s="2" t="s">
        <v>635</v>
      </c>
      <c r="X20" s="2" t="s">
        <v>635</v>
      </c>
      <c r="Y20">
        <v>2015</v>
      </c>
      <c r="AA20" s="2" t="s">
        <v>635</v>
      </c>
      <c r="AB20" s="2" t="s">
        <v>635</v>
      </c>
      <c r="AC20">
        <v>1</v>
      </c>
      <c r="AD20">
        <v>1</v>
      </c>
      <c r="AF20">
        <v>0</v>
      </c>
      <c r="AH20">
        <v>0</v>
      </c>
      <c r="AI20">
        <v>0</v>
      </c>
      <c r="AJ20">
        <v>0</v>
      </c>
      <c r="AK20">
        <v>0</v>
      </c>
      <c r="AM20">
        <v>0</v>
      </c>
      <c r="AN20">
        <v>0</v>
      </c>
      <c r="AO20">
        <v>0</v>
      </c>
      <c r="AP20">
        <v>0</v>
      </c>
      <c r="AR20" s="2" t="s">
        <v>951</v>
      </c>
      <c r="AS20" s="2" t="s">
        <v>11</v>
      </c>
      <c r="AT20" s="2" t="s">
        <v>952</v>
      </c>
      <c r="AU20" s="2" t="s">
        <v>635</v>
      </c>
      <c r="AV20" s="2" t="s">
        <v>635</v>
      </c>
      <c r="AW20" s="2" t="s">
        <v>635</v>
      </c>
      <c r="AX20" s="2" t="s">
        <v>267</v>
      </c>
      <c r="AY20" s="2" t="s">
        <v>926</v>
      </c>
      <c r="AZ20" s="2" t="s">
        <v>953</v>
      </c>
      <c r="BA20" s="2" t="s">
        <v>954</v>
      </c>
      <c r="BC20" s="1"/>
      <c r="BD20" s="2" t="s">
        <v>1114</v>
      </c>
      <c r="BE20" s="2" t="s">
        <v>957</v>
      </c>
      <c r="BG20" s="2" t="s">
        <v>635</v>
      </c>
      <c r="BH20" s="2" t="s">
        <v>635</v>
      </c>
      <c r="BI20" s="2" t="s">
        <v>635</v>
      </c>
      <c r="BJ20" s="2" t="s">
        <v>958</v>
      </c>
      <c r="BK20" s="2" t="s">
        <v>635</v>
      </c>
      <c r="BL20" s="2" t="s">
        <v>635</v>
      </c>
      <c r="BM20" s="2" t="s">
        <v>52</v>
      </c>
      <c r="BN20" s="2" t="s">
        <v>635</v>
      </c>
      <c r="BO20" s="2" t="s">
        <v>635</v>
      </c>
      <c r="BP20" s="2" t="s">
        <v>333</v>
      </c>
      <c r="BQ20" s="2" t="s">
        <v>959</v>
      </c>
      <c r="BR20" s="2" t="s">
        <v>354</v>
      </c>
      <c r="BS20" s="2" t="s">
        <v>635</v>
      </c>
      <c r="BT20" s="2" t="s">
        <v>838</v>
      </c>
      <c r="BU20" s="2" t="s">
        <v>635</v>
      </c>
      <c r="BV20" s="2" t="s">
        <v>635</v>
      </c>
      <c r="BW20" s="2" t="s">
        <v>635</v>
      </c>
      <c r="BX20" s="2" t="s">
        <v>1115</v>
      </c>
      <c r="BY20" s="2" t="s">
        <v>635</v>
      </c>
      <c r="BZ20" s="2" t="s">
        <v>99</v>
      </c>
      <c r="CA20" s="2" t="s">
        <v>99</v>
      </c>
      <c r="CB20" s="2" t="s">
        <v>961</v>
      </c>
      <c r="CC20" s="2" t="s">
        <v>635</v>
      </c>
      <c r="CD20" s="2" t="s">
        <v>635</v>
      </c>
    </row>
    <row r="21" spans="1:82" x14ac:dyDescent="0.25">
      <c r="A21" s="2" t="s">
        <v>405</v>
      </c>
      <c r="B21" s="2" t="s">
        <v>406</v>
      </c>
      <c r="C21" s="2" t="s">
        <v>635</v>
      </c>
      <c r="D21" s="2" t="s">
        <v>635</v>
      </c>
      <c r="E21" s="2" t="s">
        <v>336</v>
      </c>
      <c r="F21" s="2" t="s">
        <v>329</v>
      </c>
      <c r="G21" s="2" t="s">
        <v>407</v>
      </c>
      <c r="H21" s="2" t="s">
        <v>635</v>
      </c>
      <c r="I21" s="2" t="s">
        <v>64</v>
      </c>
      <c r="J21" s="2" t="s">
        <v>635</v>
      </c>
      <c r="K21" s="2" t="s">
        <v>64</v>
      </c>
      <c r="L21" s="2" t="s">
        <v>635</v>
      </c>
      <c r="M21" s="2" t="s">
        <v>635</v>
      </c>
      <c r="N21">
        <v>11979</v>
      </c>
      <c r="O21">
        <v>7</v>
      </c>
      <c r="Q21" s="2" t="s">
        <v>635</v>
      </c>
      <c r="S21" s="2" t="s">
        <v>635</v>
      </c>
      <c r="T21" s="2" t="s">
        <v>635</v>
      </c>
      <c r="U21" s="2" t="s">
        <v>13</v>
      </c>
      <c r="V21" s="2" t="s">
        <v>635</v>
      </c>
      <c r="W21" s="2" t="s">
        <v>635</v>
      </c>
      <c r="X21" s="2" t="s">
        <v>635</v>
      </c>
      <c r="Y21">
        <v>1993</v>
      </c>
      <c r="AA21" s="2" t="s">
        <v>635</v>
      </c>
      <c r="AB21" s="2" t="s">
        <v>635</v>
      </c>
      <c r="AC21">
        <v>0</v>
      </c>
      <c r="AD21">
        <v>1</v>
      </c>
      <c r="AF21">
        <v>0</v>
      </c>
      <c r="AH21">
        <v>0</v>
      </c>
      <c r="AI21">
        <v>0</v>
      </c>
      <c r="AJ21">
        <v>0</v>
      </c>
      <c r="AK21">
        <v>0</v>
      </c>
      <c r="AM21">
        <v>1</v>
      </c>
      <c r="AN21">
        <v>0</v>
      </c>
      <c r="AO21">
        <v>0</v>
      </c>
      <c r="AP21">
        <v>0</v>
      </c>
      <c r="AR21" s="2" t="s">
        <v>635</v>
      </c>
      <c r="AS21" s="2" t="s">
        <v>11</v>
      </c>
      <c r="AT21" s="2" t="s">
        <v>331</v>
      </c>
      <c r="AU21" s="2" t="s">
        <v>635</v>
      </c>
      <c r="AV21" s="2" t="s">
        <v>635</v>
      </c>
      <c r="AW21" s="2" t="s">
        <v>635</v>
      </c>
      <c r="AX21" s="2" t="s">
        <v>193</v>
      </c>
      <c r="AY21" s="2" t="s">
        <v>854</v>
      </c>
      <c r="AZ21" s="2" t="s">
        <v>306</v>
      </c>
      <c r="BA21" s="2" t="s">
        <v>647</v>
      </c>
      <c r="BC21" s="1"/>
      <c r="BD21" s="2" t="s">
        <v>408</v>
      </c>
      <c r="BE21" s="2" t="s">
        <v>635</v>
      </c>
      <c r="BG21" s="2" t="s">
        <v>635</v>
      </c>
      <c r="BH21" s="2" t="s">
        <v>635</v>
      </c>
      <c r="BI21" s="2" t="s">
        <v>635</v>
      </c>
      <c r="BJ21" s="2" t="s">
        <v>409</v>
      </c>
      <c r="BK21" s="2" t="s">
        <v>635</v>
      </c>
      <c r="BL21" s="2" t="s">
        <v>635</v>
      </c>
      <c r="BM21" s="2" t="s">
        <v>104</v>
      </c>
      <c r="BN21" s="2" t="s">
        <v>635</v>
      </c>
      <c r="BO21" s="2" t="s">
        <v>635</v>
      </c>
      <c r="BP21" s="2" t="s">
        <v>635</v>
      </c>
      <c r="BQ21" s="2" t="s">
        <v>307</v>
      </c>
      <c r="BR21" s="2" t="s">
        <v>635</v>
      </c>
      <c r="BS21" s="2" t="s">
        <v>635</v>
      </c>
      <c r="BT21" s="2" t="s">
        <v>964</v>
      </c>
      <c r="BU21" s="2" t="s">
        <v>635</v>
      </c>
      <c r="BV21" s="2" t="s">
        <v>635</v>
      </c>
      <c r="BW21" s="2" t="s">
        <v>635</v>
      </c>
      <c r="BX21" s="2" t="s">
        <v>308</v>
      </c>
      <c r="BY21" s="2" t="s">
        <v>635</v>
      </c>
      <c r="BZ21" s="2" t="s">
        <v>99</v>
      </c>
      <c r="CA21" s="2" t="s">
        <v>99</v>
      </c>
      <c r="CB21" s="2" t="s">
        <v>309</v>
      </c>
      <c r="CC21" s="2" t="s">
        <v>635</v>
      </c>
      <c r="CD21" s="2" t="s">
        <v>635</v>
      </c>
    </row>
    <row r="22" spans="1:82" x14ac:dyDescent="0.25">
      <c r="A22" s="2" t="s">
        <v>410</v>
      </c>
      <c r="B22" s="2" t="s">
        <v>411</v>
      </c>
      <c r="C22" s="2" t="s">
        <v>635</v>
      </c>
      <c r="D22" s="2" t="s">
        <v>635</v>
      </c>
      <c r="E22" s="2" t="s">
        <v>412</v>
      </c>
      <c r="F22" s="2" t="s">
        <v>635</v>
      </c>
      <c r="G22" s="2" t="s">
        <v>330</v>
      </c>
      <c r="H22" s="2" t="s">
        <v>635</v>
      </c>
      <c r="I22" s="2" t="s">
        <v>18</v>
      </c>
      <c r="J22" s="2" t="s">
        <v>635</v>
      </c>
      <c r="K22" s="2" t="s">
        <v>18</v>
      </c>
      <c r="L22" s="2" t="s">
        <v>635</v>
      </c>
      <c r="M22" s="2" t="s">
        <v>635</v>
      </c>
      <c r="N22">
        <v>650</v>
      </c>
      <c r="O22">
        <v>64</v>
      </c>
      <c r="Q22" s="2" t="s">
        <v>635</v>
      </c>
      <c r="S22" s="2" t="s">
        <v>635</v>
      </c>
      <c r="T22" s="2" t="s">
        <v>635</v>
      </c>
      <c r="U22" s="2" t="s">
        <v>13</v>
      </c>
      <c r="V22" s="2" t="s">
        <v>635</v>
      </c>
      <c r="W22" s="2" t="s">
        <v>635</v>
      </c>
      <c r="X22" s="2" t="s">
        <v>635</v>
      </c>
      <c r="Y22">
        <v>2015</v>
      </c>
      <c r="AA22" s="2" t="s">
        <v>635</v>
      </c>
      <c r="AB22" s="2" t="s">
        <v>635</v>
      </c>
      <c r="AC22">
        <v>0</v>
      </c>
      <c r="AD22">
        <v>1</v>
      </c>
      <c r="AF22">
        <v>0</v>
      </c>
      <c r="AH22">
        <v>0</v>
      </c>
      <c r="AI22">
        <v>0</v>
      </c>
      <c r="AJ22">
        <v>0</v>
      </c>
      <c r="AK22">
        <v>0</v>
      </c>
      <c r="AM22">
        <v>1</v>
      </c>
      <c r="AN22">
        <v>0</v>
      </c>
      <c r="AO22">
        <v>0</v>
      </c>
      <c r="AP22">
        <v>0</v>
      </c>
      <c r="AR22" s="2" t="s">
        <v>21</v>
      </c>
      <c r="AS22" s="2" t="s">
        <v>11</v>
      </c>
      <c r="AT22" s="2" t="s">
        <v>331</v>
      </c>
      <c r="AU22" s="2" t="s">
        <v>635</v>
      </c>
      <c r="AV22" s="2" t="s">
        <v>635</v>
      </c>
      <c r="AW22" s="2" t="s">
        <v>635</v>
      </c>
      <c r="AX22" s="2" t="s">
        <v>17</v>
      </c>
      <c r="AY22" s="2" t="s">
        <v>966</v>
      </c>
      <c r="AZ22" s="2" t="s">
        <v>15</v>
      </c>
      <c r="BA22" s="2" t="s">
        <v>648</v>
      </c>
      <c r="BC22" s="1"/>
      <c r="BD22" s="2" t="s">
        <v>1116</v>
      </c>
      <c r="BE22" s="2" t="s">
        <v>635</v>
      </c>
      <c r="BF22">
        <v>5</v>
      </c>
      <c r="BG22" s="2" t="s">
        <v>635</v>
      </c>
      <c r="BH22" s="2" t="s">
        <v>635</v>
      </c>
      <c r="BI22" s="2" t="s">
        <v>635</v>
      </c>
      <c r="BJ22" s="2" t="s">
        <v>802</v>
      </c>
      <c r="BK22" s="2" t="s">
        <v>635</v>
      </c>
      <c r="BL22" s="2" t="s">
        <v>635</v>
      </c>
      <c r="BM22" s="2" t="s">
        <v>23</v>
      </c>
      <c r="BN22" s="2" t="s">
        <v>635</v>
      </c>
      <c r="BO22" s="2" t="s">
        <v>635</v>
      </c>
      <c r="BP22" s="2" t="s">
        <v>333</v>
      </c>
      <c r="BQ22" s="2" t="s">
        <v>16</v>
      </c>
      <c r="BR22" s="2" t="s">
        <v>635</v>
      </c>
      <c r="BS22" s="2" t="s">
        <v>635</v>
      </c>
      <c r="BT22" s="2" t="s">
        <v>970</v>
      </c>
      <c r="BU22" s="2" t="s">
        <v>635</v>
      </c>
      <c r="BV22" s="2" t="s">
        <v>19</v>
      </c>
      <c r="BW22" s="2" t="s">
        <v>635</v>
      </c>
      <c r="BX22" s="2" t="s">
        <v>1117</v>
      </c>
      <c r="BY22" s="2" t="s">
        <v>666</v>
      </c>
      <c r="BZ22" s="2" t="s">
        <v>20</v>
      </c>
      <c r="CA22" s="2" t="s">
        <v>6</v>
      </c>
      <c r="CB22" s="2" t="s">
        <v>22</v>
      </c>
      <c r="CC22" s="2" t="s">
        <v>635</v>
      </c>
      <c r="CD22" s="2" t="s">
        <v>635</v>
      </c>
    </row>
    <row r="23" spans="1:82" x14ac:dyDescent="0.25">
      <c r="A23" s="2" t="s">
        <v>947</v>
      </c>
      <c r="B23" s="2" t="s">
        <v>948</v>
      </c>
      <c r="C23" s="2" t="s">
        <v>635</v>
      </c>
      <c r="D23" s="2" t="s">
        <v>635</v>
      </c>
      <c r="E23" s="2" t="s">
        <v>346</v>
      </c>
      <c r="F23" s="2" t="s">
        <v>329</v>
      </c>
      <c r="G23" s="2" t="s">
        <v>330</v>
      </c>
      <c r="H23" s="2" t="s">
        <v>635</v>
      </c>
      <c r="I23" s="2" t="s">
        <v>175</v>
      </c>
      <c r="J23" s="2" t="s">
        <v>635</v>
      </c>
      <c r="K23" s="2" t="s">
        <v>175</v>
      </c>
      <c r="L23" s="2" t="s">
        <v>635</v>
      </c>
      <c r="M23" s="2" t="s">
        <v>635</v>
      </c>
      <c r="N23">
        <v>11263</v>
      </c>
      <c r="O23">
        <v>31</v>
      </c>
      <c r="P23">
        <v>30</v>
      </c>
      <c r="Q23" s="2" t="s">
        <v>635</v>
      </c>
      <c r="R23">
        <v>30</v>
      </c>
      <c r="S23" s="2" t="s">
        <v>972</v>
      </c>
      <c r="T23" s="2" t="s">
        <v>635</v>
      </c>
      <c r="U23" s="2" t="s">
        <v>35</v>
      </c>
      <c r="V23" s="2" t="s">
        <v>635</v>
      </c>
      <c r="W23" s="2" t="s">
        <v>635</v>
      </c>
      <c r="X23" s="2" t="s">
        <v>635</v>
      </c>
      <c r="Y23">
        <v>2015</v>
      </c>
      <c r="AA23" s="2" t="s">
        <v>635</v>
      </c>
      <c r="AB23" s="2" t="s">
        <v>635</v>
      </c>
      <c r="AC23">
        <v>1</v>
      </c>
      <c r="AD23">
        <v>1</v>
      </c>
      <c r="AF23">
        <v>0</v>
      </c>
      <c r="AH23">
        <v>0</v>
      </c>
      <c r="AI23">
        <v>0</v>
      </c>
      <c r="AJ23">
        <v>0</v>
      </c>
      <c r="AK23">
        <v>0</v>
      </c>
      <c r="AM23">
        <v>0</v>
      </c>
      <c r="AN23">
        <v>0</v>
      </c>
      <c r="AO23">
        <v>0</v>
      </c>
      <c r="AP23">
        <v>0</v>
      </c>
      <c r="AR23" s="2" t="s">
        <v>635</v>
      </c>
      <c r="AS23" s="2" t="s">
        <v>11</v>
      </c>
      <c r="AT23" s="2" t="s">
        <v>952</v>
      </c>
      <c r="AU23" s="2" t="s">
        <v>635</v>
      </c>
      <c r="AV23" s="2" t="s">
        <v>635</v>
      </c>
      <c r="AW23" s="2" t="s">
        <v>635</v>
      </c>
      <c r="AX23" s="2" t="s">
        <v>973</v>
      </c>
      <c r="AY23" s="2" t="s">
        <v>926</v>
      </c>
      <c r="AZ23" s="2" t="s">
        <v>953</v>
      </c>
      <c r="BA23" s="2" t="s">
        <v>954</v>
      </c>
      <c r="BC23" s="1"/>
      <c r="BD23" s="2" t="s">
        <v>1114</v>
      </c>
      <c r="BE23" s="2" t="s">
        <v>961</v>
      </c>
      <c r="BG23" s="2" t="s">
        <v>635</v>
      </c>
      <c r="BH23" s="2" t="s">
        <v>635</v>
      </c>
      <c r="BI23" s="2" t="s">
        <v>635</v>
      </c>
      <c r="BJ23" s="2" t="s">
        <v>958</v>
      </c>
      <c r="BK23" s="2" t="s">
        <v>635</v>
      </c>
      <c r="BL23" s="2" t="s">
        <v>635</v>
      </c>
      <c r="BM23" s="2" t="s">
        <v>52</v>
      </c>
      <c r="BN23" s="2" t="s">
        <v>635</v>
      </c>
      <c r="BO23" s="2" t="s">
        <v>635</v>
      </c>
      <c r="BP23" s="2" t="s">
        <v>333</v>
      </c>
      <c r="BQ23" s="2" t="s">
        <v>959</v>
      </c>
      <c r="BR23" s="2" t="s">
        <v>57</v>
      </c>
      <c r="BS23" s="2" t="s">
        <v>635</v>
      </c>
      <c r="BT23" s="2" t="s">
        <v>974</v>
      </c>
      <c r="BU23" s="2" t="s">
        <v>635</v>
      </c>
      <c r="BV23" s="2" t="s">
        <v>635</v>
      </c>
      <c r="BW23" s="2" t="s">
        <v>635</v>
      </c>
      <c r="BX23" s="2" t="s">
        <v>975</v>
      </c>
      <c r="BY23" s="2" t="s">
        <v>635</v>
      </c>
      <c r="BZ23" s="2" t="s">
        <v>99</v>
      </c>
      <c r="CA23" s="2" t="s">
        <v>99</v>
      </c>
      <c r="CB23" s="2" t="s">
        <v>957</v>
      </c>
      <c r="CC23" s="2" t="s">
        <v>635</v>
      </c>
      <c r="CD23" s="2" t="s">
        <v>635</v>
      </c>
    </row>
    <row r="24" spans="1:82" x14ac:dyDescent="0.25">
      <c r="A24" s="2" t="s">
        <v>413</v>
      </c>
      <c r="B24" s="2" t="s">
        <v>414</v>
      </c>
      <c r="C24" s="2" t="s">
        <v>635</v>
      </c>
      <c r="D24" s="2" t="s">
        <v>635</v>
      </c>
      <c r="E24" s="2" t="s">
        <v>336</v>
      </c>
      <c r="F24" s="2" t="s">
        <v>329</v>
      </c>
      <c r="G24" s="2" t="s">
        <v>330</v>
      </c>
      <c r="H24" s="2" t="s">
        <v>635</v>
      </c>
      <c r="I24" s="2" t="s">
        <v>18</v>
      </c>
      <c r="J24" s="2" t="s">
        <v>635</v>
      </c>
      <c r="K24" s="2" t="s">
        <v>18</v>
      </c>
      <c r="L24" s="2" t="s">
        <v>635</v>
      </c>
      <c r="M24" s="2" t="s">
        <v>635</v>
      </c>
      <c r="N24">
        <v>14391</v>
      </c>
      <c r="O24">
        <v>7</v>
      </c>
      <c r="Q24" s="2" t="s">
        <v>635</v>
      </c>
      <c r="S24" s="2" t="s">
        <v>635</v>
      </c>
      <c r="T24" s="2" t="s">
        <v>635</v>
      </c>
      <c r="U24" s="2" t="s">
        <v>13</v>
      </c>
      <c r="V24" s="2" t="s">
        <v>635</v>
      </c>
      <c r="W24" s="2" t="s">
        <v>635</v>
      </c>
      <c r="X24" s="2" t="s">
        <v>635</v>
      </c>
      <c r="Y24">
        <v>1993</v>
      </c>
      <c r="AA24" s="2" t="s">
        <v>635</v>
      </c>
      <c r="AB24" s="2" t="s">
        <v>635</v>
      </c>
      <c r="AC24">
        <v>0</v>
      </c>
      <c r="AD24">
        <v>1</v>
      </c>
      <c r="AF24">
        <v>0</v>
      </c>
      <c r="AH24">
        <v>0</v>
      </c>
      <c r="AI24">
        <v>0</v>
      </c>
      <c r="AJ24">
        <v>0</v>
      </c>
      <c r="AK24">
        <v>0</v>
      </c>
      <c r="AM24">
        <v>0</v>
      </c>
      <c r="AN24">
        <v>0</v>
      </c>
      <c r="AO24">
        <v>0</v>
      </c>
      <c r="AP24">
        <v>0</v>
      </c>
      <c r="AR24" s="2" t="s">
        <v>635</v>
      </c>
      <c r="AS24" s="2" t="s">
        <v>11</v>
      </c>
      <c r="AT24" s="2" t="s">
        <v>331</v>
      </c>
      <c r="AU24" s="2" t="s">
        <v>635</v>
      </c>
      <c r="AV24" s="2" t="s">
        <v>635</v>
      </c>
      <c r="AW24" s="2" t="s">
        <v>635</v>
      </c>
      <c r="AX24" s="2" t="s">
        <v>302</v>
      </c>
      <c r="AY24" s="2" t="s">
        <v>885</v>
      </c>
      <c r="AZ24" s="2" t="s">
        <v>300</v>
      </c>
      <c r="BA24" s="2" t="s">
        <v>649</v>
      </c>
      <c r="BC24" s="1"/>
      <c r="BD24" s="2" t="s">
        <v>1118</v>
      </c>
      <c r="BE24" s="2" t="s">
        <v>635</v>
      </c>
      <c r="BF24">
        <v>2</v>
      </c>
      <c r="BG24" s="2" t="s">
        <v>635</v>
      </c>
      <c r="BH24" s="2" t="s">
        <v>635</v>
      </c>
      <c r="BI24" s="2" t="s">
        <v>635</v>
      </c>
      <c r="BJ24" s="2" t="s">
        <v>415</v>
      </c>
      <c r="BK24" s="2" t="s">
        <v>635</v>
      </c>
      <c r="BL24" s="2" t="s">
        <v>635</v>
      </c>
      <c r="BM24" s="2" t="s">
        <v>104</v>
      </c>
      <c r="BN24" s="2" t="s">
        <v>635</v>
      </c>
      <c r="BO24" s="2" t="s">
        <v>635</v>
      </c>
      <c r="BP24" s="2" t="s">
        <v>635</v>
      </c>
      <c r="BQ24" s="2" t="s">
        <v>301</v>
      </c>
      <c r="BR24" s="2" t="s">
        <v>635</v>
      </c>
      <c r="BS24" s="2" t="s">
        <v>635</v>
      </c>
      <c r="BT24" s="2" t="s">
        <v>980</v>
      </c>
      <c r="BU24" s="2" t="s">
        <v>635</v>
      </c>
      <c r="BV24" s="2" t="s">
        <v>303</v>
      </c>
      <c r="BW24" s="2" t="s">
        <v>635</v>
      </c>
      <c r="BX24" s="2" t="s">
        <v>1119</v>
      </c>
      <c r="BY24" s="2" t="s">
        <v>865</v>
      </c>
      <c r="BZ24" s="2" t="s">
        <v>304</v>
      </c>
      <c r="CA24" s="2" t="s">
        <v>6</v>
      </c>
      <c r="CB24" s="2" t="s">
        <v>305</v>
      </c>
      <c r="CC24" s="2" t="s">
        <v>635</v>
      </c>
      <c r="CD24" s="2" t="s">
        <v>635</v>
      </c>
    </row>
    <row r="25" spans="1:82" x14ac:dyDescent="0.25">
      <c r="A25" s="2" t="s">
        <v>416</v>
      </c>
      <c r="B25" s="2" t="s">
        <v>417</v>
      </c>
      <c r="C25" s="2" t="s">
        <v>635</v>
      </c>
      <c r="D25" s="2" t="s">
        <v>635</v>
      </c>
      <c r="E25" s="2" t="s">
        <v>336</v>
      </c>
      <c r="F25" s="2" t="s">
        <v>329</v>
      </c>
      <c r="G25" s="2" t="s">
        <v>330</v>
      </c>
      <c r="H25" s="2" t="s">
        <v>635</v>
      </c>
      <c r="I25" s="2" t="s">
        <v>18</v>
      </c>
      <c r="J25" s="2" t="s">
        <v>635</v>
      </c>
      <c r="K25" s="2" t="s">
        <v>18</v>
      </c>
      <c r="L25" s="2" t="s">
        <v>635</v>
      </c>
      <c r="M25" s="2" t="s">
        <v>635</v>
      </c>
      <c r="N25">
        <v>29060</v>
      </c>
      <c r="O25">
        <v>22</v>
      </c>
      <c r="Q25" s="2" t="s">
        <v>635</v>
      </c>
      <c r="S25" s="2" t="s">
        <v>635</v>
      </c>
      <c r="T25" s="2" t="s">
        <v>635</v>
      </c>
      <c r="U25" s="2" t="s">
        <v>13</v>
      </c>
      <c r="V25" s="2" t="s">
        <v>635</v>
      </c>
      <c r="W25" s="2" t="s">
        <v>1120</v>
      </c>
      <c r="X25" s="2" t="s">
        <v>635</v>
      </c>
      <c r="Y25">
        <v>1993</v>
      </c>
      <c r="AA25" s="2" t="s">
        <v>635</v>
      </c>
      <c r="AB25" s="2" t="s">
        <v>635</v>
      </c>
      <c r="AC25">
        <v>0</v>
      </c>
      <c r="AD25">
        <v>1</v>
      </c>
      <c r="AF25">
        <v>0</v>
      </c>
      <c r="AH25">
        <v>0</v>
      </c>
      <c r="AI25">
        <v>0</v>
      </c>
      <c r="AJ25">
        <v>0</v>
      </c>
      <c r="AK25">
        <v>0</v>
      </c>
      <c r="AM25">
        <v>0</v>
      </c>
      <c r="AN25">
        <v>0</v>
      </c>
      <c r="AO25">
        <v>0</v>
      </c>
      <c r="AP25">
        <v>0</v>
      </c>
      <c r="AR25" s="2" t="s">
        <v>635</v>
      </c>
      <c r="AS25" s="2" t="s">
        <v>11</v>
      </c>
      <c r="AT25" s="2" t="s">
        <v>331</v>
      </c>
      <c r="AU25" s="2" t="s">
        <v>635</v>
      </c>
      <c r="AV25" s="2" t="s">
        <v>635</v>
      </c>
      <c r="AW25" s="2" t="s">
        <v>635</v>
      </c>
      <c r="AX25" s="2" t="s">
        <v>295</v>
      </c>
      <c r="AY25" s="2" t="s">
        <v>854</v>
      </c>
      <c r="AZ25" s="2" t="s">
        <v>293</v>
      </c>
      <c r="BA25" s="2" t="s">
        <v>418</v>
      </c>
      <c r="BC25" s="1"/>
      <c r="BD25" s="2" t="s">
        <v>806</v>
      </c>
      <c r="BE25" s="2" t="s">
        <v>635</v>
      </c>
      <c r="BF25">
        <v>6</v>
      </c>
      <c r="BG25" s="2" t="s">
        <v>635</v>
      </c>
      <c r="BH25" s="2" t="s">
        <v>635</v>
      </c>
      <c r="BI25" s="2" t="s">
        <v>635</v>
      </c>
      <c r="BJ25" s="2" t="s">
        <v>419</v>
      </c>
      <c r="BK25" s="2" t="s">
        <v>635</v>
      </c>
      <c r="BL25" s="2" t="s">
        <v>635</v>
      </c>
      <c r="BM25" s="2" t="s">
        <v>14</v>
      </c>
      <c r="BN25" s="2" t="s">
        <v>635</v>
      </c>
      <c r="BO25" s="2" t="s">
        <v>635</v>
      </c>
      <c r="BP25" s="2" t="s">
        <v>635</v>
      </c>
      <c r="BQ25" s="2" t="s">
        <v>294</v>
      </c>
      <c r="BR25" s="2" t="s">
        <v>635</v>
      </c>
      <c r="BS25" s="2" t="s">
        <v>635</v>
      </c>
      <c r="BT25" s="2" t="s">
        <v>987</v>
      </c>
      <c r="BU25" s="2" t="s">
        <v>635</v>
      </c>
      <c r="BV25" s="2" t="s">
        <v>19</v>
      </c>
      <c r="BW25" s="2" t="s">
        <v>635</v>
      </c>
      <c r="BX25" s="2" t="s">
        <v>807</v>
      </c>
      <c r="BY25" s="2" t="s">
        <v>865</v>
      </c>
      <c r="BZ25" s="2" t="s">
        <v>20</v>
      </c>
      <c r="CA25" s="2" t="s">
        <v>6</v>
      </c>
      <c r="CB25" s="2" t="s">
        <v>296</v>
      </c>
      <c r="CC25" s="2" t="s">
        <v>988</v>
      </c>
      <c r="CD25" s="2" t="s">
        <v>635</v>
      </c>
    </row>
    <row r="26" spans="1:82" x14ac:dyDescent="0.25">
      <c r="A26" s="2" t="s">
        <v>420</v>
      </c>
      <c r="B26" s="2" t="s">
        <v>421</v>
      </c>
      <c r="C26" s="2" t="s">
        <v>635</v>
      </c>
      <c r="D26" s="2" t="s">
        <v>635</v>
      </c>
      <c r="E26" s="2" t="s">
        <v>346</v>
      </c>
      <c r="F26" s="2" t="s">
        <v>329</v>
      </c>
      <c r="G26" s="2" t="s">
        <v>330</v>
      </c>
      <c r="H26" s="2" t="s">
        <v>635</v>
      </c>
      <c r="I26" s="2" t="s">
        <v>175</v>
      </c>
      <c r="J26" s="2" t="s">
        <v>635</v>
      </c>
      <c r="K26" s="2" t="s">
        <v>175</v>
      </c>
      <c r="L26" s="2" t="s">
        <v>635</v>
      </c>
      <c r="M26" s="2" t="s">
        <v>635</v>
      </c>
      <c r="N26">
        <v>13615</v>
      </c>
      <c r="O26">
        <v>1</v>
      </c>
      <c r="Q26" s="2" t="s">
        <v>635</v>
      </c>
      <c r="S26" s="2" t="s">
        <v>635</v>
      </c>
      <c r="T26" s="2" t="s">
        <v>635</v>
      </c>
      <c r="U26" s="2" t="s">
        <v>35</v>
      </c>
      <c r="V26" s="2" t="s">
        <v>635</v>
      </c>
      <c r="W26" s="2" t="s">
        <v>422</v>
      </c>
      <c r="X26" s="2" t="s">
        <v>635</v>
      </c>
      <c r="Y26">
        <v>1997</v>
      </c>
      <c r="AA26" s="2" t="s">
        <v>635</v>
      </c>
      <c r="AB26" s="2" t="s">
        <v>635</v>
      </c>
      <c r="AC26">
        <v>1</v>
      </c>
      <c r="AD26">
        <v>1</v>
      </c>
      <c r="AF26">
        <v>0</v>
      </c>
      <c r="AH26">
        <v>0</v>
      </c>
      <c r="AI26">
        <v>0</v>
      </c>
      <c r="AJ26">
        <v>0</v>
      </c>
      <c r="AK26">
        <v>0</v>
      </c>
      <c r="AM26">
        <v>1</v>
      </c>
      <c r="AN26">
        <v>0</v>
      </c>
      <c r="AO26">
        <v>0</v>
      </c>
      <c r="AP26">
        <v>0</v>
      </c>
      <c r="AR26" s="2" t="s">
        <v>635</v>
      </c>
      <c r="AS26" s="2" t="s">
        <v>11</v>
      </c>
      <c r="AT26" s="2" t="s">
        <v>331</v>
      </c>
      <c r="AU26" s="2" t="s">
        <v>635</v>
      </c>
      <c r="AV26" s="2" t="s">
        <v>635</v>
      </c>
      <c r="AW26" s="2" t="s">
        <v>635</v>
      </c>
      <c r="AX26" s="2" t="s">
        <v>262</v>
      </c>
      <c r="AY26" s="2" t="s">
        <v>885</v>
      </c>
      <c r="AZ26" s="2" t="s">
        <v>260</v>
      </c>
      <c r="BA26" s="2" t="s">
        <v>650</v>
      </c>
      <c r="BC26" s="1"/>
      <c r="BD26" s="2" t="s">
        <v>263</v>
      </c>
      <c r="BE26" s="2" t="s">
        <v>635</v>
      </c>
      <c r="BG26" s="2" t="s">
        <v>635</v>
      </c>
      <c r="BH26" s="2" t="s">
        <v>635</v>
      </c>
      <c r="BI26" s="2" t="s">
        <v>635</v>
      </c>
      <c r="BJ26" s="2" t="s">
        <v>423</v>
      </c>
      <c r="BK26" s="2" t="s">
        <v>635</v>
      </c>
      <c r="BL26" s="2" t="s">
        <v>635</v>
      </c>
      <c r="BM26" s="2" t="s">
        <v>14</v>
      </c>
      <c r="BN26" s="2" t="s">
        <v>635</v>
      </c>
      <c r="BO26" s="2" t="s">
        <v>635</v>
      </c>
      <c r="BP26" s="2" t="s">
        <v>635</v>
      </c>
      <c r="BQ26" s="2" t="s">
        <v>261</v>
      </c>
      <c r="BR26" s="2" t="s">
        <v>635</v>
      </c>
      <c r="BS26" s="2" t="s">
        <v>635</v>
      </c>
      <c r="BT26" s="2" t="s">
        <v>991</v>
      </c>
      <c r="BU26" s="2" t="s">
        <v>635</v>
      </c>
      <c r="BV26" s="2" t="s">
        <v>635</v>
      </c>
      <c r="BW26" s="2" t="s">
        <v>635</v>
      </c>
      <c r="BX26" s="2" t="s">
        <v>263</v>
      </c>
      <c r="BY26" s="2" t="s">
        <v>635</v>
      </c>
      <c r="BZ26" s="2" t="s">
        <v>99</v>
      </c>
      <c r="CA26" s="2" t="s">
        <v>99</v>
      </c>
      <c r="CB26" s="2" t="s">
        <v>264</v>
      </c>
      <c r="CC26" s="2" t="s">
        <v>635</v>
      </c>
      <c r="CD26" s="2" t="s">
        <v>635</v>
      </c>
    </row>
    <row r="27" spans="1:82" x14ac:dyDescent="0.25">
      <c r="A27" s="2" t="s">
        <v>424</v>
      </c>
      <c r="B27" s="2" t="s">
        <v>425</v>
      </c>
      <c r="C27" s="2" t="s">
        <v>635</v>
      </c>
      <c r="D27" s="2" t="s">
        <v>635</v>
      </c>
      <c r="E27" s="2" t="s">
        <v>346</v>
      </c>
      <c r="F27" s="2" t="s">
        <v>329</v>
      </c>
      <c r="G27" s="2" t="s">
        <v>330</v>
      </c>
      <c r="H27" s="2" t="s">
        <v>635</v>
      </c>
      <c r="I27" s="2" t="s">
        <v>635</v>
      </c>
      <c r="J27" s="2" t="s">
        <v>635</v>
      </c>
      <c r="K27" s="2" t="s">
        <v>635</v>
      </c>
      <c r="L27" s="2" t="s">
        <v>635</v>
      </c>
      <c r="M27" s="2" t="s">
        <v>635</v>
      </c>
      <c r="N27">
        <v>16333</v>
      </c>
      <c r="O27">
        <v>57</v>
      </c>
      <c r="Q27" s="2" t="s">
        <v>635</v>
      </c>
      <c r="S27" s="2" t="s">
        <v>635</v>
      </c>
      <c r="T27" s="2" t="s">
        <v>635</v>
      </c>
      <c r="U27" s="2" t="s">
        <v>35</v>
      </c>
      <c r="V27" s="2" t="s">
        <v>635</v>
      </c>
      <c r="W27" s="2" t="s">
        <v>635</v>
      </c>
      <c r="X27" s="2" t="s">
        <v>635</v>
      </c>
      <c r="Y27">
        <v>2015</v>
      </c>
      <c r="AA27" s="2" t="s">
        <v>635</v>
      </c>
      <c r="AB27" s="2" t="s">
        <v>635</v>
      </c>
      <c r="AC27">
        <v>1</v>
      </c>
      <c r="AD27">
        <v>1</v>
      </c>
      <c r="AF27">
        <v>0</v>
      </c>
      <c r="AH27">
        <v>0</v>
      </c>
      <c r="AI27">
        <v>0</v>
      </c>
      <c r="AJ27">
        <v>0</v>
      </c>
      <c r="AK27">
        <v>0</v>
      </c>
      <c r="AM27">
        <v>1</v>
      </c>
      <c r="AN27">
        <v>0</v>
      </c>
      <c r="AO27">
        <v>0</v>
      </c>
      <c r="AP27">
        <v>0</v>
      </c>
      <c r="AR27" s="2" t="s">
        <v>635</v>
      </c>
      <c r="AS27" s="2" t="s">
        <v>11</v>
      </c>
      <c r="AT27" s="2" t="s">
        <v>331</v>
      </c>
      <c r="AU27" s="2" t="s">
        <v>635</v>
      </c>
      <c r="AV27" s="2" t="s">
        <v>635</v>
      </c>
      <c r="AW27" s="2" t="s">
        <v>635</v>
      </c>
      <c r="AX27" s="2" t="s">
        <v>188</v>
      </c>
      <c r="AY27" s="2" t="s">
        <v>828</v>
      </c>
      <c r="AZ27" s="2" t="s">
        <v>186</v>
      </c>
      <c r="BA27" s="2" t="s">
        <v>651</v>
      </c>
      <c r="BC27" s="1"/>
      <c r="BD27" s="2" t="s">
        <v>1121</v>
      </c>
      <c r="BE27" s="2" t="s">
        <v>635</v>
      </c>
      <c r="BG27" s="2" t="s">
        <v>635</v>
      </c>
      <c r="BH27" s="2" t="s">
        <v>635</v>
      </c>
      <c r="BI27" s="2" t="s">
        <v>635</v>
      </c>
      <c r="BJ27" s="2" t="s">
        <v>426</v>
      </c>
      <c r="BK27" s="2" t="s">
        <v>635</v>
      </c>
      <c r="BL27" s="2" t="s">
        <v>635</v>
      </c>
      <c r="BM27" s="2" t="s">
        <v>104</v>
      </c>
      <c r="BN27" s="2" t="s">
        <v>635</v>
      </c>
      <c r="BO27" s="2" t="s">
        <v>635</v>
      </c>
      <c r="BP27" s="2" t="s">
        <v>635</v>
      </c>
      <c r="BQ27" s="2" t="s">
        <v>187</v>
      </c>
      <c r="BR27" s="2" t="s">
        <v>635</v>
      </c>
      <c r="BS27" s="2" t="s">
        <v>635</v>
      </c>
      <c r="BT27" s="2" t="s">
        <v>996</v>
      </c>
      <c r="BU27" s="2" t="s">
        <v>635</v>
      </c>
      <c r="BV27" s="2" t="s">
        <v>635</v>
      </c>
      <c r="BW27" s="2" t="s">
        <v>635</v>
      </c>
      <c r="BX27" s="2" t="s">
        <v>1121</v>
      </c>
      <c r="BY27" s="2" t="s">
        <v>635</v>
      </c>
      <c r="BZ27" s="2" t="s">
        <v>189</v>
      </c>
      <c r="CA27" s="2" t="s">
        <v>189</v>
      </c>
      <c r="CB27" s="2" t="s">
        <v>190</v>
      </c>
      <c r="CC27" s="2" t="s">
        <v>635</v>
      </c>
      <c r="CD27" s="2" t="s">
        <v>635</v>
      </c>
    </row>
    <row r="28" spans="1:82" x14ac:dyDescent="0.25">
      <c r="A28" s="2" t="s">
        <v>427</v>
      </c>
      <c r="B28" s="2" t="s">
        <v>428</v>
      </c>
      <c r="C28" s="2" t="s">
        <v>635</v>
      </c>
      <c r="D28" s="2" t="s">
        <v>635</v>
      </c>
      <c r="E28" s="2" t="s">
        <v>336</v>
      </c>
      <c r="F28" s="2" t="s">
        <v>635</v>
      </c>
      <c r="G28" s="2" t="s">
        <v>429</v>
      </c>
      <c r="H28" s="2" t="s">
        <v>635</v>
      </c>
      <c r="I28" s="2" t="s">
        <v>430</v>
      </c>
      <c r="J28" s="2" t="s">
        <v>635</v>
      </c>
      <c r="K28" s="2" t="s">
        <v>997</v>
      </c>
      <c r="L28" s="2" t="s">
        <v>635</v>
      </c>
      <c r="M28" s="2" t="s">
        <v>635</v>
      </c>
      <c r="N28">
        <v>4431</v>
      </c>
      <c r="O28">
        <v>42</v>
      </c>
      <c r="Q28" s="2" t="s">
        <v>635</v>
      </c>
      <c r="S28" s="2" t="s">
        <v>635</v>
      </c>
      <c r="T28" s="2" t="s">
        <v>635</v>
      </c>
      <c r="U28" s="2" t="s">
        <v>35</v>
      </c>
      <c r="V28" s="2" t="s">
        <v>635</v>
      </c>
      <c r="W28" s="2" t="s">
        <v>635</v>
      </c>
      <c r="X28" s="2" t="s">
        <v>1000</v>
      </c>
      <c r="Y28">
        <v>2015</v>
      </c>
      <c r="AA28" s="2" t="s">
        <v>635</v>
      </c>
      <c r="AB28" s="2" t="s">
        <v>635</v>
      </c>
      <c r="AC28">
        <v>1</v>
      </c>
      <c r="AD28">
        <v>1</v>
      </c>
      <c r="AF28">
        <v>0</v>
      </c>
      <c r="AH28">
        <v>0</v>
      </c>
      <c r="AI28">
        <v>0</v>
      </c>
      <c r="AJ28">
        <v>0</v>
      </c>
      <c r="AK28">
        <v>0</v>
      </c>
      <c r="AM28">
        <v>0</v>
      </c>
      <c r="AN28">
        <v>0</v>
      </c>
      <c r="AO28">
        <v>0</v>
      </c>
      <c r="AP28">
        <v>0</v>
      </c>
      <c r="AR28" s="2" t="s">
        <v>76</v>
      </c>
      <c r="AS28" s="2" t="s">
        <v>11</v>
      </c>
      <c r="AT28" s="2" t="s">
        <v>331</v>
      </c>
      <c r="AU28" s="2" t="s">
        <v>884</v>
      </c>
      <c r="AV28" s="2" t="s">
        <v>635</v>
      </c>
      <c r="AW28" s="2" t="s">
        <v>635</v>
      </c>
      <c r="AX28" s="2" t="s">
        <v>73</v>
      </c>
      <c r="AY28" s="2" t="s">
        <v>885</v>
      </c>
      <c r="AZ28" s="2" t="s">
        <v>71</v>
      </c>
      <c r="BA28" s="2" t="s">
        <v>652</v>
      </c>
      <c r="BC28" s="1"/>
      <c r="BD28" s="2" t="s">
        <v>1122</v>
      </c>
      <c r="BE28" s="2" t="s">
        <v>635</v>
      </c>
      <c r="BF28">
        <v>2</v>
      </c>
      <c r="BG28" s="2" t="s">
        <v>635</v>
      </c>
      <c r="BH28" s="2" t="s">
        <v>635</v>
      </c>
      <c r="BI28" s="2" t="s">
        <v>635</v>
      </c>
      <c r="BJ28" s="2" t="s">
        <v>72</v>
      </c>
      <c r="BK28" s="2" t="s">
        <v>635</v>
      </c>
      <c r="BL28" s="2" t="s">
        <v>1003</v>
      </c>
      <c r="BM28" s="2" t="s">
        <v>23</v>
      </c>
      <c r="BN28" s="2" t="s">
        <v>635</v>
      </c>
      <c r="BO28" s="2" t="s">
        <v>635</v>
      </c>
      <c r="BP28" s="2" t="s">
        <v>375</v>
      </c>
      <c r="BQ28" s="2" t="s">
        <v>72</v>
      </c>
      <c r="BR28" s="2" t="s">
        <v>635</v>
      </c>
      <c r="BS28" s="2" t="s">
        <v>635</v>
      </c>
      <c r="BT28" s="2" t="s">
        <v>1004</v>
      </c>
      <c r="BU28" s="2" t="s">
        <v>635</v>
      </c>
      <c r="BV28" s="2" t="s">
        <v>74</v>
      </c>
      <c r="BW28" s="2" t="s">
        <v>46</v>
      </c>
      <c r="BX28" s="2" t="s">
        <v>1122</v>
      </c>
      <c r="BY28" s="2" t="s">
        <v>865</v>
      </c>
      <c r="BZ28" s="2" t="s">
        <v>75</v>
      </c>
      <c r="CA28" s="2" t="s">
        <v>6</v>
      </c>
      <c r="CB28" s="2" t="s">
        <v>77</v>
      </c>
      <c r="CC28" s="2" t="s">
        <v>1005</v>
      </c>
      <c r="CD28" s="2" t="s">
        <v>635</v>
      </c>
    </row>
    <row r="29" spans="1:82" x14ac:dyDescent="0.25">
      <c r="A29" s="2" t="s">
        <v>432</v>
      </c>
      <c r="B29" s="2" t="s">
        <v>433</v>
      </c>
      <c r="C29" s="2" t="s">
        <v>635</v>
      </c>
      <c r="D29" s="2" t="s">
        <v>635</v>
      </c>
      <c r="E29" s="2" t="s">
        <v>328</v>
      </c>
      <c r="F29" s="2" t="s">
        <v>635</v>
      </c>
      <c r="G29" s="2" t="s">
        <v>330</v>
      </c>
      <c r="H29" s="2" t="s">
        <v>635</v>
      </c>
      <c r="I29" s="2" t="s">
        <v>18</v>
      </c>
      <c r="J29" s="2" t="s">
        <v>635</v>
      </c>
      <c r="K29" s="2" t="s">
        <v>635</v>
      </c>
      <c r="L29" s="2" t="s">
        <v>635</v>
      </c>
      <c r="M29" s="2" t="s">
        <v>635</v>
      </c>
      <c r="O29">
        <v>7</v>
      </c>
      <c r="Q29" s="2" t="s">
        <v>635</v>
      </c>
      <c r="S29" s="2" t="s">
        <v>635</v>
      </c>
      <c r="T29" s="2" t="s">
        <v>635</v>
      </c>
      <c r="U29" s="2" t="s">
        <v>35</v>
      </c>
      <c r="V29" s="2" t="s">
        <v>635</v>
      </c>
      <c r="W29" s="2" t="s">
        <v>635</v>
      </c>
      <c r="X29" s="2" t="s">
        <v>635</v>
      </c>
      <c r="Y29">
        <v>2015</v>
      </c>
      <c r="AA29" s="2" t="s">
        <v>635</v>
      </c>
      <c r="AB29" s="2" t="s">
        <v>635</v>
      </c>
      <c r="AC29">
        <v>1</v>
      </c>
      <c r="AD29">
        <v>1</v>
      </c>
      <c r="AF29">
        <v>0</v>
      </c>
      <c r="AH29">
        <v>0</v>
      </c>
      <c r="AI29">
        <v>0</v>
      </c>
      <c r="AJ29">
        <v>0</v>
      </c>
      <c r="AK29">
        <v>0</v>
      </c>
      <c r="AM29">
        <v>1</v>
      </c>
      <c r="AN29">
        <v>0</v>
      </c>
      <c r="AO29">
        <v>0</v>
      </c>
      <c r="AP29">
        <v>0</v>
      </c>
      <c r="AR29" s="2" t="s">
        <v>635</v>
      </c>
      <c r="AS29" s="2" t="s">
        <v>11</v>
      </c>
      <c r="AT29" s="2" t="s">
        <v>331</v>
      </c>
      <c r="AU29" s="2" t="s">
        <v>635</v>
      </c>
      <c r="AV29" s="2" t="s">
        <v>635</v>
      </c>
      <c r="AW29" s="2" t="s">
        <v>635</v>
      </c>
      <c r="AX29" s="2" t="s">
        <v>635</v>
      </c>
      <c r="AY29" s="2" t="s">
        <v>1007</v>
      </c>
      <c r="AZ29" s="2" t="s">
        <v>87</v>
      </c>
      <c r="BA29" s="2" t="s">
        <v>653</v>
      </c>
      <c r="BC29" s="1"/>
      <c r="BD29" s="2" t="s">
        <v>635</v>
      </c>
      <c r="BE29" s="2" t="s">
        <v>635</v>
      </c>
      <c r="BG29" s="2" t="s">
        <v>635</v>
      </c>
      <c r="BH29" s="2" t="s">
        <v>635</v>
      </c>
      <c r="BI29" s="2" t="s">
        <v>635</v>
      </c>
      <c r="BJ29" s="2" t="s">
        <v>1008</v>
      </c>
      <c r="BK29" s="2" t="s">
        <v>18</v>
      </c>
      <c r="BL29" s="2" t="s">
        <v>635</v>
      </c>
      <c r="BM29" s="2" t="s">
        <v>14</v>
      </c>
      <c r="BN29" s="2" t="s">
        <v>635</v>
      </c>
      <c r="BO29" s="2" t="s">
        <v>635</v>
      </c>
      <c r="BP29" s="2" t="s">
        <v>635</v>
      </c>
      <c r="BQ29" s="2" t="s">
        <v>88</v>
      </c>
      <c r="BR29" s="2" t="s">
        <v>635</v>
      </c>
      <c r="BS29" s="2" t="s">
        <v>635</v>
      </c>
      <c r="BT29" s="2" t="s">
        <v>1009</v>
      </c>
      <c r="BU29" s="2" t="s">
        <v>635</v>
      </c>
      <c r="BV29" s="2" t="s">
        <v>87</v>
      </c>
      <c r="BW29" s="2" t="s">
        <v>89</v>
      </c>
      <c r="BX29" s="2" t="s">
        <v>91</v>
      </c>
      <c r="BY29" s="2" t="s">
        <v>635</v>
      </c>
      <c r="BZ29" s="2" t="s">
        <v>90</v>
      </c>
      <c r="CA29" s="2" t="s">
        <v>69</v>
      </c>
      <c r="CB29" s="2" t="s">
        <v>92</v>
      </c>
      <c r="CC29" s="2" t="s">
        <v>1010</v>
      </c>
      <c r="CD29" s="2" t="s">
        <v>635</v>
      </c>
    </row>
    <row r="30" spans="1:82" x14ac:dyDescent="0.25">
      <c r="A30" s="2" t="s">
        <v>434</v>
      </c>
      <c r="B30" s="2" t="s">
        <v>435</v>
      </c>
      <c r="C30" s="2" t="s">
        <v>635</v>
      </c>
      <c r="D30" s="2" t="s">
        <v>635</v>
      </c>
      <c r="E30" s="2" t="s">
        <v>336</v>
      </c>
      <c r="F30" s="2" t="s">
        <v>329</v>
      </c>
      <c r="G30" s="2" t="s">
        <v>330</v>
      </c>
      <c r="H30" s="2" t="s">
        <v>635</v>
      </c>
      <c r="I30" s="2" t="s">
        <v>64</v>
      </c>
      <c r="J30" s="2" t="s">
        <v>635</v>
      </c>
      <c r="K30" s="2" t="s">
        <v>64</v>
      </c>
      <c r="L30" s="2" t="s">
        <v>635</v>
      </c>
      <c r="M30" s="2" t="s">
        <v>635</v>
      </c>
      <c r="N30">
        <v>21111</v>
      </c>
      <c r="O30">
        <v>17</v>
      </c>
      <c r="Q30" s="2" t="s">
        <v>635</v>
      </c>
      <c r="S30" s="2" t="s">
        <v>635</v>
      </c>
      <c r="T30" s="2" t="s">
        <v>635</v>
      </c>
      <c r="U30" s="2" t="s">
        <v>13</v>
      </c>
      <c r="V30" s="2" t="s">
        <v>635</v>
      </c>
      <c r="W30" s="2" t="s">
        <v>635</v>
      </c>
      <c r="X30" s="2" t="s">
        <v>635</v>
      </c>
      <c r="Y30">
        <v>1997</v>
      </c>
      <c r="AA30" s="2" t="s">
        <v>635</v>
      </c>
      <c r="AB30" s="2" t="s">
        <v>635</v>
      </c>
      <c r="AC30">
        <v>0</v>
      </c>
      <c r="AD30">
        <v>1</v>
      </c>
      <c r="AF30">
        <v>0</v>
      </c>
      <c r="AH30">
        <v>0</v>
      </c>
      <c r="AI30">
        <v>0</v>
      </c>
      <c r="AJ30">
        <v>0</v>
      </c>
      <c r="AK30">
        <v>0</v>
      </c>
      <c r="AM30">
        <v>1</v>
      </c>
      <c r="AN30">
        <v>0</v>
      </c>
      <c r="AO30">
        <v>0</v>
      </c>
      <c r="AP30">
        <v>0</v>
      </c>
      <c r="AR30" s="2" t="s">
        <v>126</v>
      </c>
      <c r="AS30" s="2" t="s">
        <v>11</v>
      </c>
      <c r="AT30" s="2" t="s">
        <v>331</v>
      </c>
      <c r="AU30" s="2" t="s">
        <v>635</v>
      </c>
      <c r="AV30" s="2" t="s">
        <v>635</v>
      </c>
      <c r="AW30" s="2" t="s">
        <v>635</v>
      </c>
      <c r="AX30" s="2" t="s">
        <v>123</v>
      </c>
      <c r="AY30" s="2" t="s">
        <v>904</v>
      </c>
      <c r="AZ30" s="2" t="s">
        <v>121</v>
      </c>
      <c r="BA30" s="2" t="s">
        <v>436</v>
      </c>
      <c r="BC30" s="1">
        <v>45506</v>
      </c>
      <c r="BD30" s="2" t="s">
        <v>635</v>
      </c>
      <c r="BE30" s="2" t="s">
        <v>635</v>
      </c>
      <c r="BF30">
        <v>1</v>
      </c>
      <c r="BG30" s="2" t="s">
        <v>635</v>
      </c>
      <c r="BH30" s="2" t="s">
        <v>635</v>
      </c>
      <c r="BI30" s="2" t="s">
        <v>635</v>
      </c>
      <c r="BJ30" s="2" t="s">
        <v>437</v>
      </c>
      <c r="BK30" s="2" t="s">
        <v>635</v>
      </c>
      <c r="BL30" s="2" t="s">
        <v>635</v>
      </c>
      <c r="BM30" s="2" t="s">
        <v>14</v>
      </c>
      <c r="BN30" s="2" t="s">
        <v>635</v>
      </c>
      <c r="BO30" s="2" t="s">
        <v>635</v>
      </c>
      <c r="BP30" s="2" t="s">
        <v>635</v>
      </c>
      <c r="BQ30" s="2" t="s">
        <v>122</v>
      </c>
      <c r="BR30" s="2" t="s">
        <v>635</v>
      </c>
      <c r="BS30" s="2" t="s">
        <v>635</v>
      </c>
      <c r="BT30" s="2" t="s">
        <v>1014</v>
      </c>
      <c r="BU30" s="2" t="s">
        <v>635</v>
      </c>
      <c r="BV30" s="2" t="s">
        <v>124</v>
      </c>
      <c r="BW30" s="2" t="s">
        <v>635</v>
      </c>
      <c r="BX30" s="2" t="s">
        <v>1123</v>
      </c>
      <c r="BY30" s="2" t="s">
        <v>678</v>
      </c>
      <c r="BZ30" s="2" t="s">
        <v>125</v>
      </c>
      <c r="CA30" s="2" t="s">
        <v>6</v>
      </c>
      <c r="CB30" s="2" t="s">
        <v>127</v>
      </c>
      <c r="CC30" s="2" t="s">
        <v>635</v>
      </c>
      <c r="CD30" s="2" t="s">
        <v>635</v>
      </c>
    </row>
    <row r="31" spans="1:82" x14ac:dyDescent="0.25">
      <c r="A31" s="2" t="s">
        <v>438</v>
      </c>
      <c r="B31" s="2" t="s">
        <v>439</v>
      </c>
      <c r="C31" s="2" t="s">
        <v>635</v>
      </c>
      <c r="D31" s="2" t="s">
        <v>635</v>
      </c>
      <c r="E31" s="2" t="s">
        <v>346</v>
      </c>
      <c r="F31" s="2" t="s">
        <v>329</v>
      </c>
      <c r="G31" s="2" t="s">
        <v>330</v>
      </c>
      <c r="H31" s="2" t="s">
        <v>635</v>
      </c>
      <c r="I31" s="2" t="s">
        <v>7</v>
      </c>
      <c r="J31" s="2" t="s">
        <v>635</v>
      </c>
      <c r="K31" s="2" t="s">
        <v>7</v>
      </c>
      <c r="L31" s="2" t="s">
        <v>635</v>
      </c>
      <c r="M31" s="2" t="s">
        <v>635</v>
      </c>
      <c r="N31">
        <v>30007</v>
      </c>
      <c r="O31">
        <v>0</v>
      </c>
      <c r="Q31" s="2" t="s">
        <v>635</v>
      </c>
      <c r="S31" s="2" t="s">
        <v>635</v>
      </c>
      <c r="T31" s="2" t="s">
        <v>635</v>
      </c>
      <c r="U31" s="2" t="s">
        <v>13</v>
      </c>
      <c r="V31" s="2" t="s">
        <v>635</v>
      </c>
      <c r="W31" s="2" t="s">
        <v>1124</v>
      </c>
      <c r="X31" s="2" t="s">
        <v>635</v>
      </c>
      <c r="Y31">
        <v>1997</v>
      </c>
      <c r="AA31" s="2" t="s">
        <v>635</v>
      </c>
      <c r="AB31" s="2" t="s">
        <v>635</v>
      </c>
      <c r="AC31">
        <v>0</v>
      </c>
      <c r="AD31">
        <v>1</v>
      </c>
      <c r="AF31">
        <v>0</v>
      </c>
      <c r="AH31">
        <v>0</v>
      </c>
      <c r="AI31">
        <v>0</v>
      </c>
      <c r="AJ31">
        <v>0</v>
      </c>
      <c r="AK31">
        <v>0</v>
      </c>
      <c r="AM31">
        <v>0</v>
      </c>
      <c r="AN31">
        <v>0</v>
      </c>
      <c r="AO31">
        <v>0</v>
      </c>
      <c r="AP31">
        <v>0</v>
      </c>
      <c r="AR31" s="2" t="s">
        <v>290</v>
      </c>
      <c r="AS31" s="2" t="s">
        <v>11</v>
      </c>
      <c r="AT31" s="2" t="s">
        <v>331</v>
      </c>
      <c r="AU31" s="2" t="s">
        <v>635</v>
      </c>
      <c r="AV31" s="2" t="s">
        <v>635</v>
      </c>
      <c r="AW31" s="2" t="s">
        <v>635</v>
      </c>
      <c r="AX31" s="2" t="s">
        <v>140</v>
      </c>
      <c r="AY31" s="2" t="s">
        <v>854</v>
      </c>
      <c r="AZ31" s="2" t="s">
        <v>286</v>
      </c>
      <c r="BA31" s="2" t="s">
        <v>654</v>
      </c>
      <c r="BC31" s="1"/>
      <c r="BD31" s="2" t="s">
        <v>440</v>
      </c>
      <c r="BE31" s="2" t="s">
        <v>635</v>
      </c>
      <c r="BF31">
        <v>3</v>
      </c>
      <c r="BG31" s="2" t="s">
        <v>635</v>
      </c>
      <c r="BH31" s="2" t="s">
        <v>635</v>
      </c>
      <c r="BI31" s="2" t="s">
        <v>635</v>
      </c>
      <c r="BJ31" s="2" t="s">
        <v>441</v>
      </c>
      <c r="BK31" s="2" t="s">
        <v>635</v>
      </c>
      <c r="BL31" s="2" t="s">
        <v>635</v>
      </c>
      <c r="BM31" s="2" t="s">
        <v>14</v>
      </c>
      <c r="BN31" s="2" t="s">
        <v>635</v>
      </c>
      <c r="BO31" s="2" t="s">
        <v>635</v>
      </c>
      <c r="BP31" s="2" t="s">
        <v>635</v>
      </c>
      <c r="BQ31" s="2" t="s">
        <v>287</v>
      </c>
      <c r="BR31" s="2" t="s">
        <v>635</v>
      </c>
      <c r="BS31" s="2" t="s">
        <v>635</v>
      </c>
      <c r="BT31" s="2" t="s">
        <v>1020</v>
      </c>
      <c r="BU31" s="2" t="s">
        <v>635</v>
      </c>
      <c r="BV31" s="2" t="s">
        <v>288</v>
      </c>
      <c r="BW31" s="2" t="s">
        <v>635</v>
      </c>
      <c r="BX31" s="2" t="s">
        <v>291</v>
      </c>
      <c r="BY31" s="2" t="s">
        <v>865</v>
      </c>
      <c r="BZ31" s="2" t="s">
        <v>289</v>
      </c>
      <c r="CA31" s="2" t="s">
        <v>6</v>
      </c>
      <c r="CB31" s="2" t="s">
        <v>292</v>
      </c>
      <c r="CC31" s="2" t="s">
        <v>635</v>
      </c>
      <c r="CD31" s="2" t="s">
        <v>635</v>
      </c>
    </row>
    <row r="32" spans="1:82" x14ac:dyDescent="0.25">
      <c r="A32" s="2" t="s">
        <v>442</v>
      </c>
      <c r="B32" s="2" t="s">
        <v>443</v>
      </c>
      <c r="C32" s="2" t="s">
        <v>635</v>
      </c>
      <c r="D32" s="2" t="s">
        <v>635</v>
      </c>
      <c r="E32" s="2" t="s">
        <v>336</v>
      </c>
      <c r="F32" s="2" t="s">
        <v>635</v>
      </c>
      <c r="G32" s="2" t="s">
        <v>330</v>
      </c>
      <c r="H32" s="2" t="s">
        <v>635</v>
      </c>
      <c r="I32" s="2" t="s">
        <v>64</v>
      </c>
      <c r="J32" s="2" t="s">
        <v>635</v>
      </c>
      <c r="K32" s="2" t="s">
        <v>64</v>
      </c>
      <c r="L32" s="2" t="s">
        <v>635</v>
      </c>
      <c r="M32" s="2" t="s">
        <v>635</v>
      </c>
      <c r="N32">
        <v>6941</v>
      </c>
      <c r="O32">
        <v>59</v>
      </c>
      <c r="Q32" s="2" t="s">
        <v>635</v>
      </c>
      <c r="S32" s="2" t="s">
        <v>635</v>
      </c>
      <c r="T32" s="2" t="s">
        <v>635</v>
      </c>
      <c r="U32" s="2" t="s">
        <v>51</v>
      </c>
      <c r="V32" s="2" t="s">
        <v>635</v>
      </c>
      <c r="W32" s="2" t="s">
        <v>1023</v>
      </c>
      <c r="X32" s="2" t="s">
        <v>635</v>
      </c>
      <c r="Y32">
        <v>2003</v>
      </c>
      <c r="AA32" s="2" t="s">
        <v>635</v>
      </c>
      <c r="AB32" s="2" t="s">
        <v>635</v>
      </c>
      <c r="AC32">
        <v>1</v>
      </c>
      <c r="AD32">
        <v>0</v>
      </c>
      <c r="AF32">
        <v>0</v>
      </c>
      <c r="AH32">
        <v>0</v>
      </c>
      <c r="AI32">
        <v>0</v>
      </c>
      <c r="AJ32">
        <v>0</v>
      </c>
      <c r="AK32">
        <v>1</v>
      </c>
      <c r="AM32">
        <v>1</v>
      </c>
      <c r="AN32">
        <v>0</v>
      </c>
      <c r="AO32">
        <v>0</v>
      </c>
      <c r="AP32">
        <v>0</v>
      </c>
      <c r="AR32" s="2" t="s">
        <v>184</v>
      </c>
      <c r="AS32" s="2" t="s">
        <v>11</v>
      </c>
      <c r="AT32" s="2" t="s">
        <v>331</v>
      </c>
      <c r="AU32" s="2" t="s">
        <v>635</v>
      </c>
      <c r="AV32" s="2" t="s">
        <v>635</v>
      </c>
      <c r="AW32" s="2" t="s">
        <v>635</v>
      </c>
      <c r="AX32" s="2" t="s">
        <v>222</v>
      </c>
      <c r="AY32" s="2" t="s">
        <v>926</v>
      </c>
      <c r="AZ32" s="2" t="s">
        <v>220</v>
      </c>
      <c r="BA32" s="2" t="s">
        <v>444</v>
      </c>
      <c r="BC32" s="1">
        <v>41306</v>
      </c>
      <c r="BD32" s="2" t="s">
        <v>635</v>
      </c>
      <c r="BE32" s="2" t="s">
        <v>635</v>
      </c>
      <c r="BF32">
        <v>4</v>
      </c>
      <c r="BG32" s="2" t="s">
        <v>635</v>
      </c>
      <c r="BH32" s="2" t="s">
        <v>635</v>
      </c>
      <c r="BI32" s="2" t="s">
        <v>635</v>
      </c>
      <c r="BJ32" s="2" t="s">
        <v>445</v>
      </c>
      <c r="BK32" s="2" t="s">
        <v>635</v>
      </c>
      <c r="BL32" s="2" t="s">
        <v>446</v>
      </c>
      <c r="BM32" s="2" t="s">
        <v>52</v>
      </c>
      <c r="BN32" s="2" t="s">
        <v>635</v>
      </c>
      <c r="BO32" s="2" t="s">
        <v>635</v>
      </c>
      <c r="BP32" s="2" t="s">
        <v>635</v>
      </c>
      <c r="BQ32" s="2" t="s">
        <v>221</v>
      </c>
      <c r="BR32" s="2" t="s">
        <v>635</v>
      </c>
      <c r="BS32" s="2" t="s">
        <v>635</v>
      </c>
      <c r="BT32" s="2" t="s">
        <v>838</v>
      </c>
      <c r="BU32" s="2" t="s">
        <v>635</v>
      </c>
      <c r="BV32" s="2" t="s">
        <v>223</v>
      </c>
      <c r="BW32" s="2" t="s">
        <v>635</v>
      </c>
      <c r="BX32" s="2" t="s">
        <v>1125</v>
      </c>
      <c r="BY32" s="2" t="s">
        <v>1026</v>
      </c>
      <c r="BZ32" s="2" t="s">
        <v>224</v>
      </c>
      <c r="CA32" s="2" t="s">
        <v>6</v>
      </c>
      <c r="CB32" s="2" t="s">
        <v>225</v>
      </c>
      <c r="CC32" s="2" t="s">
        <v>635</v>
      </c>
      <c r="CD32" s="2" t="s">
        <v>1027</v>
      </c>
    </row>
    <row r="33" spans="1:82" x14ac:dyDescent="0.25">
      <c r="A33" s="2" t="s">
        <v>447</v>
      </c>
      <c r="B33" s="2" t="s">
        <v>448</v>
      </c>
      <c r="C33" s="2" t="s">
        <v>635</v>
      </c>
      <c r="D33" s="2" t="s">
        <v>635</v>
      </c>
      <c r="E33" s="2" t="s">
        <v>336</v>
      </c>
      <c r="F33" s="2" t="s">
        <v>635</v>
      </c>
      <c r="G33" s="2" t="s">
        <v>449</v>
      </c>
      <c r="H33" s="2" t="s">
        <v>635</v>
      </c>
      <c r="I33" s="2" t="s">
        <v>64</v>
      </c>
      <c r="J33" s="2" t="s">
        <v>635</v>
      </c>
      <c r="K33" s="2" t="s">
        <v>64</v>
      </c>
      <c r="L33" s="2" t="s">
        <v>635</v>
      </c>
      <c r="M33" s="2" t="s">
        <v>635</v>
      </c>
      <c r="Q33" s="2" t="s">
        <v>635</v>
      </c>
      <c r="S33" s="2" t="s">
        <v>635</v>
      </c>
      <c r="T33" s="2" t="s">
        <v>635</v>
      </c>
      <c r="U33" s="2" t="s">
        <v>13</v>
      </c>
      <c r="V33" s="2" t="s">
        <v>635</v>
      </c>
      <c r="W33" s="2" t="s">
        <v>450</v>
      </c>
      <c r="X33" s="2" t="s">
        <v>635</v>
      </c>
      <c r="Y33">
        <v>2015</v>
      </c>
      <c r="AA33" s="2" t="s">
        <v>635</v>
      </c>
      <c r="AB33" s="2" t="s">
        <v>635</v>
      </c>
      <c r="AC33">
        <v>0</v>
      </c>
      <c r="AD33">
        <v>1</v>
      </c>
      <c r="AF33">
        <v>0</v>
      </c>
      <c r="AG33">
        <v>1</v>
      </c>
      <c r="AH33">
        <v>0</v>
      </c>
      <c r="AI33">
        <v>0</v>
      </c>
      <c r="AJ33">
        <v>0</v>
      </c>
      <c r="AK33">
        <v>0</v>
      </c>
      <c r="AM33">
        <v>1</v>
      </c>
      <c r="AN33">
        <v>0</v>
      </c>
      <c r="AO33">
        <v>0</v>
      </c>
      <c r="AP33">
        <v>0</v>
      </c>
      <c r="AR33" s="2" t="s">
        <v>635</v>
      </c>
      <c r="AS33" s="2" t="s">
        <v>11</v>
      </c>
      <c r="AT33" s="2" t="s">
        <v>331</v>
      </c>
      <c r="AU33" s="2" t="s">
        <v>635</v>
      </c>
      <c r="AV33" s="2" t="s">
        <v>635</v>
      </c>
      <c r="AW33" s="2" t="s">
        <v>635</v>
      </c>
      <c r="AX33" s="2" t="s">
        <v>152</v>
      </c>
      <c r="AY33" s="2" t="s">
        <v>885</v>
      </c>
      <c r="AZ33" s="2" t="s">
        <v>150</v>
      </c>
      <c r="BA33" s="2" t="s">
        <v>655</v>
      </c>
      <c r="BC33" s="1"/>
      <c r="BD33" s="2" t="s">
        <v>1028</v>
      </c>
      <c r="BE33" s="2" t="s">
        <v>635</v>
      </c>
      <c r="BG33" s="2" t="s">
        <v>635</v>
      </c>
      <c r="BH33" s="2" t="s">
        <v>635</v>
      </c>
      <c r="BI33" s="2" t="s">
        <v>635</v>
      </c>
      <c r="BJ33" s="2" t="s">
        <v>451</v>
      </c>
      <c r="BK33" s="2" t="s">
        <v>635</v>
      </c>
      <c r="BL33" s="2" t="s">
        <v>635</v>
      </c>
      <c r="BM33" s="2" t="s">
        <v>52</v>
      </c>
      <c r="BN33" s="2" t="s">
        <v>635</v>
      </c>
      <c r="BO33" s="2" t="s">
        <v>635</v>
      </c>
      <c r="BP33" s="2" t="s">
        <v>333</v>
      </c>
      <c r="BQ33" s="2" t="s">
        <v>151</v>
      </c>
      <c r="BR33" s="2" t="s">
        <v>635</v>
      </c>
      <c r="BS33" s="2" t="s">
        <v>635</v>
      </c>
      <c r="BT33" s="2" t="s">
        <v>1029</v>
      </c>
      <c r="BU33" s="2" t="s">
        <v>635</v>
      </c>
      <c r="BV33" s="2" t="s">
        <v>635</v>
      </c>
      <c r="BW33" s="2" t="s">
        <v>635</v>
      </c>
      <c r="BX33" s="2" t="s">
        <v>1028</v>
      </c>
      <c r="BY33" s="2" t="s">
        <v>635</v>
      </c>
      <c r="BZ33" s="2" t="s">
        <v>153</v>
      </c>
      <c r="CA33" s="2" t="s">
        <v>153</v>
      </c>
      <c r="CB33" s="2" t="s">
        <v>154</v>
      </c>
      <c r="CC33" s="2" t="s">
        <v>635</v>
      </c>
      <c r="CD33" s="2" t="s">
        <v>635</v>
      </c>
    </row>
    <row r="34" spans="1:82" x14ac:dyDescent="0.25">
      <c r="A34" s="2" t="s">
        <v>452</v>
      </c>
      <c r="B34" s="2" t="s">
        <v>453</v>
      </c>
      <c r="C34" s="2" t="s">
        <v>635</v>
      </c>
      <c r="D34" s="2" t="s">
        <v>635</v>
      </c>
      <c r="E34" s="2" t="s">
        <v>336</v>
      </c>
      <c r="F34" s="2" t="s">
        <v>329</v>
      </c>
      <c r="G34" s="2" t="s">
        <v>330</v>
      </c>
      <c r="H34" s="2" t="s">
        <v>635</v>
      </c>
      <c r="I34" s="2" t="s">
        <v>7</v>
      </c>
      <c r="J34" s="2" t="s">
        <v>635</v>
      </c>
      <c r="K34" s="2" t="s">
        <v>7</v>
      </c>
      <c r="L34" s="2" t="s">
        <v>635</v>
      </c>
      <c r="M34" s="2" t="s">
        <v>635</v>
      </c>
      <c r="N34">
        <v>23969</v>
      </c>
      <c r="O34">
        <v>0</v>
      </c>
      <c r="Q34" s="2" t="s">
        <v>635</v>
      </c>
      <c r="S34" s="2" t="s">
        <v>635</v>
      </c>
      <c r="T34" s="2" t="s">
        <v>635</v>
      </c>
      <c r="U34" s="2" t="s">
        <v>13</v>
      </c>
      <c r="V34" s="2" t="s">
        <v>635</v>
      </c>
      <c r="W34" s="2" t="s">
        <v>635</v>
      </c>
      <c r="X34" s="2" t="s">
        <v>635</v>
      </c>
      <c r="Y34">
        <v>1997</v>
      </c>
      <c r="AA34" s="2" t="s">
        <v>635</v>
      </c>
      <c r="AB34" s="2" t="s">
        <v>635</v>
      </c>
      <c r="AC34">
        <v>0</v>
      </c>
      <c r="AD34">
        <v>1</v>
      </c>
      <c r="AF34">
        <v>0</v>
      </c>
      <c r="AH34">
        <v>0</v>
      </c>
      <c r="AI34">
        <v>0</v>
      </c>
      <c r="AJ34">
        <v>0</v>
      </c>
      <c r="AK34">
        <v>0</v>
      </c>
      <c r="AM34">
        <v>1</v>
      </c>
      <c r="AN34">
        <v>0</v>
      </c>
      <c r="AO34">
        <v>0</v>
      </c>
      <c r="AP34">
        <v>0</v>
      </c>
      <c r="AR34" s="2" t="s">
        <v>635</v>
      </c>
      <c r="AS34" s="2" t="s">
        <v>11</v>
      </c>
      <c r="AT34" s="2" t="s">
        <v>331</v>
      </c>
      <c r="AU34" s="2" t="s">
        <v>635</v>
      </c>
      <c r="AV34" s="2" t="s">
        <v>635</v>
      </c>
      <c r="AW34" s="2" t="s">
        <v>635</v>
      </c>
      <c r="AX34" s="2" t="s">
        <v>140</v>
      </c>
      <c r="AY34" s="2" t="s">
        <v>854</v>
      </c>
      <c r="AZ34" s="2" t="s">
        <v>139</v>
      </c>
      <c r="BA34" s="2" t="s">
        <v>454</v>
      </c>
      <c r="BC34" s="1">
        <v>43776</v>
      </c>
      <c r="BD34" s="2" t="s">
        <v>635</v>
      </c>
      <c r="BE34" s="2" t="s">
        <v>635</v>
      </c>
      <c r="BG34" s="2" t="s">
        <v>635</v>
      </c>
      <c r="BH34" s="2" t="s">
        <v>635</v>
      </c>
      <c r="BI34" s="2" t="s">
        <v>635</v>
      </c>
      <c r="BJ34" s="2" t="s">
        <v>455</v>
      </c>
      <c r="BK34" s="2" t="s">
        <v>635</v>
      </c>
      <c r="BL34" s="2" t="s">
        <v>635</v>
      </c>
      <c r="BM34" s="2" t="s">
        <v>104</v>
      </c>
      <c r="BN34" s="2" t="s">
        <v>635</v>
      </c>
      <c r="BO34" s="2" t="s">
        <v>635</v>
      </c>
      <c r="BP34" s="2" t="s">
        <v>635</v>
      </c>
      <c r="BQ34" s="2" t="s">
        <v>122</v>
      </c>
      <c r="BR34" s="2" t="s">
        <v>635</v>
      </c>
      <c r="BS34" s="2" t="s">
        <v>635</v>
      </c>
      <c r="BT34" s="2" t="s">
        <v>838</v>
      </c>
      <c r="BU34" s="2" t="s">
        <v>635</v>
      </c>
      <c r="BV34" s="2" t="s">
        <v>635</v>
      </c>
      <c r="BW34" s="2" t="s">
        <v>635</v>
      </c>
      <c r="BX34" s="2" t="s">
        <v>1126</v>
      </c>
      <c r="BY34" s="2" t="s">
        <v>635</v>
      </c>
      <c r="BZ34" s="2" t="s">
        <v>99</v>
      </c>
      <c r="CA34" s="2" t="s">
        <v>99</v>
      </c>
      <c r="CB34" s="2" t="s">
        <v>141</v>
      </c>
      <c r="CC34" s="2" t="s">
        <v>635</v>
      </c>
      <c r="CD34" s="2" t="s">
        <v>635</v>
      </c>
    </row>
    <row r="35" spans="1:82" x14ac:dyDescent="0.25">
      <c r="A35" s="2" t="s">
        <v>456</v>
      </c>
      <c r="B35" s="2" t="s">
        <v>457</v>
      </c>
      <c r="C35" s="2" t="s">
        <v>635</v>
      </c>
      <c r="D35" s="2" t="s">
        <v>635</v>
      </c>
      <c r="E35" s="2" t="s">
        <v>346</v>
      </c>
      <c r="F35" s="2" t="s">
        <v>635</v>
      </c>
      <c r="G35" s="2" t="s">
        <v>330</v>
      </c>
      <c r="H35" s="2" t="s">
        <v>635</v>
      </c>
      <c r="I35" s="2" t="s">
        <v>64</v>
      </c>
      <c r="J35" s="2" t="s">
        <v>635</v>
      </c>
      <c r="K35" s="2" t="s">
        <v>64</v>
      </c>
      <c r="L35" s="2" t="s">
        <v>635</v>
      </c>
      <c r="M35" s="2" t="s">
        <v>635</v>
      </c>
      <c r="N35">
        <v>14098</v>
      </c>
      <c r="O35">
        <v>36</v>
      </c>
      <c r="Q35" s="2" t="s">
        <v>635</v>
      </c>
      <c r="S35" s="2" t="s">
        <v>635</v>
      </c>
      <c r="T35" s="2" t="s">
        <v>635</v>
      </c>
      <c r="U35" s="2" t="s">
        <v>103</v>
      </c>
      <c r="V35" s="2" t="s">
        <v>635</v>
      </c>
      <c r="W35" s="2" t="s">
        <v>458</v>
      </c>
      <c r="X35" s="2" t="s">
        <v>635</v>
      </c>
      <c r="Y35">
        <v>1997</v>
      </c>
      <c r="AA35" s="2" t="s">
        <v>635</v>
      </c>
      <c r="AB35" s="2" t="s">
        <v>635</v>
      </c>
      <c r="AC35">
        <v>1</v>
      </c>
      <c r="AD35">
        <v>1</v>
      </c>
      <c r="AF35">
        <v>0</v>
      </c>
      <c r="AH35">
        <v>0</v>
      </c>
      <c r="AI35">
        <v>0</v>
      </c>
      <c r="AJ35">
        <v>0</v>
      </c>
      <c r="AK35">
        <v>0</v>
      </c>
      <c r="AM35">
        <v>0</v>
      </c>
      <c r="AN35">
        <v>0</v>
      </c>
      <c r="AO35">
        <v>0</v>
      </c>
      <c r="AP35">
        <v>0</v>
      </c>
      <c r="AR35" s="2" t="s">
        <v>100</v>
      </c>
      <c r="AS35" s="2" t="s">
        <v>11</v>
      </c>
      <c r="AT35" s="2" t="s">
        <v>331</v>
      </c>
      <c r="AU35" s="2" t="s">
        <v>635</v>
      </c>
      <c r="AV35" s="2" t="s">
        <v>635</v>
      </c>
      <c r="AW35" s="2" t="s">
        <v>635</v>
      </c>
      <c r="AX35" s="2" t="s">
        <v>98</v>
      </c>
      <c r="AY35" s="2" t="s">
        <v>904</v>
      </c>
      <c r="AZ35" s="2" t="s">
        <v>96</v>
      </c>
      <c r="BA35" s="2" t="s">
        <v>653</v>
      </c>
      <c r="BC35" s="1"/>
      <c r="BD35" s="2" t="s">
        <v>101</v>
      </c>
      <c r="BE35" s="2" t="s">
        <v>635</v>
      </c>
      <c r="BG35" s="2" t="s">
        <v>635</v>
      </c>
      <c r="BH35" s="2" t="s">
        <v>635</v>
      </c>
      <c r="BI35" s="2" t="s">
        <v>635</v>
      </c>
      <c r="BJ35" s="2" t="s">
        <v>809</v>
      </c>
      <c r="BK35" s="2" t="s">
        <v>635</v>
      </c>
      <c r="BL35" s="2" t="s">
        <v>431</v>
      </c>
      <c r="BM35" s="2" t="s">
        <v>104</v>
      </c>
      <c r="BN35" s="2" t="s">
        <v>635</v>
      </c>
      <c r="BO35" s="2" t="s">
        <v>635</v>
      </c>
      <c r="BP35" s="2" t="s">
        <v>635</v>
      </c>
      <c r="BQ35" s="2" t="s">
        <v>97</v>
      </c>
      <c r="BR35" s="2" t="s">
        <v>635</v>
      </c>
      <c r="BS35" s="2" t="s">
        <v>635</v>
      </c>
      <c r="BT35" s="2" t="s">
        <v>1035</v>
      </c>
      <c r="BU35" s="2" t="s">
        <v>635</v>
      </c>
      <c r="BV35" s="2" t="s">
        <v>635</v>
      </c>
      <c r="BW35" s="2" t="s">
        <v>635</v>
      </c>
      <c r="BX35" s="2" t="s">
        <v>101</v>
      </c>
      <c r="BY35" s="2" t="s">
        <v>635</v>
      </c>
      <c r="BZ35" s="2" t="s">
        <v>99</v>
      </c>
      <c r="CA35" s="2" t="s">
        <v>99</v>
      </c>
      <c r="CB35" s="2" t="s">
        <v>102</v>
      </c>
      <c r="CC35" s="2" t="s">
        <v>459</v>
      </c>
      <c r="CD35" s="2" t="s">
        <v>635</v>
      </c>
    </row>
    <row r="36" spans="1:82" x14ac:dyDescent="0.25">
      <c r="A36" s="2" t="s">
        <v>460</v>
      </c>
      <c r="B36" s="2" t="s">
        <v>461</v>
      </c>
      <c r="C36" s="2" t="s">
        <v>635</v>
      </c>
      <c r="D36" s="2" t="s">
        <v>635</v>
      </c>
      <c r="E36" s="2" t="s">
        <v>462</v>
      </c>
      <c r="F36" s="2" t="s">
        <v>635</v>
      </c>
      <c r="G36" s="2" t="s">
        <v>330</v>
      </c>
      <c r="H36" s="2" t="s">
        <v>635</v>
      </c>
      <c r="I36" s="2" t="s">
        <v>7</v>
      </c>
      <c r="J36" s="2" t="s">
        <v>635</v>
      </c>
      <c r="K36" s="2" t="s">
        <v>7</v>
      </c>
      <c r="L36" s="2" t="s">
        <v>635</v>
      </c>
      <c r="M36" s="2" t="s">
        <v>635</v>
      </c>
      <c r="N36">
        <v>16434</v>
      </c>
      <c r="O36">
        <v>6</v>
      </c>
      <c r="Q36" s="2" t="s">
        <v>635</v>
      </c>
      <c r="S36" s="2" t="s">
        <v>635</v>
      </c>
      <c r="T36" s="2" t="s">
        <v>635</v>
      </c>
      <c r="U36" s="2" t="s">
        <v>13</v>
      </c>
      <c r="V36" s="2" t="s">
        <v>635</v>
      </c>
      <c r="W36" s="2" t="s">
        <v>635</v>
      </c>
      <c r="X36" s="2" t="s">
        <v>635</v>
      </c>
      <c r="Y36">
        <v>2015</v>
      </c>
      <c r="AA36" s="2" t="s">
        <v>635</v>
      </c>
      <c r="AB36" s="2" t="s">
        <v>635</v>
      </c>
      <c r="AC36">
        <v>0</v>
      </c>
      <c r="AD36">
        <v>1</v>
      </c>
      <c r="AF36">
        <v>0</v>
      </c>
      <c r="AH36">
        <v>0</v>
      </c>
      <c r="AI36">
        <v>1</v>
      </c>
      <c r="AJ36">
        <v>0</v>
      </c>
      <c r="AK36">
        <v>0</v>
      </c>
      <c r="AM36">
        <v>1</v>
      </c>
      <c r="AN36">
        <v>0</v>
      </c>
      <c r="AO36">
        <v>0</v>
      </c>
      <c r="AP36">
        <v>0</v>
      </c>
      <c r="AR36" s="2" t="s">
        <v>635</v>
      </c>
      <c r="AS36" s="2" t="s">
        <v>11</v>
      </c>
      <c r="AT36" s="2" t="s">
        <v>331</v>
      </c>
      <c r="AU36" s="2" t="s">
        <v>635</v>
      </c>
      <c r="AV36" s="2" t="s">
        <v>635</v>
      </c>
      <c r="AW36" s="2" t="s">
        <v>635</v>
      </c>
      <c r="AX36" s="2" t="s">
        <v>5</v>
      </c>
      <c r="AY36" s="2" t="s">
        <v>828</v>
      </c>
      <c r="AZ36" s="2" t="s">
        <v>3</v>
      </c>
      <c r="BA36" s="2" t="s">
        <v>656</v>
      </c>
      <c r="BC36" s="1"/>
      <c r="BD36" s="2" t="s">
        <v>635</v>
      </c>
      <c r="BE36" s="2" t="s">
        <v>635</v>
      </c>
      <c r="BF36">
        <v>2</v>
      </c>
      <c r="BG36" s="2" t="s">
        <v>635</v>
      </c>
      <c r="BH36" s="2" t="s">
        <v>635</v>
      </c>
      <c r="BI36" s="2" t="s">
        <v>635</v>
      </c>
      <c r="BJ36" s="2" t="s">
        <v>463</v>
      </c>
      <c r="BK36" s="2" t="s">
        <v>635</v>
      </c>
      <c r="BL36" s="2" t="s">
        <v>635</v>
      </c>
      <c r="BM36" s="2" t="s">
        <v>14</v>
      </c>
      <c r="BN36" s="2" t="s">
        <v>635</v>
      </c>
      <c r="BO36" s="2" t="s">
        <v>635</v>
      </c>
      <c r="BP36" s="2" t="s">
        <v>635</v>
      </c>
      <c r="BQ36" s="2" t="s">
        <v>4</v>
      </c>
      <c r="BR36" s="2" t="s">
        <v>635</v>
      </c>
      <c r="BS36" s="2" t="s">
        <v>635</v>
      </c>
      <c r="BT36" s="2" t="s">
        <v>838</v>
      </c>
      <c r="BU36" s="2" t="s">
        <v>635</v>
      </c>
      <c r="BV36" s="2" t="s">
        <v>8</v>
      </c>
      <c r="BW36" s="2" t="s">
        <v>635</v>
      </c>
      <c r="BX36" s="2" t="s">
        <v>10</v>
      </c>
      <c r="BY36" s="2" t="s">
        <v>865</v>
      </c>
      <c r="BZ36" s="2" t="s">
        <v>9</v>
      </c>
      <c r="CA36" s="2" t="s">
        <v>6</v>
      </c>
      <c r="CB36" s="2" t="s">
        <v>12</v>
      </c>
      <c r="CC36" s="2" t="s">
        <v>635</v>
      </c>
      <c r="CD36" s="2" t="s">
        <v>635</v>
      </c>
    </row>
    <row r="37" spans="1:82" x14ac:dyDescent="0.25">
      <c r="A37" s="2" t="s">
        <v>464</v>
      </c>
      <c r="B37" s="2" t="s">
        <v>465</v>
      </c>
      <c r="C37" s="2" t="s">
        <v>635</v>
      </c>
      <c r="D37" s="2" t="s">
        <v>635</v>
      </c>
      <c r="E37" s="2" t="s">
        <v>346</v>
      </c>
      <c r="F37" s="2" t="s">
        <v>329</v>
      </c>
      <c r="G37" s="2" t="s">
        <v>330</v>
      </c>
      <c r="H37" s="2" t="s">
        <v>635</v>
      </c>
      <c r="I37" s="2" t="s">
        <v>18</v>
      </c>
      <c r="J37" s="2" t="s">
        <v>635</v>
      </c>
      <c r="K37" s="2" t="s">
        <v>18</v>
      </c>
      <c r="L37" s="2" t="s">
        <v>635</v>
      </c>
      <c r="M37" s="2" t="s">
        <v>635</v>
      </c>
      <c r="N37">
        <v>27497</v>
      </c>
      <c r="O37">
        <v>86</v>
      </c>
      <c r="Q37" s="2" t="s">
        <v>635</v>
      </c>
      <c r="S37" s="2" t="s">
        <v>635</v>
      </c>
      <c r="T37" s="2" t="s">
        <v>635</v>
      </c>
      <c r="U37" s="2" t="s">
        <v>35</v>
      </c>
      <c r="V37" s="2" t="s">
        <v>635</v>
      </c>
      <c r="W37" s="2" t="s">
        <v>466</v>
      </c>
      <c r="X37" s="2" t="s">
        <v>635</v>
      </c>
      <c r="Y37">
        <v>2003</v>
      </c>
      <c r="AA37" s="2" t="s">
        <v>635</v>
      </c>
      <c r="AB37" s="2" t="s">
        <v>635</v>
      </c>
      <c r="AC37">
        <v>1</v>
      </c>
      <c r="AD37">
        <v>1</v>
      </c>
      <c r="AF37">
        <v>0</v>
      </c>
      <c r="AH37">
        <v>0</v>
      </c>
      <c r="AI37">
        <v>0</v>
      </c>
      <c r="AJ37">
        <v>0</v>
      </c>
      <c r="AK37">
        <v>0</v>
      </c>
      <c r="AM37">
        <v>0</v>
      </c>
      <c r="AN37">
        <v>0</v>
      </c>
      <c r="AO37">
        <v>0</v>
      </c>
      <c r="AP37">
        <v>0</v>
      </c>
      <c r="AR37" s="2" t="s">
        <v>635</v>
      </c>
      <c r="AS37" s="2" t="s">
        <v>11</v>
      </c>
      <c r="AT37" s="2" t="s">
        <v>331</v>
      </c>
      <c r="AU37" s="2" t="s">
        <v>635</v>
      </c>
      <c r="AV37" s="2" t="s">
        <v>635</v>
      </c>
      <c r="AW37" s="2" t="s">
        <v>635</v>
      </c>
      <c r="AX37" s="2" t="s">
        <v>116</v>
      </c>
      <c r="AY37" s="2" t="s">
        <v>885</v>
      </c>
      <c r="AZ37" s="2" t="s">
        <v>255</v>
      </c>
      <c r="BA37" s="2" t="s">
        <v>657</v>
      </c>
      <c r="BC37" s="1"/>
      <c r="BD37" s="2" t="s">
        <v>467</v>
      </c>
      <c r="BE37" s="2" t="s">
        <v>635</v>
      </c>
      <c r="BF37">
        <v>2</v>
      </c>
      <c r="BG37" s="2" t="s">
        <v>635</v>
      </c>
      <c r="BH37" s="2" t="s">
        <v>635</v>
      </c>
      <c r="BI37" s="2" t="s">
        <v>635</v>
      </c>
      <c r="BJ37" s="2" t="s">
        <v>256</v>
      </c>
      <c r="BK37" s="2" t="s">
        <v>635</v>
      </c>
      <c r="BL37" s="2" t="s">
        <v>635</v>
      </c>
      <c r="BM37" s="2" t="s">
        <v>104</v>
      </c>
      <c r="BN37" s="2" t="s">
        <v>635</v>
      </c>
      <c r="BO37" s="2" t="s">
        <v>635</v>
      </c>
      <c r="BP37" s="2" t="s">
        <v>635</v>
      </c>
      <c r="BQ37" s="2" t="s">
        <v>256</v>
      </c>
      <c r="BR37" s="2" t="s">
        <v>635</v>
      </c>
      <c r="BS37" s="2" t="s">
        <v>635</v>
      </c>
      <c r="BT37" s="2" t="s">
        <v>1040</v>
      </c>
      <c r="BU37" s="2" t="s">
        <v>635</v>
      </c>
      <c r="BV37" s="2" t="s">
        <v>257</v>
      </c>
      <c r="BW37" s="2" t="s">
        <v>635</v>
      </c>
      <c r="BX37" s="2" t="s">
        <v>808</v>
      </c>
      <c r="BY37" s="2" t="s">
        <v>865</v>
      </c>
      <c r="BZ37" s="2" t="s">
        <v>258</v>
      </c>
      <c r="CA37" s="2" t="s">
        <v>6</v>
      </c>
      <c r="CB37" s="2" t="s">
        <v>259</v>
      </c>
      <c r="CC37" s="2" t="s">
        <v>635</v>
      </c>
      <c r="CD37" s="2" t="s">
        <v>635</v>
      </c>
    </row>
    <row r="38" spans="1:82" x14ac:dyDescent="0.25">
      <c r="A38" s="2" t="s">
        <v>468</v>
      </c>
      <c r="B38" s="2" t="s">
        <v>469</v>
      </c>
      <c r="C38" s="2" t="s">
        <v>635</v>
      </c>
      <c r="D38" s="2" t="s">
        <v>635</v>
      </c>
      <c r="E38" s="2" t="s">
        <v>346</v>
      </c>
      <c r="F38" s="2" t="s">
        <v>329</v>
      </c>
      <c r="G38" s="2" t="s">
        <v>330</v>
      </c>
      <c r="H38" s="2" t="s">
        <v>635</v>
      </c>
      <c r="I38" s="2" t="s">
        <v>7</v>
      </c>
      <c r="J38" s="2" t="s">
        <v>635</v>
      </c>
      <c r="K38" s="2" t="s">
        <v>7</v>
      </c>
      <c r="L38" s="2" t="s">
        <v>635</v>
      </c>
      <c r="M38" s="2" t="s">
        <v>635</v>
      </c>
      <c r="N38">
        <v>18800</v>
      </c>
      <c r="O38">
        <v>61</v>
      </c>
      <c r="Q38" s="2" t="s">
        <v>635</v>
      </c>
      <c r="S38" s="2" t="s">
        <v>635</v>
      </c>
      <c r="T38" s="2" t="s">
        <v>635</v>
      </c>
      <c r="U38" s="2" t="s">
        <v>35</v>
      </c>
      <c r="V38" s="2" t="s">
        <v>635</v>
      </c>
      <c r="W38" s="2" t="s">
        <v>635</v>
      </c>
      <c r="X38" s="2" t="s">
        <v>635</v>
      </c>
      <c r="Y38">
        <v>2003</v>
      </c>
      <c r="AA38" s="2" t="s">
        <v>635</v>
      </c>
      <c r="AB38" s="2" t="s">
        <v>635</v>
      </c>
      <c r="AC38">
        <v>1</v>
      </c>
      <c r="AD38">
        <v>1</v>
      </c>
      <c r="AF38">
        <v>0</v>
      </c>
      <c r="AH38">
        <v>0</v>
      </c>
      <c r="AI38">
        <v>0</v>
      </c>
      <c r="AJ38">
        <v>0</v>
      </c>
      <c r="AK38">
        <v>0</v>
      </c>
      <c r="AM38">
        <v>0</v>
      </c>
      <c r="AN38">
        <v>0</v>
      </c>
      <c r="AO38">
        <v>0</v>
      </c>
      <c r="AP38">
        <v>0</v>
      </c>
      <c r="AR38" s="2" t="s">
        <v>217</v>
      </c>
      <c r="AS38" s="2" t="s">
        <v>11</v>
      </c>
      <c r="AT38" s="2" t="s">
        <v>331</v>
      </c>
      <c r="AU38" s="2" t="s">
        <v>635</v>
      </c>
      <c r="AV38" s="2" t="s">
        <v>635</v>
      </c>
      <c r="AW38" s="2" t="s">
        <v>635</v>
      </c>
      <c r="AX38" s="2" t="s">
        <v>216</v>
      </c>
      <c r="AY38" s="2" t="s">
        <v>966</v>
      </c>
      <c r="AZ38" s="2" t="s">
        <v>214</v>
      </c>
      <c r="BA38" s="2" t="s">
        <v>658</v>
      </c>
      <c r="BC38" s="1"/>
      <c r="BD38" s="2" t="s">
        <v>470</v>
      </c>
      <c r="BE38" s="2" t="s">
        <v>635</v>
      </c>
      <c r="BG38" s="2" t="s">
        <v>635</v>
      </c>
      <c r="BH38" s="2" t="s">
        <v>635</v>
      </c>
      <c r="BI38" s="2" t="s">
        <v>635</v>
      </c>
      <c r="BJ38" s="2" t="s">
        <v>215</v>
      </c>
      <c r="BK38" s="2" t="s">
        <v>635</v>
      </c>
      <c r="BL38" s="2" t="s">
        <v>635</v>
      </c>
      <c r="BM38" s="2" t="s">
        <v>52</v>
      </c>
      <c r="BN38" s="2" t="s">
        <v>635</v>
      </c>
      <c r="BO38" s="2" t="s">
        <v>635</v>
      </c>
      <c r="BP38" s="2" t="s">
        <v>635</v>
      </c>
      <c r="BQ38" s="2" t="s">
        <v>215</v>
      </c>
      <c r="BR38" s="2" t="s">
        <v>635</v>
      </c>
      <c r="BS38" s="2" t="s">
        <v>635</v>
      </c>
      <c r="BT38" s="2" t="s">
        <v>1042</v>
      </c>
      <c r="BU38" s="2" t="s">
        <v>635</v>
      </c>
      <c r="BV38" s="2" t="s">
        <v>635</v>
      </c>
      <c r="BW38" s="2" t="s">
        <v>635</v>
      </c>
      <c r="BX38" s="2" t="s">
        <v>218</v>
      </c>
      <c r="BY38" s="2" t="s">
        <v>635</v>
      </c>
      <c r="BZ38" s="2" t="s">
        <v>153</v>
      </c>
      <c r="CA38" s="2" t="s">
        <v>153</v>
      </c>
      <c r="CB38" s="2" t="s">
        <v>219</v>
      </c>
      <c r="CC38" s="2" t="s">
        <v>635</v>
      </c>
      <c r="CD38" s="2" t="s">
        <v>635</v>
      </c>
    </row>
    <row r="39" spans="1:82" x14ac:dyDescent="0.25">
      <c r="A39" s="2" t="s">
        <v>471</v>
      </c>
      <c r="B39" s="2" t="s">
        <v>472</v>
      </c>
      <c r="C39" s="2" t="s">
        <v>635</v>
      </c>
      <c r="D39" s="2" t="s">
        <v>635</v>
      </c>
      <c r="E39" s="2" t="s">
        <v>360</v>
      </c>
      <c r="F39" s="2" t="s">
        <v>329</v>
      </c>
      <c r="G39" s="2" t="s">
        <v>330</v>
      </c>
      <c r="H39" s="2" t="s">
        <v>635</v>
      </c>
      <c r="I39" s="2" t="s">
        <v>64</v>
      </c>
      <c r="J39" s="2" t="s">
        <v>635</v>
      </c>
      <c r="K39" s="2" t="s">
        <v>635</v>
      </c>
      <c r="L39" s="2" t="s">
        <v>635</v>
      </c>
      <c r="M39" s="2" t="s">
        <v>635</v>
      </c>
      <c r="O39">
        <v>31</v>
      </c>
      <c r="Q39" s="2" t="s">
        <v>635</v>
      </c>
      <c r="S39" s="2" t="s">
        <v>635</v>
      </c>
      <c r="T39" s="2" t="s">
        <v>635</v>
      </c>
      <c r="U39" s="2" t="s">
        <v>35</v>
      </c>
      <c r="V39" s="2" t="s">
        <v>635</v>
      </c>
      <c r="W39" s="2" t="s">
        <v>635</v>
      </c>
      <c r="X39" s="2" t="s">
        <v>635</v>
      </c>
      <c r="Y39">
        <v>1997</v>
      </c>
      <c r="AA39" s="2" t="s">
        <v>635</v>
      </c>
      <c r="AB39" s="2" t="s">
        <v>635</v>
      </c>
      <c r="AC39">
        <v>1</v>
      </c>
      <c r="AD39">
        <v>1</v>
      </c>
      <c r="AF39">
        <v>0</v>
      </c>
      <c r="AH39">
        <v>0</v>
      </c>
      <c r="AI39">
        <v>1</v>
      </c>
      <c r="AJ39">
        <v>0</v>
      </c>
      <c r="AK39">
        <v>0</v>
      </c>
      <c r="AM39">
        <v>1</v>
      </c>
      <c r="AN39">
        <v>0</v>
      </c>
      <c r="AO39">
        <v>0</v>
      </c>
      <c r="AP39">
        <v>0</v>
      </c>
      <c r="AR39" s="2" t="s">
        <v>635</v>
      </c>
      <c r="AS39" s="2" t="s">
        <v>11</v>
      </c>
      <c r="AT39" s="2" t="s">
        <v>331</v>
      </c>
      <c r="AU39" s="2" t="s">
        <v>635</v>
      </c>
      <c r="AV39" s="2" t="s">
        <v>635</v>
      </c>
      <c r="AW39" s="2" t="s">
        <v>635</v>
      </c>
      <c r="AX39" s="2" t="s">
        <v>635</v>
      </c>
      <c r="AY39" s="2" t="s">
        <v>1007</v>
      </c>
      <c r="AZ39" s="2" t="s">
        <v>237</v>
      </c>
      <c r="BA39" s="2" t="s">
        <v>659</v>
      </c>
      <c r="BC39" s="1"/>
      <c r="BD39" s="2" t="s">
        <v>64</v>
      </c>
      <c r="BE39" s="2" t="s">
        <v>635</v>
      </c>
      <c r="BG39" s="2" t="s">
        <v>635</v>
      </c>
      <c r="BH39" s="2" t="s">
        <v>635</v>
      </c>
      <c r="BI39" s="2" t="s">
        <v>635</v>
      </c>
      <c r="BJ39" s="2" t="s">
        <v>1043</v>
      </c>
      <c r="BK39" s="2" t="s">
        <v>64</v>
      </c>
      <c r="BL39" s="2" t="s">
        <v>635</v>
      </c>
      <c r="BM39" s="2" t="s">
        <v>14</v>
      </c>
      <c r="BN39" s="2" t="s">
        <v>635</v>
      </c>
      <c r="BO39" s="2" t="s">
        <v>635</v>
      </c>
      <c r="BP39" s="2" t="s">
        <v>635</v>
      </c>
      <c r="BQ39" s="2" t="s">
        <v>238</v>
      </c>
      <c r="BR39" s="2" t="s">
        <v>635</v>
      </c>
      <c r="BS39" s="2" t="s">
        <v>635</v>
      </c>
      <c r="BT39" s="2" t="s">
        <v>838</v>
      </c>
      <c r="BU39" s="2" t="s">
        <v>635</v>
      </c>
      <c r="BV39" s="2" t="s">
        <v>237</v>
      </c>
      <c r="BW39" s="2" t="s">
        <v>89</v>
      </c>
      <c r="BX39" s="2" t="s">
        <v>240</v>
      </c>
      <c r="BY39" s="2" t="s">
        <v>635</v>
      </c>
      <c r="BZ39" s="2" t="s">
        <v>239</v>
      </c>
      <c r="CA39" s="2" t="s">
        <v>69</v>
      </c>
      <c r="CB39" s="2" t="s">
        <v>241</v>
      </c>
      <c r="CC39" s="2" t="s">
        <v>1044</v>
      </c>
      <c r="CD39" s="2" t="s">
        <v>635</v>
      </c>
    </row>
    <row r="40" spans="1:82" x14ac:dyDescent="0.25">
      <c r="A40" s="2" t="s">
        <v>398</v>
      </c>
      <c r="B40" s="2" t="s">
        <v>399</v>
      </c>
      <c r="C40" s="2" t="s">
        <v>635</v>
      </c>
      <c r="D40" s="2" t="s">
        <v>635</v>
      </c>
      <c r="E40" s="2" t="s">
        <v>346</v>
      </c>
      <c r="F40" s="2" t="s">
        <v>329</v>
      </c>
      <c r="G40" s="2" t="s">
        <v>330</v>
      </c>
      <c r="H40" s="2" t="s">
        <v>635</v>
      </c>
      <c r="I40" s="2" t="s">
        <v>7</v>
      </c>
      <c r="J40" s="2" t="s">
        <v>635</v>
      </c>
      <c r="K40" s="2" t="s">
        <v>7</v>
      </c>
      <c r="L40" s="2" t="s">
        <v>635</v>
      </c>
      <c r="M40" s="2" t="s">
        <v>635</v>
      </c>
      <c r="N40">
        <v>25928</v>
      </c>
      <c r="O40">
        <v>29</v>
      </c>
      <c r="Q40" s="2" t="s">
        <v>635</v>
      </c>
      <c r="S40" s="2" t="s">
        <v>635</v>
      </c>
      <c r="T40" s="2" t="s">
        <v>635</v>
      </c>
      <c r="U40" s="2" t="s">
        <v>35</v>
      </c>
      <c r="V40" s="2" t="s">
        <v>635</v>
      </c>
      <c r="W40" s="2" t="s">
        <v>473</v>
      </c>
      <c r="X40" s="2" t="s">
        <v>635</v>
      </c>
      <c r="Y40">
        <v>2003</v>
      </c>
      <c r="AA40" s="2" t="s">
        <v>635</v>
      </c>
      <c r="AB40" s="2" t="s">
        <v>635</v>
      </c>
      <c r="AC40">
        <v>1</v>
      </c>
      <c r="AD40">
        <v>1</v>
      </c>
      <c r="AF40">
        <v>0</v>
      </c>
      <c r="AH40">
        <v>0</v>
      </c>
      <c r="AI40">
        <v>0</v>
      </c>
      <c r="AJ40">
        <v>0</v>
      </c>
      <c r="AK40">
        <v>0</v>
      </c>
      <c r="AM40">
        <v>0</v>
      </c>
      <c r="AN40">
        <v>0</v>
      </c>
      <c r="AO40">
        <v>0</v>
      </c>
      <c r="AP40">
        <v>0</v>
      </c>
      <c r="AR40" s="2" t="s">
        <v>635</v>
      </c>
      <c r="AS40" s="2" t="s">
        <v>11</v>
      </c>
      <c r="AT40" s="2" t="s">
        <v>331</v>
      </c>
      <c r="AU40" s="2" t="s">
        <v>635</v>
      </c>
      <c r="AV40" s="2" t="s">
        <v>635</v>
      </c>
      <c r="AW40" s="2" t="s">
        <v>635</v>
      </c>
      <c r="AX40" s="2" t="s">
        <v>5</v>
      </c>
      <c r="AY40" s="2" t="s">
        <v>828</v>
      </c>
      <c r="AZ40" s="2" t="s">
        <v>211</v>
      </c>
      <c r="BA40" s="2" t="s">
        <v>658</v>
      </c>
      <c r="BC40" s="1"/>
      <c r="BD40" s="2" t="s">
        <v>474</v>
      </c>
      <c r="BE40" s="2" t="s">
        <v>635</v>
      </c>
      <c r="BG40" s="2" t="s">
        <v>635</v>
      </c>
      <c r="BH40" s="2" t="s">
        <v>635</v>
      </c>
      <c r="BI40" s="2" t="s">
        <v>635</v>
      </c>
      <c r="BJ40" s="2" t="s">
        <v>212</v>
      </c>
      <c r="BK40" s="2" t="s">
        <v>635</v>
      </c>
      <c r="BL40" s="2" t="s">
        <v>635</v>
      </c>
      <c r="BM40" s="2" t="s">
        <v>14</v>
      </c>
      <c r="BN40" s="2" t="s">
        <v>635</v>
      </c>
      <c r="BO40" s="2" t="s">
        <v>635</v>
      </c>
      <c r="BP40" s="2" t="s">
        <v>635</v>
      </c>
      <c r="BQ40" s="2" t="s">
        <v>212</v>
      </c>
      <c r="BR40" s="2" t="s">
        <v>635</v>
      </c>
      <c r="BS40" s="2" t="s">
        <v>635</v>
      </c>
      <c r="BT40" s="2" t="s">
        <v>1046</v>
      </c>
      <c r="BU40" s="2" t="s">
        <v>635</v>
      </c>
      <c r="BV40" s="2" t="s">
        <v>635</v>
      </c>
      <c r="BW40" s="2" t="s">
        <v>635</v>
      </c>
      <c r="BX40" s="2" t="s">
        <v>805</v>
      </c>
      <c r="BY40" s="2" t="s">
        <v>635</v>
      </c>
      <c r="BZ40" s="2" t="s">
        <v>153</v>
      </c>
      <c r="CA40" s="2" t="s">
        <v>153</v>
      </c>
      <c r="CB40" s="2" t="s">
        <v>213</v>
      </c>
      <c r="CC40" s="2" t="s">
        <v>635</v>
      </c>
      <c r="CD40" s="2" t="s">
        <v>635</v>
      </c>
    </row>
    <row r="41" spans="1:82" x14ac:dyDescent="0.25">
      <c r="A41" s="2" t="s">
        <v>475</v>
      </c>
      <c r="B41" s="2" t="s">
        <v>476</v>
      </c>
      <c r="C41" s="2" t="s">
        <v>635</v>
      </c>
      <c r="D41" s="2" t="s">
        <v>635</v>
      </c>
      <c r="E41" s="2" t="s">
        <v>328</v>
      </c>
      <c r="F41" s="2" t="s">
        <v>635</v>
      </c>
      <c r="G41" s="2" t="s">
        <v>429</v>
      </c>
      <c r="H41" s="2" t="s">
        <v>635</v>
      </c>
      <c r="I41" s="2" t="s">
        <v>635</v>
      </c>
      <c r="J41" s="2" t="s">
        <v>635</v>
      </c>
      <c r="K41" s="2" t="s">
        <v>635</v>
      </c>
      <c r="L41" s="2" t="s">
        <v>635</v>
      </c>
      <c r="M41" s="2" t="s">
        <v>635</v>
      </c>
      <c r="N41">
        <v>188</v>
      </c>
      <c r="O41">
        <v>13</v>
      </c>
      <c r="Q41" s="2" t="s">
        <v>635</v>
      </c>
      <c r="S41" s="2" t="s">
        <v>635</v>
      </c>
      <c r="T41" s="2" t="s">
        <v>635</v>
      </c>
      <c r="U41" s="2" t="s">
        <v>35</v>
      </c>
      <c r="V41" s="2" t="s">
        <v>635</v>
      </c>
      <c r="W41" s="2" t="s">
        <v>477</v>
      </c>
      <c r="X41" s="2" t="s">
        <v>478</v>
      </c>
      <c r="Y41">
        <v>2015</v>
      </c>
      <c r="AA41" s="2" t="s">
        <v>635</v>
      </c>
      <c r="AB41" s="2" t="s">
        <v>635</v>
      </c>
      <c r="AC41">
        <v>1</v>
      </c>
      <c r="AD41">
        <v>1</v>
      </c>
      <c r="AF41">
        <v>1</v>
      </c>
      <c r="AH41">
        <v>0</v>
      </c>
      <c r="AI41">
        <v>0</v>
      </c>
      <c r="AJ41">
        <v>0</v>
      </c>
      <c r="AK41">
        <v>0</v>
      </c>
      <c r="AM41">
        <v>1</v>
      </c>
      <c r="AN41">
        <v>0</v>
      </c>
      <c r="AO41">
        <v>0</v>
      </c>
      <c r="AP41">
        <v>0</v>
      </c>
      <c r="AR41" s="2" t="s">
        <v>635</v>
      </c>
      <c r="AS41" s="2" t="s">
        <v>11</v>
      </c>
      <c r="AT41" s="2" t="s">
        <v>331</v>
      </c>
      <c r="AU41" s="2" t="s">
        <v>635</v>
      </c>
      <c r="AV41" s="2" t="s">
        <v>635</v>
      </c>
      <c r="AW41" s="2" t="s">
        <v>635</v>
      </c>
      <c r="AX41" s="2" t="s">
        <v>635</v>
      </c>
      <c r="AY41" s="2" t="s">
        <v>1007</v>
      </c>
      <c r="AZ41" s="2" t="s">
        <v>67</v>
      </c>
      <c r="BA41" s="2" t="s">
        <v>660</v>
      </c>
      <c r="BC41" s="1">
        <v>45401</v>
      </c>
      <c r="BD41" s="2" t="s">
        <v>479</v>
      </c>
      <c r="BE41" s="2" t="s">
        <v>635</v>
      </c>
      <c r="BG41" s="2" t="s">
        <v>635</v>
      </c>
      <c r="BH41" s="2" t="s">
        <v>635</v>
      </c>
      <c r="BI41" s="2" t="s">
        <v>635</v>
      </c>
      <c r="BJ41" s="2" t="s">
        <v>480</v>
      </c>
      <c r="BK41" s="2" t="s">
        <v>635</v>
      </c>
      <c r="BL41" s="2" t="s">
        <v>431</v>
      </c>
      <c r="BM41" s="2" t="s">
        <v>23</v>
      </c>
      <c r="BN41" s="2" t="s">
        <v>635</v>
      </c>
      <c r="BO41" s="2" t="s">
        <v>635</v>
      </c>
      <c r="BP41" s="2" t="s">
        <v>333</v>
      </c>
      <c r="BQ41" s="2" t="s">
        <v>68</v>
      </c>
      <c r="BR41" s="2" t="s">
        <v>635</v>
      </c>
      <c r="BS41" s="2" t="s">
        <v>635</v>
      </c>
      <c r="BT41" s="2" t="s">
        <v>1050</v>
      </c>
      <c r="BU41" s="2" t="s">
        <v>635</v>
      </c>
      <c r="BV41" s="2" t="s">
        <v>635</v>
      </c>
      <c r="BW41" s="2" t="s">
        <v>635</v>
      </c>
      <c r="BX41" s="2" t="s">
        <v>810</v>
      </c>
      <c r="BY41" s="2" t="s">
        <v>635</v>
      </c>
      <c r="BZ41" s="2" t="s">
        <v>69</v>
      </c>
      <c r="CA41" s="2" t="s">
        <v>69</v>
      </c>
      <c r="CB41" s="2" t="s">
        <v>70</v>
      </c>
      <c r="CC41" s="2" t="s">
        <v>635</v>
      </c>
      <c r="CD41" s="2" t="s">
        <v>635</v>
      </c>
    </row>
    <row r="42" spans="1:82" x14ac:dyDescent="0.25">
      <c r="A42" s="2" t="s">
        <v>456</v>
      </c>
      <c r="B42" s="2" t="s">
        <v>457</v>
      </c>
      <c r="C42" s="2" t="s">
        <v>635</v>
      </c>
      <c r="D42" s="2" t="s">
        <v>635</v>
      </c>
      <c r="E42" s="2" t="s">
        <v>346</v>
      </c>
      <c r="F42" s="2" t="s">
        <v>329</v>
      </c>
      <c r="G42" s="2" t="s">
        <v>330</v>
      </c>
      <c r="H42" s="2" t="s">
        <v>635</v>
      </c>
      <c r="I42" s="2" t="s">
        <v>64</v>
      </c>
      <c r="J42" s="2" t="s">
        <v>635</v>
      </c>
      <c r="K42" s="2" t="s">
        <v>64</v>
      </c>
      <c r="L42" s="2" t="s">
        <v>635</v>
      </c>
      <c r="M42" s="2" t="s">
        <v>635</v>
      </c>
      <c r="N42">
        <v>14098</v>
      </c>
      <c r="O42">
        <v>36</v>
      </c>
      <c r="Q42" s="2" t="s">
        <v>635</v>
      </c>
      <c r="S42" s="2" t="s">
        <v>635</v>
      </c>
      <c r="T42" s="2" t="s">
        <v>635</v>
      </c>
      <c r="U42" s="2" t="s">
        <v>35</v>
      </c>
      <c r="V42" s="2" t="s">
        <v>635</v>
      </c>
      <c r="W42" s="2" t="s">
        <v>458</v>
      </c>
      <c r="X42" s="2" t="s">
        <v>635</v>
      </c>
      <c r="Y42">
        <v>2015</v>
      </c>
      <c r="AA42" s="2" t="s">
        <v>635</v>
      </c>
      <c r="AB42" s="2" t="s">
        <v>635</v>
      </c>
      <c r="AC42">
        <v>1</v>
      </c>
      <c r="AD42">
        <v>1</v>
      </c>
      <c r="AF42">
        <v>0</v>
      </c>
      <c r="AH42">
        <v>0</v>
      </c>
      <c r="AI42">
        <v>0</v>
      </c>
      <c r="AJ42">
        <v>0</v>
      </c>
      <c r="AK42">
        <v>0</v>
      </c>
      <c r="AM42">
        <v>0</v>
      </c>
      <c r="AN42">
        <v>0</v>
      </c>
      <c r="AO42">
        <v>0</v>
      </c>
      <c r="AP42">
        <v>0</v>
      </c>
      <c r="AR42" s="2" t="s">
        <v>100</v>
      </c>
      <c r="AS42" s="2" t="s">
        <v>11</v>
      </c>
      <c r="AT42" s="2" t="s">
        <v>331</v>
      </c>
      <c r="AU42" s="2" t="s">
        <v>635</v>
      </c>
      <c r="AV42" s="2" t="s">
        <v>635</v>
      </c>
      <c r="AW42" s="2" t="s">
        <v>635</v>
      </c>
      <c r="AX42" s="2" t="s">
        <v>98</v>
      </c>
      <c r="AY42" s="2" t="s">
        <v>904</v>
      </c>
      <c r="AZ42" s="2" t="s">
        <v>96</v>
      </c>
      <c r="BA42" s="2" t="s">
        <v>677</v>
      </c>
      <c r="BC42" s="1"/>
      <c r="BD42" s="2" t="s">
        <v>101</v>
      </c>
      <c r="BE42" s="2" t="s">
        <v>635</v>
      </c>
      <c r="BG42" s="2" t="s">
        <v>635</v>
      </c>
      <c r="BH42" s="2" t="s">
        <v>635</v>
      </c>
      <c r="BI42" s="2" t="s">
        <v>635</v>
      </c>
      <c r="BJ42" s="2" t="s">
        <v>809</v>
      </c>
      <c r="BK42" s="2" t="s">
        <v>635</v>
      </c>
      <c r="BL42" s="2" t="s">
        <v>635</v>
      </c>
      <c r="BM42" s="2" t="s">
        <v>104</v>
      </c>
      <c r="BN42" s="2" t="s">
        <v>635</v>
      </c>
      <c r="BO42" s="2" t="s">
        <v>635</v>
      </c>
      <c r="BP42" s="2" t="s">
        <v>635</v>
      </c>
      <c r="BQ42" s="2" t="s">
        <v>97</v>
      </c>
      <c r="BR42" s="2" t="s">
        <v>635</v>
      </c>
      <c r="BS42" s="2" t="s">
        <v>635</v>
      </c>
      <c r="BT42" s="2" t="s">
        <v>1051</v>
      </c>
      <c r="BU42" s="2" t="s">
        <v>635</v>
      </c>
      <c r="BV42" s="2" t="s">
        <v>635</v>
      </c>
      <c r="BW42" s="2" t="s">
        <v>635</v>
      </c>
      <c r="BX42" s="2" t="s">
        <v>101</v>
      </c>
      <c r="BY42" s="2" t="s">
        <v>635</v>
      </c>
      <c r="BZ42" s="2" t="s">
        <v>99</v>
      </c>
      <c r="CA42" s="2" t="s">
        <v>99</v>
      </c>
      <c r="CB42" s="2" t="s">
        <v>459</v>
      </c>
      <c r="CC42" s="2" t="s">
        <v>102</v>
      </c>
      <c r="CD42" s="2" t="s">
        <v>635</v>
      </c>
    </row>
    <row r="43" spans="1:82" x14ac:dyDescent="0.25">
      <c r="A43" s="2" t="s">
        <v>481</v>
      </c>
      <c r="B43" s="2" t="s">
        <v>482</v>
      </c>
      <c r="C43" s="2" t="s">
        <v>635</v>
      </c>
      <c r="D43" s="2" t="s">
        <v>635</v>
      </c>
      <c r="E43" s="2" t="s">
        <v>346</v>
      </c>
      <c r="F43" s="2" t="s">
        <v>329</v>
      </c>
      <c r="G43" s="2" t="s">
        <v>330</v>
      </c>
      <c r="H43" s="2" t="s">
        <v>635</v>
      </c>
      <c r="I43" s="2" t="s">
        <v>635</v>
      </c>
      <c r="J43" s="2" t="s">
        <v>635</v>
      </c>
      <c r="K43" s="2" t="s">
        <v>635</v>
      </c>
      <c r="L43" s="2" t="s">
        <v>635</v>
      </c>
      <c r="M43" s="2" t="s">
        <v>635</v>
      </c>
      <c r="N43">
        <v>15447</v>
      </c>
      <c r="O43">
        <v>41</v>
      </c>
      <c r="Q43" s="2" t="s">
        <v>635</v>
      </c>
      <c r="S43" s="2" t="s">
        <v>635</v>
      </c>
      <c r="T43" s="2" t="s">
        <v>635</v>
      </c>
      <c r="U43" s="2" t="s">
        <v>35</v>
      </c>
      <c r="V43" s="2" t="s">
        <v>635</v>
      </c>
      <c r="W43" s="2" t="s">
        <v>483</v>
      </c>
      <c r="X43" s="2" t="s">
        <v>635</v>
      </c>
      <c r="Y43">
        <v>1997</v>
      </c>
      <c r="AA43" s="2" t="s">
        <v>635</v>
      </c>
      <c r="AB43" s="2" t="s">
        <v>635</v>
      </c>
      <c r="AC43">
        <v>1</v>
      </c>
      <c r="AD43">
        <v>1</v>
      </c>
      <c r="AF43">
        <v>0</v>
      </c>
      <c r="AH43">
        <v>0</v>
      </c>
      <c r="AI43">
        <v>0</v>
      </c>
      <c r="AJ43">
        <v>0</v>
      </c>
      <c r="AK43">
        <v>0</v>
      </c>
      <c r="AM43">
        <v>0</v>
      </c>
      <c r="AN43">
        <v>0</v>
      </c>
      <c r="AO43">
        <v>0</v>
      </c>
      <c r="AP43">
        <v>0</v>
      </c>
      <c r="AR43" s="2" t="s">
        <v>281</v>
      </c>
      <c r="AS43" s="2" t="s">
        <v>11</v>
      </c>
      <c r="AT43" s="2" t="s">
        <v>331</v>
      </c>
      <c r="AU43" s="2" t="s">
        <v>635</v>
      </c>
      <c r="AV43" s="2" t="s">
        <v>635</v>
      </c>
      <c r="AW43" s="2" t="s">
        <v>635</v>
      </c>
      <c r="AX43" s="2" t="s">
        <v>277</v>
      </c>
      <c r="AY43" s="2" t="s">
        <v>854</v>
      </c>
      <c r="AZ43" s="2" t="s">
        <v>275</v>
      </c>
      <c r="BA43" s="2" t="s">
        <v>661</v>
      </c>
      <c r="BC43" s="1"/>
      <c r="BD43" s="2" t="s">
        <v>1127</v>
      </c>
      <c r="BE43" s="2" t="s">
        <v>635</v>
      </c>
      <c r="BF43">
        <v>0</v>
      </c>
      <c r="BG43" s="2" t="s">
        <v>635</v>
      </c>
      <c r="BH43" s="2" t="s">
        <v>635</v>
      </c>
      <c r="BI43" s="2" t="s">
        <v>635</v>
      </c>
      <c r="BJ43" s="2" t="s">
        <v>484</v>
      </c>
      <c r="BK43" s="2" t="s">
        <v>635</v>
      </c>
      <c r="BL43" s="2" t="s">
        <v>635</v>
      </c>
      <c r="BM43" s="2" t="s">
        <v>104</v>
      </c>
      <c r="BN43" s="2" t="s">
        <v>635</v>
      </c>
      <c r="BO43" s="2" t="s">
        <v>635</v>
      </c>
      <c r="BP43" s="2" t="s">
        <v>635</v>
      </c>
      <c r="BQ43" s="2" t="s">
        <v>276</v>
      </c>
      <c r="BR43" s="2" t="s">
        <v>635</v>
      </c>
      <c r="BS43" s="2" t="s">
        <v>635</v>
      </c>
      <c r="BT43" s="2" t="s">
        <v>1056</v>
      </c>
      <c r="BU43" s="2" t="s">
        <v>635</v>
      </c>
      <c r="BV43" s="2" t="s">
        <v>279</v>
      </c>
      <c r="BW43" s="2" t="s">
        <v>635</v>
      </c>
      <c r="BX43" s="2" t="s">
        <v>1128</v>
      </c>
      <c r="BY43" s="2" t="s">
        <v>837</v>
      </c>
      <c r="BZ43" s="2" t="s">
        <v>280</v>
      </c>
      <c r="CA43" s="2" t="s">
        <v>278</v>
      </c>
      <c r="CB43" s="2" t="s">
        <v>282</v>
      </c>
      <c r="CC43" s="2" t="s">
        <v>635</v>
      </c>
      <c r="CD43" s="2" t="s">
        <v>635</v>
      </c>
    </row>
    <row r="44" spans="1:82" x14ac:dyDescent="0.25">
      <c r="A44" s="2" t="s">
        <v>485</v>
      </c>
      <c r="B44" s="2" t="s">
        <v>486</v>
      </c>
      <c r="C44" s="2" t="s">
        <v>635</v>
      </c>
      <c r="D44" s="2" t="s">
        <v>635</v>
      </c>
      <c r="E44" s="2" t="s">
        <v>346</v>
      </c>
      <c r="F44" s="2" t="s">
        <v>329</v>
      </c>
      <c r="G44" s="2" t="s">
        <v>330</v>
      </c>
      <c r="H44" s="2" t="s">
        <v>635</v>
      </c>
      <c r="I44" s="2" t="s">
        <v>64</v>
      </c>
      <c r="J44" s="2" t="s">
        <v>635</v>
      </c>
      <c r="K44" s="2" t="s">
        <v>64</v>
      </c>
      <c r="L44" s="2" t="s">
        <v>635</v>
      </c>
      <c r="M44" s="2" t="s">
        <v>635</v>
      </c>
      <c r="N44">
        <v>20227</v>
      </c>
      <c r="O44">
        <v>33</v>
      </c>
      <c r="Q44" s="2" t="s">
        <v>635</v>
      </c>
      <c r="S44" s="2" t="s">
        <v>635</v>
      </c>
      <c r="T44" s="2" t="s">
        <v>635</v>
      </c>
      <c r="U44" s="2" t="s">
        <v>35</v>
      </c>
      <c r="V44" s="2" t="s">
        <v>635</v>
      </c>
      <c r="W44" s="2" t="s">
        <v>1060</v>
      </c>
      <c r="X44" s="2" t="s">
        <v>1061</v>
      </c>
      <c r="Z44">
        <v>1997</v>
      </c>
      <c r="AA44" s="2" t="s">
        <v>635</v>
      </c>
      <c r="AB44" s="2" t="s">
        <v>635</v>
      </c>
      <c r="AD44">
        <v>1</v>
      </c>
      <c r="AE44">
        <v>1</v>
      </c>
      <c r="AG44">
        <v>0</v>
      </c>
      <c r="AI44">
        <v>0</v>
      </c>
      <c r="AJ44">
        <v>0</v>
      </c>
      <c r="AK44">
        <v>0</v>
      </c>
      <c r="AL44">
        <v>0</v>
      </c>
      <c r="AN44">
        <v>0</v>
      </c>
      <c r="AO44">
        <v>0</v>
      </c>
      <c r="AP44">
        <v>0</v>
      </c>
      <c r="AQ44">
        <v>0</v>
      </c>
      <c r="AR44" s="2" t="s">
        <v>635</v>
      </c>
      <c r="AS44" s="2" t="s">
        <v>635</v>
      </c>
      <c r="AT44" s="2" t="s">
        <v>11</v>
      </c>
      <c r="AU44" s="2" t="s">
        <v>331</v>
      </c>
      <c r="AV44" s="2" t="s">
        <v>635</v>
      </c>
      <c r="AW44" s="2" t="s">
        <v>635</v>
      </c>
      <c r="AX44" s="2" t="s">
        <v>635</v>
      </c>
      <c r="AY44" s="2" t="s">
        <v>251</v>
      </c>
      <c r="AZ44" s="2" t="s">
        <v>828</v>
      </c>
      <c r="BA44" s="2" t="s">
        <v>283</v>
      </c>
      <c r="BB44">
        <v>42</v>
      </c>
      <c r="BC44" s="1"/>
      <c r="BD44" s="2" t="s">
        <v>635</v>
      </c>
      <c r="BE44" s="2" t="s">
        <v>487</v>
      </c>
      <c r="BG44" s="2" t="s">
        <v>635</v>
      </c>
      <c r="BH44" s="2" t="s">
        <v>635</v>
      </c>
      <c r="BI44" s="2" t="s">
        <v>635</v>
      </c>
      <c r="BJ44" s="2" t="s">
        <v>635</v>
      </c>
      <c r="BK44" s="2" t="s">
        <v>276</v>
      </c>
      <c r="BL44" s="2" t="s">
        <v>635</v>
      </c>
      <c r="BM44" s="2" t="s">
        <v>635</v>
      </c>
      <c r="BN44" s="2" t="s">
        <v>104</v>
      </c>
      <c r="BO44" s="2" t="s">
        <v>635</v>
      </c>
      <c r="BP44" s="2" t="s">
        <v>635</v>
      </c>
      <c r="BQ44" s="2" t="s">
        <v>635</v>
      </c>
      <c r="BR44" s="2" t="s">
        <v>276</v>
      </c>
      <c r="BS44" s="2" t="s">
        <v>635</v>
      </c>
      <c r="BT44" s="2" t="s">
        <v>635</v>
      </c>
      <c r="BU44" s="2" t="s">
        <v>1062</v>
      </c>
      <c r="BV44" s="2" t="s">
        <v>635</v>
      </c>
      <c r="BW44" s="2" t="s">
        <v>635</v>
      </c>
      <c r="BX44" s="2" t="s">
        <v>635</v>
      </c>
      <c r="BY44" s="2" t="s">
        <v>284</v>
      </c>
      <c r="BZ44" s="2" t="s">
        <v>635</v>
      </c>
      <c r="CA44" s="2" t="s">
        <v>136</v>
      </c>
      <c r="CB44" s="2" t="s">
        <v>136</v>
      </c>
      <c r="CC44" s="2" t="s">
        <v>285</v>
      </c>
      <c r="CD44" s="2" t="s">
        <v>635</v>
      </c>
    </row>
    <row r="45" spans="1:82" x14ac:dyDescent="0.25">
      <c r="A45" s="2" t="s">
        <v>438</v>
      </c>
      <c r="B45" s="2" t="s">
        <v>439</v>
      </c>
      <c r="C45" s="2" t="s">
        <v>635</v>
      </c>
      <c r="D45" s="2" t="s">
        <v>635</v>
      </c>
      <c r="E45" s="2" t="s">
        <v>346</v>
      </c>
      <c r="F45" s="2" t="s">
        <v>329</v>
      </c>
      <c r="G45" s="2" t="s">
        <v>330</v>
      </c>
      <c r="H45" s="2" t="s">
        <v>635</v>
      </c>
      <c r="I45" s="2" t="s">
        <v>7</v>
      </c>
      <c r="J45" s="2" t="s">
        <v>635</v>
      </c>
      <c r="K45" s="2" t="s">
        <v>7</v>
      </c>
      <c r="L45" s="2" t="s">
        <v>635</v>
      </c>
      <c r="M45" s="2" t="s">
        <v>635</v>
      </c>
      <c r="N45">
        <v>30007</v>
      </c>
      <c r="O45">
        <v>0</v>
      </c>
      <c r="Q45" s="2" t="s">
        <v>635</v>
      </c>
      <c r="S45" s="2" t="s">
        <v>635</v>
      </c>
      <c r="T45" s="2" t="s">
        <v>635</v>
      </c>
      <c r="U45" s="2" t="s">
        <v>35</v>
      </c>
      <c r="V45" s="2" t="s">
        <v>635</v>
      </c>
      <c r="W45" s="2" t="s">
        <v>1124</v>
      </c>
      <c r="X45" s="2" t="s">
        <v>635</v>
      </c>
      <c r="Y45">
        <v>2003</v>
      </c>
      <c r="AA45" s="2" t="s">
        <v>635</v>
      </c>
      <c r="AB45" s="2" t="s">
        <v>635</v>
      </c>
      <c r="AC45">
        <v>1</v>
      </c>
      <c r="AD45">
        <v>1</v>
      </c>
      <c r="AF45">
        <v>0</v>
      </c>
      <c r="AH45">
        <v>0</v>
      </c>
      <c r="AI45">
        <v>0</v>
      </c>
      <c r="AJ45">
        <v>0</v>
      </c>
      <c r="AK45">
        <v>0</v>
      </c>
      <c r="AM45">
        <v>1</v>
      </c>
      <c r="AN45">
        <v>0</v>
      </c>
      <c r="AO45">
        <v>0</v>
      </c>
      <c r="AP45">
        <v>0</v>
      </c>
      <c r="AR45" s="2" t="s">
        <v>290</v>
      </c>
      <c r="AS45" s="2" t="s">
        <v>11</v>
      </c>
      <c r="AT45" s="2" t="s">
        <v>331</v>
      </c>
      <c r="AU45" s="2" t="s">
        <v>635</v>
      </c>
      <c r="AV45" s="2" t="s">
        <v>635</v>
      </c>
      <c r="AW45" s="2" t="s">
        <v>635</v>
      </c>
      <c r="AX45" s="2" t="s">
        <v>140</v>
      </c>
      <c r="AY45" s="2" t="s">
        <v>854</v>
      </c>
      <c r="AZ45" s="2" t="s">
        <v>286</v>
      </c>
      <c r="BA45" s="2" t="s">
        <v>815</v>
      </c>
      <c r="BC45" s="1"/>
      <c r="BD45" s="2" t="s">
        <v>816</v>
      </c>
      <c r="BE45" s="2" t="s">
        <v>635</v>
      </c>
      <c r="BF45">
        <v>3</v>
      </c>
      <c r="BG45" s="2" t="s">
        <v>635</v>
      </c>
      <c r="BH45" s="2" t="s">
        <v>635</v>
      </c>
      <c r="BI45" s="2" t="s">
        <v>635</v>
      </c>
      <c r="BJ45" s="2" t="s">
        <v>441</v>
      </c>
      <c r="BK45" s="2" t="s">
        <v>635</v>
      </c>
      <c r="BL45" s="2" t="s">
        <v>635</v>
      </c>
      <c r="BM45" s="2" t="s">
        <v>14</v>
      </c>
      <c r="BN45" s="2" t="s">
        <v>635</v>
      </c>
      <c r="BO45" s="2" t="s">
        <v>635</v>
      </c>
      <c r="BP45" s="2" t="s">
        <v>635</v>
      </c>
      <c r="BQ45" s="2" t="s">
        <v>817</v>
      </c>
      <c r="BR45" s="2" t="s">
        <v>635</v>
      </c>
      <c r="BS45" s="2" t="s">
        <v>635</v>
      </c>
      <c r="BT45" s="2" t="s">
        <v>1063</v>
      </c>
      <c r="BU45" s="2" t="s">
        <v>635</v>
      </c>
      <c r="BV45" s="2" t="s">
        <v>288</v>
      </c>
      <c r="BW45" s="2" t="s">
        <v>635</v>
      </c>
      <c r="BX45" s="2" t="s">
        <v>291</v>
      </c>
      <c r="BY45" s="2" t="s">
        <v>865</v>
      </c>
      <c r="BZ45" s="2" t="s">
        <v>289</v>
      </c>
      <c r="CA45" s="2" t="s">
        <v>6</v>
      </c>
      <c r="CB45" s="2" t="s">
        <v>818</v>
      </c>
      <c r="CC45" s="2" t="s">
        <v>635</v>
      </c>
      <c r="CD45" s="2" t="s">
        <v>635</v>
      </c>
    </row>
    <row r="46" spans="1:82" x14ac:dyDescent="0.25">
      <c r="A46" s="2" t="s">
        <v>488</v>
      </c>
      <c r="B46" s="2" t="s">
        <v>489</v>
      </c>
      <c r="C46" s="2" t="s">
        <v>635</v>
      </c>
      <c r="D46" s="2" t="s">
        <v>635</v>
      </c>
      <c r="E46" s="2" t="s">
        <v>462</v>
      </c>
      <c r="F46" s="2" t="s">
        <v>329</v>
      </c>
      <c r="G46" s="2" t="s">
        <v>330</v>
      </c>
      <c r="H46" s="2" t="s">
        <v>635</v>
      </c>
      <c r="I46" s="2" t="s">
        <v>430</v>
      </c>
      <c r="J46" s="2" t="s">
        <v>635</v>
      </c>
      <c r="K46" s="2" t="s">
        <v>997</v>
      </c>
      <c r="L46" s="2" t="s">
        <v>635</v>
      </c>
      <c r="M46" s="2" t="s">
        <v>635</v>
      </c>
      <c r="N46">
        <v>5970</v>
      </c>
      <c r="O46">
        <v>59</v>
      </c>
      <c r="Q46" s="2" t="s">
        <v>635</v>
      </c>
      <c r="S46" s="2" t="s">
        <v>635</v>
      </c>
      <c r="T46" s="2" t="s">
        <v>635</v>
      </c>
      <c r="U46" s="2" t="s">
        <v>13</v>
      </c>
      <c r="V46" s="2" t="s">
        <v>635</v>
      </c>
      <c r="W46" s="2" t="s">
        <v>635</v>
      </c>
      <c r="X46" s="2" t="s">
        <v>635</v>
      </c>
      <c r="Y46">
        <v>2015</v>
      </c>
      <c r="AA46" s="2" t="s">
        <v>635</v>
      </c>
      <c r="AB46" s="2" t="s">
        <v>635</v>
      </c>
      <c r="AC46">
        <v>0</v>
      </c>
      <c r="AD46">
        <v>1</v>
      </c>
      <c r="AF46">
        <v>0</v>
      </c>
      <c r="AH46">
        <v>0</v>
      </c>
      <c r="AI46">
        <v>1</v>
      </c>
      <c r="AJ46">
        <v>0</v>
      </c>
      <c r="AK46">
        <v>0</v>
      </c>
      <c r="AM46">
        <v>1</v>
      </c>
      <c r="AN46">
        <v>0</v>
      </c>
      <c r="AO46">
        <v>0</v>
      </c>
      <c r="AP46">
        <v>0</v>
      </c>
      <c r="AR46" s="2" t="s">
        <v>148</v>
      </c>
      <c r="AS46" s="2" t="s">
        <v>11</v>
      </c>
      <c r="AT46" s="2" t="s">
        <v>331</v>
      </c>
      <c r="AU46" s="2" t="s">
        <v>1065</v>
      </c>
      <c r="AV46" s="2" t="s">
        <v>635</v>
      </c>
      <c r="AW46" s="2" t="s">
        <v>490</v>
      </c>
      <c r="AX46" s="2" t="s">
        <v>144</v>
      </c>
      <c r="AY46" s="2" t="s">
        <v>828</v>
      </c>
      <c r="AZ46" s="2" t="s">
        <v>142</v>
      </c>
      <c r="BA46" s="2" t="s">
        <v>663</v>
      </c>
      <c r="BC46" s="1"/>
      <c r="BD46" s="2" t="s">
        <v>1129</v>
      </c>
      <c r="BE46" s="2" t="s">
        <v>635</v>
      </c>
      <c r="BG46" s="2" t="s">
        <v>635</v>
      </c>
      <c r="BH46" s="2" t="s">
        <v>635</v>
      </c>
      <c r="BI46" s="2" t="s">
        <v>635</v>
      </c>
      <c r="BJ46" s="2" t="s">
        <v>491</v>
      </c>
      <c r="BK46" s="2" t="s">
        <v>635</v>
      </c>
      <c r="BL46" s="2" t="s">
        <v>635</v>
      </c>
      <c r="BM46" s="2" t="s">
        <v>23</v>
      </c>
      <c r="BN46" s="2" t="s">
        <v>635</v>
      </c>
      <c r="BO46" s="2" t="s">
        <v>635</v>
      </c>
      <c r="BP46" s="2" t="s">
        <v>635</v>
      </c>
      <c r="BQ46" s="2" t="s">
        <v>143</v>
      </c>
      <c r="BR46" s="2" t="s">
        <v>635</v>
      </c>
      <c r="BS46" s="2" t="s">
        <v>635</v>
      </c>
      <c r="BT46" s="2" t="s">
        <v>838</v>
      </c>
      <c r="BU46" s="2" t="s">
        <v>635</v>
      </c>
      <c r="BV46" s="2" t="s">
        <v>146</v>
      </c>
      <c r="BW46" s="2" t="s">
        <v>46</v>
      </c>
      <c r="BX46" s="2" t="s">
        <v>1130</v>
      </c>
      <c r="BY46" s="2" t="s">
        <v>635</v>
      </c>
      <c r="BZ46" s="2" t="s">
        <v>147</v>
      </c>
      <c r="CA46" s="2" t="s">
        <v>145</v>
      </c>
      <c r="CB46" s="2" t="s">
        <v>149</v>
      </c>
      <c r="CC46" s="2" t="s">
        <v>635</v>
      </c>
      <c r="CD46" s="2" t="s">
        <v>635</v>
      </c>
    </row>
    <row r="47" spans="1:82" x14ac:dyDescent="0.25">
      <c r="A47" s="2" t="s">
        <v>492</v>
      </c>
      <c r="B47" s="2" t="s">
        <v>493</v>
      </c>
      <c r="C47" s="2" t="s">
        <v>635</v>
      </c>
      <c r="D47" s="2" t="s">
        <v>635</v>
      </c>
      <c r="E47" s="2" t="s">
        <v>346</v>
      </c>
      <c r="F47" s="2" t="s">
        <v>329</v>
      </c>
      <c r="G47" s="2" t="s">
        <v>330</v>
      </c>
      <c r="H47" s="2" t="s">
        <v>635</v>
      </c>
      <c r="I47" s="2" t="s">
        <v>175</v>
      </c>
      <c r="J47" s="2" t="s">
        <v>635</v>
      </c>
      <c r="K47" s="2" t="s">
        <v>635</v>
      </c>
      <c r="L47" s="2" t="s">
        <v>635</v>
      </c>
      <c r="M47" s="2" t="s">
        <v>635</v>
      </c>
      <c r="N47">
        <v>22720</v>
      </c>
      <c r="O47">
        <v>27</v>
      </c>
      <c r="Q47" s="2" t="s">
        <v>635</v>
      </c>
      <c r="S47" s="2" t="s">
        <v>635</v>
      </c>
      <c r="T47" s="2" t="s">
        <v>635</v>
      </c>
      <c r="U47" s="2" t="s">
        <v>35</v>
      </c>
      <c r="V47" s="2" t="s">
        <v>635</v>
      </c>
      <c r="W47" s="2" t="s">
        <v>494</v>
      </c>
      <c r="X47" s="2" t="s">
        <v>364</v>
      </c>
      <c r="Y47">
        <v>2015</v>
      </c>
      <c r="AA47" s="2" t="s">
        <v>635</v>
      </c>
      <c r="AB47" s="2" t="s">
        <v>635</v>
      </c>
      <c r="AC47">
        <v>1</v>
      </c>
      <c r="AD47">
        <v>1</v>
      </c>
      <c r="AF47">
        <v>0</v>
      </c>
      <c r="AH47">
        <v>0</v>
      </c>
      <c r="AI47">
        <v>0</v>
      </c>
      <c r="AJ47">
        <v>0</v>
      </c>
      <c r="AK47">
        <v>0</v>
      </c>
      <c r="AM47">
        <v>0</v>
      </c>
      <c r="AN47">
        <v>0</v>
      </c>
      <c r="AO47">
        <v>0</v>
      </c>
      <c r="AP47">
        <v>0</v>
      </c>
      <c r="AR47" s="2" t="s">
        <v>206</v>
      </c>
      <c r="AS47" s="2" t="s">
        <v>11</v>
      </c>
      <c r="AT47" s="2" t="s">
        <v>331</v>
      </c>
      <c r="AU47" s="2" t="s">
        <v>635</v>
      </c>
      <c r="AV47" s="2" t="s">
        <v>635</v>
      </c>
      <c r="AW47" s="2" t="s">
        <v>635</v>
      </c>
      <c r="AX47" s="2" t="s">
        <v>205</v>
      </c>
      <c r="AY47" s="2" t="s">
        <v>828</v>
      </c>
      <c r="AZ47" s="2" t="s">
        <v>203</v>
      </c>
      <c r="BA47" s="2" t="s">
        <v>664</v>
      </c>
      <c r="BC47" s="1"/>
      <c r="BD47" s="2" t="s">
        <v>804</v>
      </c>
      <c r="BE47" s="2" t="s">
        <v>635</v>
      </c>
      <c r="BF47">
        <v>2</v>
      </c>
      <c r="BG47" s="2" t="s">
        <v>635</v>
      </c>
      <c r="BH47" s="2" t="s">
        <v>635</v>
      </c>
      <c r="BI47" s="2" t="s">
        <v>635</v>
      </c>
      <c r="BJ47" s="2" t="s">
        <v>204</v>
      </c>
      <c r="BK47" s="2" t="s">
        <v>635</v>
      </c>
      <c r="BL47" s="2" t="s">
        <v>635</v>
      </c>
      <c r="BM47" s="2" t="s">
        <v>14</v>
      </c>
      <c r="BN47" s="2" t="s">
        <v>635</v>
      </c>
      <c r="BO47" s="2" t="s">
        <v>635</v>
      </c>
      <c r="BP47" s="2" t="s">
        <v>635</v>
      </c>
      <c r="BQ47" s="2" t="s">
        <v>204</v>
      </c>
      <c r="BR47" s="2" t="s">
        <v>635</v>
      </c>
      <c r="BS47" s="2" t="s">
        <v>635</v>
      </c>
      <c r="BT47" s="2" t="s">
        <v>1074</v>
      </c>
      <c r="BU47" s="2" t="s">
        <v>635</v>
      </c>
      <c r="BV47" s="2" t="s">
        <v>200</v>
      </c>
      <c r="BW47" s="2" t="s">
        <v>635</v>
      </c>
      <c r="BX47" s="2" t="s">
        <v>1131</v>
      </c>
      <c r="BY47" s="2" t="s">
        <v>865</v>
      </c>
      <c r="BZ47" s="2" t="s">
        <v>201</v>
      </c>
      <c r="CA47" s="2" t="s">
        <v>6</v>
      </c>
      <c r="CB47" s="2" t="s">
        <v>207</v>
      </c>
      <c r="CC47" s="2" t="s">
        <v>635</v>
      </c>
      <c r="CD47" s="2" t="s">
        <v>635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7A35-9595-48B9-BCD4-A5F5A67EF64A}">
  <dimension ref="A1:CD110"/>
  <sheetViews>
    <sheetView workbookViewId="0">
      <selection activeCell="A4" sqref="A4"/>
    </sheetView>
  </sheetViews>
  <sheetFormatPr defaultRowHeight="15" x14ac:dyDescent="0.25"/>
  <cols>
    <col min="1" max="1" width="81.140625" bestFit="1" customWidth="1"/>
    <col min="2" max="2" width="73.85546875" bestFit="1" customWidth="1"/>
    <col min="3" max="3" width="36" bestFit="1" customWidth="1"/>
    <col min="4" max="4" width="17.5703125" bestFit="1" customWidth="1"/>
    <col min="5" max="5" width="51.85546875" bestFit="1" customWidth="1"/>
    <col min="6" max="6" width="81.140625" bestFit="1" customWidth="1"/>
    <col min="7" max="7" width="33.5703125" bestFit="1" customWidth="1"/>
    <col min="8" max="8" width="71.28515625" bestFit="1" customWidth="1"/>
    <col min="9" max="9" width="27" bestFit="1" customWidth="1"/>
    <col min="10" max="10" width="16" bestFit="1" customWidth="1"/>
    <col min="11" max="11" width="8.85546875" bestFit="1" customWidth="1"/>
    <col min="12" max="12" width="10.7109375" bestFit="1" customWidth="1"/>
    <col min="13" max="13" width="45.42578125" bestFit="1" customWidth="1"/>
    <col min="14" max="14" width="14" bestFit="1" customWidth="1"/>
    <col min="15" max="15" width="18" bestFit="1" customWidth="1"/>
    <col min="16" max="16" width="26.140625" bestFit="1" customWidth="1"/>
    <col min="17" max="17" width="81.140625" bestFit="1" customWidth="1"/>
    <col min="18" max="18" width="17" bestFit="1" customWidth="1"/>
    <col min="19" max="19" width="26.42578125" bestFit="1" customWidth="1"/>
    <col min="20" max="20" width="19.140625" bestFit="1" customWidth="1"/>
    <col min="21" max="21" width="81.140625" bestFit="1" customWidth="1"/>
    <col min="22" max="22" width="30" bestFit="1" customWidth="1"/>
    <col min="23" max="23" width="81.140625" bestFit="1" customWidth="1"/>
    <col min="24" max="24" width="57.85546875" bestFit="1" customWidth="1"/>
    <col min="25" max="25" width="37.28515625" bestFit="1" customWidth="1"/>
    <col min="26" max="26" width="7.7109375" bestFit="1" customWidth="1"/>
    <col min="27" max="27" width="25.85546875" bestFit="1" customWidth="1"/>
    <col min="28" max="28" width="21.5703125" bestFit="1" customWidth="1"/>
    <col min="29" max="29" width="9.7109375" bestFit="1" customWidth="1"/>
    <col min="30" max="30" width="17.42578125" bestFit="1" customWidth="1"/>
    <col min="31" max="31" width="14.7109375" bestFit="1" customWidth="1"/>
    <col min="32" max="32" width="10.7109375" bestFit="1" customWidth="1"/>
    <col min="33" max="33" width="10.42578125" bestFit="1" customWidth="1"/>
    <col min="34" max="34" width="81.140625" bestFit="1" customWidth="1"/>
    <col min="35" max="35" width="15" bestFit="1" customWidth="1"/>
    <col min="36" max="36" width="13.85546875" bestFit="1" customWidth="1"/>
    <col min="37" max="37" width="10.7109375" bestFit="1" customWidth="1"/>
    <col min="38" max="38" width="15.5703125" bestFit="1" customWidth="1"/>
    <col min="39" max="39" width="11.5703125" bestFit="1" customWidth="1"/>
    <col min="40" max="40" width="32.5703125" bestFit="1" customWidth="1"/>
    <col min="41" max="41" width="17.85546875" bestFit="1" customWidth="1"/>
    <col min="42" max="42" width="12.42578125" bestFit="1" customWidth="1"/>
    <col min="43" max="43" width="15.85546875" bestFit="1" customWidth="1"/>
    <col min="44" max="44" width="33.42578125" bestFit="1" customWidth="1"/>
    <col min="45" max="45" width="13.140625" bestFit="1" customWidth="1"/>
    <col min="46" max="46" width="9.5703125" bestFit="1" customWidth="1"/>
    <col min="47" max="47" width="49" bestFit="1" customWidth="1"/>
    <col min="48" max="48" width="6.28515625" bestFit="1" customWidth="1"/>
    <col min="49" max="49" width="9.28515625" bestFit="1" customWidth="1"/>
    <col min="50" max="50" width="81.140625" bestFit="1" customWidth="1"/>
    <col min="51" max="51" width="13.140625" bestFit="1" customWidth="1"/>
    <col min="52" max="52" width="50.85546875" bestFit="1" customWidth="1"/>
    <col min="53" max="53" width="10.28515625" bestFit="1" customWidth="1"/>
    <col min="54" max="54" width="81.140625" bestFit="1" customWidth="1"/>
    <col min="55" max="55" width="21.85546875" bestFit="1" customWidth="1"/>
    <col min="56" max="56" width="81.140625" bestFit="1" customWidth="1"/>
    <col min="57" max="57" width="76.5703125" bestFit="1" customWidth="1"/>
    <col min="58" max="58" width="37.140625" bestFit="1" customWidth="1"/>
    <col min="59" max="59" width="37.28515625" bestFit="1" customWidth="1"/>
    <col min="60" max="60" width="13.7109375" bestFit="1" customWidth="1"/>
    <col min="61" max="61" width="14.140625" bestFit="1" customWidth="1"/>
    <col min="62" max="62" width="81.140625" bestFit="1" customWidth="1"/>
    <col min="63" max="63" width="16.7109375" bestFit="1" customWidth="1"/>
    <col min="64" max="64" width="23.28515625" bestFit="1" customWidth="1"/>
    <col min="65" max="65" width="11.140625" bestFit="1" customWidth="1"/>
    <col min="66" max="66" width="21.5703125" bestFit="1" customWidth="1"/>
    <col min="67" max="67" width="15" bestFit="1" customWidth="1"/>
    <col min="68" max="68" width="16.42578125" bestFit="1" customWidth="1"/>
    <col min="69" max="69" width="11" bestFit="1" customWidth="1"/>
    <col min="70" max="70" width="7.140625" bestFit="1" customWidth="1"/>
    <col min="71" max="71" width="11.7109375" bestFit="1" customWidth="1"/>
    <col min="72" max="73" width="81.140625" bestFit="1" customWidth="1"/>
    <col min="74" max="74" width="18.140625" bestFit="1" customWidth="1"/>
    <col min="75" max="75" width="13.42578125" bestFit="1" customWidth="1"/>
    <col min="76" max="77" width="81.140625" bestFit="1" customWidth="1"/>
    <col min="78" max="78" width="24.42578125" bestFit="1" customWidth="1"/>
    <col min="79" max="79" width="12.5703125" bestFit="1" customWidth="1"/>
    <col min="80" max="80" width="38.140625" bestFit="1" customWidth="1"/>
    <col min="81" max="81" width="75" bestFit="1" customWidth="1"/>
    <col min="82" max="82" width="12.7109375" bestFit="1" customWidth="1"/>
    <col min="83" max="84" width="38.140625" bestFit="1" customWidth="1"/>
    <col min="85" max="85" width="81.140625" bestFit="1" customWidth="1"/>
    <col min="86" max="86" width="12.7109375" bestFit="1" customWidth="1"/>
    <col min="87" max="87" width="19.42578125" bestFit="1" customWidth="1"/>
    <col min="88" max="88" width="38.140625" bestFit="1" customWidth="1"/>
    <col min="89" max="89" width="11.42578125" bestFit="1" customWidth="1"/>
    <col min="90" max="90" width="14.85546875" bestFit="1" customWidth="1"/>
    <col min="91" max="91" width="18" bestFit="1" customWidth="1"/>
    <col min="92" max="92" width="12.7109375" bestFit="1" customWidth="1"/>
    <col min="93" max="93" width="11.5703125" bestFit="1" customWidth="1"/>
    <col min="94" max="94" width="71.28515625" bestFit="1" customWidth="1"/>
    <col min="95" max="95" width="12" bestFit="1" customWidth="1"/>
    <col min="96" max="96" width="13.7109375" bestFit="1" customWidth="1"/>
    <col min="97" max="100" width="12.42578125" bestFit="1" customWidth="1"/>
    <col min="101" max="101" width="15.140625" bestFit="1" customWidth="1"/>
    <col min="102" max="102" width="22.7109375" bestFit="1" customWidth="1"/>
    <col min="103" max="103" width="15.5703125" bestFit="1" customWidth="1"/>
    <col min="104" max="104" width="14.85546875" bestFit="1" customWidth="1"/>
    <col min="105" max="105" width="26.42578125" bestFit="1" customWidth="1"/>
    <col min="106" max="106" width="18.28515625" bestFit="1" customWidth="1"/>
    <col min="107" max="107" width="12.42578125" bestFit="1" customWidth="1"/>
    <col min="108" max="108" width="81.140625" bestFit="1" customWidth="1"/>
    <col min="109" max="109" width="28" bestFit="1" customWidth="1"/>
    <col min="110" max="110" width="12.85546875" bestFit="1" customWidth="1"/>
    <col min="111" max="111" width="12.42578125" bestFit="1" customWidth="1"/>
    <col min="112" max="112" width="22.5703125" bestFit="1" customWidth="1"/>
    <col min="113" max="113" width="18.7109375" bestFit="1" customWidth="1"/>
    <col min="114" max="121" width="12.42578125" bestFit="1" customWidth="1"/>
    <col min="122" max="122" width="13.140625" bestFit="1" customWidth="1"/>
    <col min="123" max="125" width="12.42578125" bestFit="1" customWidth="1"/>
    <col min="126" max="126" width="14.7109375" bestFit="1" customWidth="1"/>
    <col min="127" max="127" width="12.42578125" bestFit="1" customWidth="1"/>
    <col min="128" max="128" width="12.85546875" bestFit="1" customWidth="1"/>
    <col min="129" max="129" width="33.42578125" bestFit="1" customWidth="1"/>
    <col min="130" max="130" width="13.140625" bestFit="1" customWidth="1"/>
    <col min="131" max="131" width="12.42578125" bestFit="1" customWidth="1"/>
    <col min="132" max="132" width="51.28515625" bestFit="1" customWidth="1"/>
    <col min="133" max="136" width="12.42578125" bestFit="1" customWidth="1"/>
    <col min="137" max="137" width="50.85546875" bestFit="1" customWidth="1"/>
    <col min="138" max="138" width="12.42578125" bestFit="1" customWidth="1"/>
    <col min="139" max="139" width="15.85546875" bestFit="1" customWidth="1"/>
    <col min="140" max="140" width="19" bestFit="1" customWidth="1"/>
    <col min="141" max="141" width="81.140625" bestFit="1" customWidth="1"/>
    <col min="142" max="142" width="30.5703125" bestFit="1" customWidth="1"/>
    <col min="143" max="143" width="74.5703125" bestFit="1" customWidth="1"/>
    <col min="144" max="144" width="12.42578125" bestFit="1" customWidth="1"/>
    <col min="145" max="145" width="81.140625" bestFit="1" customWidth="1"/>
    <col min="146" max="146" width="35.42578125" bestFit="1" customWidth="1"/>
    <col min="147" max="147" width="12.42578125" bestFit="1" customWidth="1"/>
    <col min="148" max="148" width="19.140625" bestFit="1" customWidth="1"/>
    <col min="149" max="149" width="12.42578125" bestFit="1" customWidth="1"/>
    <col min="150" max="150" width="13.5703125" bestFit="1" customWidth="1"/>
    <col min="151" max="153" width="12.42578125" bestFit="1" customWidth="1"/>
    <col min="154" max="154" width="81.140625" bestFit="1" customWidth="1"/>
    <col min="155" max="155" width="12.42578125" bestFit="1" customWidth="1"/>
    <col min="156" max="156" width="18.28515625" bestFit="1" customWidth="1"/>
    <col min="157" max="157" width="12.42578125" bestFit="1" customWidth="1"/>
    <col min="158" max="158" width="81.140625" bestFit="1" customWidth="1"/>
    <col min="159" max="159" width="12.42578125" bestFit="1" customWidth="1"/>
    <col min="160" max="160" width="36" bestFit="1" customWidth="1"/>
    <col min="161" max="161" width="15.85546875" bestFit="1" customWidth="1"/>
    <col min="162" max="162" width="38.140625" bestFit="1" customWidth="1"/>
    <col min="163" max="163" width="81.140625" bestFit="1" customWidth="1"/>
    <col min="164" max="164" width="12.42578125" bestFit="1" customWidth="1"/>
    <col min="165" max="165" width="19.42578125" bestFit="1" customWidth="1"/>
    <col min="166" max="166" width="38.140625" bestFit="1" customWidth="1"/>
    <col min="167" max="167" width="12.7109375" bestFit="1" customWidth="1"/>
    <col min="168" max="168" width="17.5703125" bestFit="1" customWidth="1"/>
    <col min="169" max="169" width="18" bestFit="1" customWidth="1"/>
    <col min="170" max="170" width="15.7109375" bestFit="1" customWidth="1"/>
    <col min="171" max="171" width="14.28515625" bestFit="1" customWidth="1"/>
    <col min="172" max="172" width="71.28515625" bestFit="1" customWidth="1"/>
    <col min="173" max="173" width="14.85546875" bestFit="1" customWidth="1"/>
    <col min="174" max="174" width="16" bestFit="1" customWidth="1"/>
    <col min="175" max="175" width="8.85546875" bestFit="1" customWidth="1"/>
    <col min="176" max="176" width="10.7109375" bestFit="1" customWidth="1"/>
    <col min="177" max="177" width="11.85546875" bestFit="1" customWidth="1"/>
    <col min="178" max="178" width="14" bestFit="1" customWidth="1"/>
    <col min="179" max="179" width="18" bestFit="1" customWidth="1"/>
    <col min="180" max="180" width="26.140625" bestFit="1" customWidth="1"/>
    <col min="181" max="181" width="18" bestFit="1" customWidth="1"/>
    <col min="182" max="182" width="17" bestFit="1" customWidth="1"/>
    <col min="183" max="183" width="26.42578125" bestFit="1" customWidth="1"/>
    <col min="184" max="184" width="18.28515625" bestFit="1" customWidth="1"/>
    <col min="185" max="185" width="13.7109375" bestFit="1" customWidth="1"/>
    <col min="186" max="186" width="81.140625" bestFit="1" customWidth="1"/>
    <col min="187" max="187" width="28" bestFit="1" customWidth="1"/>
    <col min="188" max="188" width="15.5703125" bestFit="1" customWidth="1"/>
    <col min="189" max="189" width="7.7109375" bestFit="1" customWidth="1"/>
    <col min="190" max="190" width="25.85546875" bestFit="1" customWidth="1"/>
    <col min="191" max="191" width="21.5703125" bestFit="1" customWidth="1"/>
    <col min="192" max="192" width="9.7109375" bestFit="1" customWidth="1"/>
    <col min="193" max="193" width="13.42578125" bestFit="1" customWidth="1"/>
    <col min="194" max="194" width="14.7109375" bestFit="1" customWidth="1"/>
    <col min="195" max="195" width="10.7109375" bestFit="1" customWidth="1"/>
    <col min="196" max="196" width="10.28515625" bestFit="1" customWidth="1"/>
    <col min="197" max="197" width="15" bestFit="1" customWidth="1"/>
    <col min="198" max="198" width="13.85546875" bestFit="1" customWidth="1"/>
    <col min="199" max="199" width="10.7109375" bestFit="1" customWidth="1"/>
    <col min="200" max="200" width="15.5703125" bestFit="1" customWidth="1"/>
    <col min="201" max="201" width="11.5703125" bestFit="1" customWidth="1"/>
    <col min="202" max="202" width="13.42578125" bestFit="1" customWidth="1"/>
    <col min="203" max="203" width="11" bestFit="1" customWidth="1"/>
    <col min="204" max="204" width="17.85546875" bestFit="1" customWidth="1"/>
    <col min="205" max="205" width="12.42578125" bestFit="1" customWidth="1"/>
    <col min="206" max="206" width="15.85546875" bestFit="1" customWidth="1"/>
    <col min="207" max="207" width="33.42578125" bestFit="1" customWidth="1"/>
    <col min="208" max="208" width="13.140625" bestFit="1" customWidth="1"/>
    <col min="209" max="209" width="8.85546875" bestFit="1" customWidth="1"/>
    <col min="210" max="210" width="51.28515625" bestFit="1" customWidth="1"/>
    <col min="211" max="211" width="6.28515625" bestFit="1" customWidth="1"/>
    <col min="212" max="212" width="9.28515625" bestFit="1" customWidth="1"/>
    <col min="213" max="213" width="12.42578125" bestFit="1" customWidth="1"/>
    <col min="214" max="214" width="13.140625" bestFit="1" customWidth="1"/>
    <col min="215" max="215" width="50.85546875" bestFit="1" customWidth="1"/>
    <col min="216" max="216" width="10.28515625" bestFit="1" customWidth="1"/>
    <col min="217" max="217" width="18.140625" bestFit="1" customWidth="1"/>
    <col min="218" max="218" width="21.85546875" bestFit="1" customWidth="1"/>
    <col min="219" max="219" width="81.140625" bestFit="1" customWidth="1"/>
    <col min="220" max="220" width="30.5703125" bestFit="1" customWidth="1"/>
    <col min="221" max="221" width="74.5703125" bestFit="1" customWidth="1"/>
    <col min="222" max="222" width="8.85546875" bestFit="1" customWidth="1"/>
    <col min="223" max="223" width="81.140625" bestFit="1" customWidth="1"/>
    <col min="224" max="224" width="35.42578125" bestFit="1" customWidth="1"/>
    <col min="225" max="225" width="11.140625" bestFit="1" customWidth="1"/>
    <col min="226" max="226" width="21.5703125" bestFit="1" customWidth="1"/>
    <col min="227" max="227" width="15" bestFit="1" customWidth="1"/>
    <col min="228" max="228" width="16.42578125" bestFit="1" customWidth="1"/>
    <col min="229" max="229" width="11" bestFit="1" customWidth="1"/>
    <col min="230" max="230" width="7.140625" bestFit="1" customWidth="1"/>
    <col min="231" max="231" width="11.7109375" bestFit="1" customWidth="1"/>
    <col min="232" max="232" width="81.140625" bestFit="1" customWidth="1"/>
    <col min="233" max="233" width="10.42578125" bestFit="1" customWidth="1"/>
    <col min="234" max="234" width="18.28515625" bestFit="1" customWidth="1"/>
    <col min="235" max="235" width="13.42578125" bestFit="1" customWidth="1"/>
    <col min="236" max="236" width="81.140625" bestFit="1" customWidth="1"/>
    <col min="237" max="237" width="12.7109375" bestFit="1" customWidth="1"/>
    <col min="238" max="238" width="36" bestFit="1" customWidth="1"/>
    <col min="239" max="239" width="15.85546875" bestFit="1" customWidth="1"/>
    <col min="240" max="240" width="38.140625" bestFit="1" customWidth="1"/>
    <col min="241" max="241" width="81.140625" bestFit="1" customWidth="1"/>
    <col min="242" max="242" width="12.7109375" bestFit="1" customWidth="1"/>
  </cols>
  <sheetData>
    <row r="1" spans="1:82" x14ac:dyDescent="0.25">
      <c r="A1" t="s">
        <v>563</v>
      </c>
      <c r="B1" t="s">
        <v>564</v>
      </c>
      <c r="C1" t="s">
        <v>565</v>
      </c>
      <c r="D1" t="s">
        <v>566</v>
      </c>
      <c r="E1" t="s">
        <v>567</v>
      </c>
      <c r="F1" t="s">
        <v>568</v>
      </c>
      <c r="G1" t="s">
        <v>569</v>
      </c>
      <c r="H1" t="s">
        <v>570</v>
      </c>
      <c r="I1" t="s">
        <v>571</v>
      </c>
      <c r="J1" t="s">
        <v>572</v>
      </c>
      <c r="K1" t="s">
        <v>573</v>
      </c>
      <c r="L1" t="s">
        <v>574</v>
      </c>
      <c r="M1" t="s">
        <v>575</v>
      </c>
      <c r="N1" t="s">
        <v>576</v>
      </c>
      <c r="O1" t="s">
        <v>577</v>
      </c>
      <c r="P1" t="s">
        <v>578</v>
      </c>
      <c r="Q1" t="s">
        <v>579</v>
      </c>
      <c r="R1" t="s">
        <v>580</v>
      </c>
      <c r="S1" t="s">
        <v>581</v>
      </c>
      <c r="T1" t="s">
        <v>821</v>
      </c>
      <c r="U1" t="s">
        <v>582</v>
      </c>
      <c r="V1" t="s">
        <v>583</v>
      </c>
      <c r="W1" t="s">
        <v>584</v>
      </c>
      <c r="X1" t="s">
        <v>585</v>
      </c>
      <c r="Y1" t="s">
        <v>586</v>
      </c>
      <c r="Z1" t="s">
        <v>587</v>
      </c>
      <c r="AA1" t="s">
        <v>588</v>
      </c>
      <c r="AB1" t="s">
        <v>589</v>
      </c>
      <c r="AC1" t="s">
        <v>590</v>
      </c>
      <c r="AD1" t="s">
        <v>591</v>
      </c>
      <c r="AE1" t="s">
        <v>592</v>
      </c>
      <c r="AF1" t="s">
        <v>593</v>
      </c>
      <c r="AG1" t="s">
        <v>594</v>
      </c>
      <c r="AH1" t="s">
        <v>798</v>
      </c>
      <c r="AI1" t="s">
        <v>595</v>
      </c>
      <c r="AJ1" t="s">
        <v>596</v>
      </c>
      <c r="AK1" t="s">
        <v>597</v>
      </c>
      <c r="AL1" t="s">
        <v>598</v>
      </c>
      <c r="AM1" t="s">
        <v>599</v>
      </c>
      <c r="AN1" t="s">
        <v>600</v>
      </c>
      <c r="AO1" t="s">
        <v>601</v>
      </c>
      <c r="AP1" t="s">
        <v>602</v>
      </c>
      <c r="AQ1" t="s">
        <v>603</v>
      </c>
      <c r="AR1" t="s">
        <v>604</v>
      </c>
      <c r="AS1" t="s">
        <v>313</v>
      </c>
      <c r="AT1" t="s">
        <v>605</v>
      </c>
      <c r="AU1" t="s">
        <v>606</v>
      </c>
      <c r="AV1" t="s">
        <v>607</v>
      </c>
      <c r="AW1" t="s">
        <v>608</v>
      </c>
      <c r="AX1" t="s">
        <v>609</v>
      </c>
      <c r="AY1" t="s">
        <v>610</v>
      </c>
      <c r="AZ1" t="s">
        <v>324</v>
      </c>
      <c r="BA1" t="s">
        <v>611</v>
      </c>
      <c r="BB1" t="s">
        <v>612</v>
      </c>
      <c r="BC1" t="s">
        <v>613</v>
      </c>
      <c r="BD1" t="s">
        <v>614</v>
      </c>
      <c r="BE1" t="s">
        <v>615</v>
      </c>
      <c r="BF1" t="s">
        <v>616</v>
      </c>
      <c r="BG1" t="s">
        <v>799</v>
      </c>
      <c r="BH1" t="s">
        <v>800</v>
      </c>
      <c r="BI1" t="s">
        <v>801</v>
      </c>
      <c r="BJ1" t="s">
        <v>617</v>
      </c>
      <c r="BK1" t="s">
        <v>822</v>
      </c>
      <c r="BL1" t="s">
        <v>618</v>
      </c>
      <c r="BM1" t="s">
        <v>619</v>
      </c>
      <c r="BN1" t="s">
        <v>620</v>
      </c>
      <c r="BO1" t="s">
        <v>621</v>
      </c>
      <c r="BP1" t="s">
        <v>622</v>
      </c>
      <c r="BQ1" t="s">
        <v>623</v>
      </c>
      <c r="BR1" t="s">
        <v>624</v>
      </c>
      <c r="BS1" t="s">
        <v>625</v>
      </c>
      <c r="BT1" t="s">
        <v>626</v>
      </c>
      <c r="BU1" t="s">
        <v>627</v>
      </c>
      <c r="BV1" t="s">
        <v>628</v>
      </c>
      <c r="BW1" t="s">
        <v>629</v>
      </c>
      <c r="BX1" t="s">
        <v>630</v>
      </c>
      <c r="BY1" t="s">
        <v>631</v>
      </c>
      <c r="BZ1" t="s">
        <v>632</v>
      </c>
      <c r="CA1" t="s">
        <v>633</v>
      </c>
      <c r="CB1" t="s">
        <v>325</v>
      </c>
      <c r="CC1" t="s">
        <v>823</v>
      </c>
      <c r="CD1" t="s">
        <v>634</v>
      </c>
    </row>
    <row r="2" spans="1:82" x14ac:dyDescent="0.25">
      <c r="A2" s="2" t="s">
        <v>326</v>
      </c>
      <c r="B2" s="2" t="s">
        <v>327</v>
      </c>
      <c r="C2" s="2" t="s">
        <v>635</v>
      </c>
      <c r="D2" s="2" t="s">
        <v>635</v>
      </c>
      <c r="E2" s="2" t="s">
        <v>328</v>
      </c>
      <c r="F2" s="2" t="s">
        <v>329</v>
      </c>
      <c r="G2" s="2" t="s">
        <v>330</v>
      </c>
      <c r="H2" s="2" t="s">
        <v>635</v>
      </c>
      <c r="I2" s="2" t="s">
        <v>18</v>
      </c>
      <c r="J2" s="2" t="s">
        <v>635</v>
      </c>
      <c r="K2" s="2" t="s">
        <v>18</v>
      </c>
      <c r="L2" s="2"/>
      <c r="M2" s="2" t="s">
        <v>635</v>
      </c>
      <c r="N2" s="2" t="s">
        <v>824</v>
      </c>
      <c r="O2" s="2" t="s">
        <v>825</v>
      </c>
      <c r="P2" s="2" t="s">
        <v>635</v>
      </c>
      <c r="Q2" s="2" t="s">
        <v>635</v>
      </c>
      <c r="S2" s="2" t="s">
        <v>635</v>
      </c>
      <c r="T2" s="2" t="s">
        <v>635</v>
      </c>
      <c r="U2" s="2" t="s">
        <v>35</v>
      </c>
      <c r="V2" s="2" t="s">
        <v>635</v>
      </c>
      <c r="W2" s="2" t="s">
        <v>635</v>
      </c>
      <c r="X2" s="2" t="s">
        <v>635</v>
      </c>
      <c r="Y2" s="2" t="s">
        <v>826</v>
      </c>
      <c r="Z2" s="2"/>
      <c r="AA2" s="2" t="s">
        <v>635</v>
      </c>
      <c r="AB2" s="2" t="s">
        <v>635</v>
      </c>
      <c r="AC2">
        <v>1</v>
      </c>
      <c r="AD2" s="2" t="s">
        <v>678</v>
      </c>
      <c r="AE2" s="2" t="s">
        <v>635</v>
      </c>
      <c r="AF2">
        <v>0</v>
      </c>
      <c r="AG2" s="2" t="s">
        <v>635</v>
      </c>
      <c r="AH2" s="2" t="s">
        <v>827</v>
      </c>
      <c r="AI2">
        <v>0</v>
      </c>
      <c r="AJ2" s="2">
        <v>0</v>
      </c>
      <c r="AK2">
        <v>0</v>
      </c>
      <c r="AL2" s="2"/>
      <c r="AM2">
        <v>0</v>
      </c>
      <c r="AN2" s="2" t="s">
        <v>827</v>
      </c>
      <c r="AO2" s="2">
        <v>0</v>
      </c>
      <c r="AP2" s="2">
        <v>0</v>
      </c>
      <c r="AQ2" s="2" t="s">
        <v>635</v>
      </c>
      <c r="AR2" s="2" t="s">
        <v>635</v>
      </c>
      <c r="AS2" s="2" t="s">
        <v>11</v>
      </c>
      <c r="AT2" s="2" t="s">
        <v>331</v>
      </c>
      <c r="AU2" s="2" t="s">
        <v>635</v>
      </c>
      <c r="AV2" s="2" t="s">
        <v>635</v>
      </c>
      <c r="AW2" s="2" t="s">
        <v>635</v>
      </c>
      <c r="AX2" s="2" t="s">
        <v>163</v>
      </c>
      <c r="AY2" s="2" t="s">
        <v>828</v>
      </c>
      <c r="AZ2" s="2" t="s">
        <v>161</v>
      </c>
      <c r="BA2" s="2" t="s">
        <v>636</v>
      </c>
      <c r="BB2" s="2" t="s">
        <v>635</v>
      </c>
      <c r="BC2" s="2" t="s">
        <v>635</v>
      </c>
      <c r="BD2" s="2" t="s">
        <v>829</v>
      </c>
      <c r="BE2" s="2" t="s">
        <v>635</v>
      </c>
      <c r="BF2" s="2" t="s">
        <v>635</v>
      </c>
      <c r="BG2" s="2" t="s">
        <v>635</v>
      </c>
      <c r="BH2" s="2" t="s">
        <v>635</v>
      </c>
      <c r="BI2" s="2" t="s">
        <v>635</v>
      </c>
      <c r="BJ2" s="2" t="s">
        <v>635</v>
      </c>
      <c r="BK2" s="2" t="s">
        <v>635</v>
      </c>
      <c r="BL2" s="2" t="s">
        <v>635</v>
      </c>
      <c r="BM2" s="2" t="s">
        <v>635</v>
      </c>
      <c r="BN2" s="2" t="s">
        <v>635</v>
      </c>
      <c r="BO2" s="2" t="s">
        <v>635</v>
      </c>
      <c r="BP2" s="2" t="s">
        <v>635</v>
      </c>
      <c r="BQ2" s="2" t="s">
        <v>635</v>
      </c>
      <c r="BR2" s="2" t="s">
        <v>635</v>
      </c>
      <c r="BS2" s="2" t="s">
        <v>635</v>
      </c>
      <c r="BT2" s="2" t="s">
        <v>635</v>
      </c>
      <c r="BU2" s="2" t="s">
        <v>635</v>
      </c>
      <c r="BV2" s="2" t="s">
        <v>635</v>
      </c>
      <c r="BW2" s="2" t="s">
        <v>635</v>
      </c>
      <c r="BX2" s="2" t="s">
        <v>635</v>
      </c>
      <c r="BY2" s="2" t="s">
        <v>635</v>
      </c>
      <c r="BZ2" s="2" t="s">
        <v>635</v>
      </c>
      <c r="CA2" s="2" t="s">
        <v>635</v>
      </c>
      <c r="CB2" s="2" t="s">
        <v>635</v>
      </c>
      <c r="CC2" s="2" t="s">
        <v>635</v>
      </c>
      <c r="CD2" s="2" t="s">
        <v>635</v>
      </c>
    </row>
    <row r="3" spans="1:82" x14ac:dyDescent="0.25">
      <c r="A3" s="2" t="s">
        <v>830</v>
      </c>
      <c r="B3" s="2" t="s">
        <v>635</v>
      </c>
      <c r="C3" s="2" t="s">
        <v>635</v>
      </c>
      <c r="D3" s="2" t="s">
        <v>635</v>
      </c>
      <c r="E3" s="2" t="s">
        <v>635</v>
      </c>
      <c r="F3" s="2" t="s">
        <v>635</v>
      </c>
      <c r="G3" s="2" t="s">
        <v>332</v>
      </c>
      <c r="H3" s="2" t="s">
        <v>635</v>
      </c>
      <c r="I3" s="2" t="s">
        <v>635</v>
      </c>
      <c r="J3" s="2" t="s">
        <v>52</v>
      </c>
      <c r="K3" s="2" t="s">
        <v>635</v>
      </c>
      <c r="L3" s="2"/>
      <c r="M3" s="2" t="s">
        <v>333</v>
      </c>
      <c r="N3" s="2" t="s">
        <v>162</v>
      </c>
      <c r="O3" s="2" t="s">
        <v>635</v>
      </c>
      <c r="P3" s="2" t="s">
        <v>635</v>
      </c>
      <c r="Q3" s="2" t="s">
        <v>831</v>
      </c>
      <c r="S3" s="2" t="s">
        <v>635</v>
      </c>
      <c r="T3" s="2" t="s">
        <v>635</v>
      </c>
      <c r="U3" s="2" t="s">
        <v>829</v>
      </c>
      <c r="V3" s="2" t="s">
        <v>635</v>
      </c>
      <c r="W3" s="2" t="s">
        <v>635</v>
      </c>
      <c r="X3" s="2" t="s">
        <v>635</v>
      </c>
      <c r="Y3" s="2" t="s">
        <v>635</v>
      </c>
      <c r="Z3" s="2"/>
      <c r="AA3" s="2" t="s">
        <v>635</v>
      </c>
      <c r="AB3" s="2" t="s">
        <v>635</v>
      </c>
      <c r="AD3" s="2" t="s">
        <v>635</v>
      </c>
      <c r="AE3" s="2" t="s">
        <v>635</v>
      </c>
      <c r="AG3" s="2" t="s">
        <v>635</v>
      </c>
      <c r="AH3" s="2" t="s">
        <v>635</v>
      </c>
      <c r="AJ3" s="2"/>
      <c r="AL3" s="2"/>
      <c r="AN3" s="2" t="s">
        <v>635</v>
      </c>
      <c r="AO3" s="2"/>
      <c r="AP3" s="2"/>
      <c r="AQ3" s="2" t="s">
        <v>635</v>
      </c>
      <c r="AR3" s="2" t="s">
        <v>635</v>
      </c>
      <c r="AS3" s="2" t="s">
        <v>635</v>
      </c>
      <c r="AT3" s="2" t="s">
        <v>635</v>
      </c>
      <c r="AU3" s="2" t="s">
        <v>635</v>
      </c>
      <c r="AV3" s="2" t="s">
        <v>635</v>
      </c>
      <c r="AW3" s="2" t="s">
        <v>635</v>
      </c>
      <c r="AX3" s="2" t="s">
        <v>635</v>
      </c>
      <c r="AY3" s="2" t="s">
        <v>635</v>
      </c>
      <c r="AZ3" s="2" t="s">
        <v>635</v>
      </c>
      <c r="BA3" s="2" t="s">
        <v>635</v>
      </c>
      <c r="BB3" s="2" t="s">
        <v>635</v>
      </c>
      <c r="BC3" s="2" t="s">
        <v>635</v>
      </c>
      <c r="BD3" s="2" t="s">
        <v>635</v>
      </c>
      <c r="BE3" s="2" t="s">
        <v>635</v>
      </c>
      <c r="BF3" s="2" t="s">
        <v>635</v>
      </c>
      <c r="BG3" s="2" t="s">
        <v>635</v>
      </c>
      <c r="BH3" s="2" t="s">
        <v>635</v>
      </c>
      <c r="BI3" s="2" t="s">
        <v>635</v>
      </c>
      <c r="BJ3" s="2" t="s">
        <v>635</v>
      </c>
      <c r="BK3" s="2" t="s">
        <v>635</v>
      </c>
      <c r="BL3" s="2" t="s">
        <v>635</v>
      </c>
      <c r="BM3" s="2" t="s">
        <v>635</v>
      </c>
      <c r="BN3" s="2" t="s">
        <v>635</v>
      </c>
      <c r="BO3" s="2" t="s">
        <v>635</v>
      </c>
      <c r="BP3" s="2" t="s">
        <v>635</v>
      </c>
      <c r="BQ3" s="2" t="s">
        <v>635</v>
      </c>
      <c r="BR3" s="2" t="s">
        <v>635</v>
      </c>
      <c r="BS3" s="2" t="s">
        <v>635</v>
      </c>
      <c r="BT3" s="2" t="s">
        <v>635</v>
      </c>
      <c r="BU3" s="2" t="s">
        <v>635</v>
      </c>
      <c r="BV3" s="2" t="s">
        <v>635</v>
      </c>
      <c r="BW3" s="2" t="s">
        <v>635</v>
      </c>
      <c r="BX3" s="2" t="s">
        <v>635</v>
      </c>
      <c r="BY3" s="2" t="s">
        <v>635</v>
      </c>
      <c r="BZ3" s="2" t="s">
        <v>635</v>
      </c>
      <c r="CA3" s="2" t="s">
        <v>635</v>
      </c>
      <c r="CB3" s="2" t="s">
        <v>635</v>
      </c>
      <c r="CC3" s="2" t="s">
        <v>635</v>
      </c>
      <c r="CD3" s="2" t="s">
        <v>635</v>
      </c>
    </row>
    <row r="4" spans="1:82" x14ac:dyDescent="0.25">
      <c r="A4" s="2" t="s">
        <v>830</v>
      </c>
      <c r="B4" s="2" t="s">
        <v>635</v>
      </c>
      <c r="C4" s="2" t="s">
        <v>136</v>
      </c>
      <c r="D4" s="2" t="s">
        <v>136</v>
      </c>
      <c r="E4" s="2" t="s">
        <v>164</v>
      </c>
      <c r="F4" s="2" t="s">
        <v>832</v>
      </c>
      <c r="G4" s="2" t="s">
        <v>635</v>
      </c>
      <c r="H4" s="2" t="s">
        <v>635</v>
      </c>
      <c r="I4" s="2" t="s">
        <v>635</v>
      </c>
      <c r="J4" s="2" t="s">
        <v>635</v>
      </c>
      <c r="K4" s="2" t="s">
        <v>635</v>
      </c>
      <c r="L4" s="2"/>
      <c r="M4" s="2" t="s">
        <v>635</v>
      </c>
      <c r="N4" s="2" t="s">
        <v>635</v>
      </c>
      <c r="O4" s="2" t="s">
        <v>635</v>
      </c>
      <c r="P4" s="2" t="s">
        <v>635</v>
      </c>
      <c r="Q4" s="2" t="s">
        <v>635</v>
      </c>
      <c r="S4" s="2" t="s">
        <v>635</v>
      </c>
      <c r="T4" s="2" t="s">
        <v>635</v>
      </c>
      <c r="U4" s="2" t="s">
        <v>635</v>
      </c>
      <c r="V4" s="2" t="s">
        <v>635</v>
      </c>
      <c r="W4" s="2" t="s">
        <v>635</v>
      </c>
      <c r="X4" s="2" t="s">
        <v>635</v>
      </c>
      <c r="Y4" s="2" t="s">
        <v>635</v>
      </c>
      <c r="Z4" s="2"/>
      <c r="AA4" s="2" t="s">
        <v>635</v>
      </c>
      <c r="AB4" s="2" t="s">
        <v>635</v>
      </c>
      <c r="AD4" s="2" t="s">
        <v>635</v>
      </c>
      <c r="AE4" s="2" t="s">
        <v>635</v>
      </c>
      <c r="AG4" s="2" t="s">
        <v>635</v>
      </c>
      <c r="AH4" s="2" t="s">
        <v>635</v>
      </c>
      <c r="AJ4" s="2"/>
      <c r="AL4" s="2"/>
      <c r="AN4" s="2" t="s">
        <v>635</v>
      </c>
      <c r="AO4" s="2"/>
      <c r="AP4" s="2"/>
      <c r="AQ4" s="2" t="s">
        <v>635</v>
      </c>
      <c r="AR4" s="2" t="s">
        <v>635</v>
      </c>
      <c r="AS4" s="2" t="s">
        <v>635</v>
      </c>
      <c r="AT4" s="2" t="s">
        <v>635</v>
      </c>
      <c r="AU4" s="2" t="s">
        <v>635</v>
      </c>
      <c r="AV4" s="2" t="s">
        <v>635</v>
      </c>
      <c r="AW4" s="2" t="s">
        <v>635</v>
      </c>
      <c r="AX4" s="2" t="s">
        <v>635</v>
      </c>
      <c r="AY4" s="2" t="s">
        <v>635</v>
      </c>
      <c r="AZ4" s="2" t="s">
        <v>635</v>
      </c>
      <c r="BA4" s="2" t="s">
        <v>635</v>
      </c>
      <c r="BB4" s="2" t="s">
        <v>635</v>
      </c>
      <c r="BC4" s="2" t="s">
        <v>635</v>
      </c>
      <c r="BD4" s="2" t="s">
        <v>635</v>
      </c>
      <c r="BE4" s="2" t="s">
        <v>635</v>
      </c>
      <c r="BF4" s="2" t="s">
        <v>635</v>
      </c>
      <c r="BG4" s="2" t="s">
        <v>635</v>
      </c>
      <c r="BH4" s="2" t="s">
        <v>635</v>
      </c>
      <c r="BI4" s="2" t="s">
        <v>635</v>
      </c>
      <c r="BJ4" s="2" t="s">
        <v>635</v>
      </c>
      <c r="BK4" s="2" t="s">
        <v>635</v>
      </c>
      <c r="BL4" s="2" t="s">
        <v>635</v>
      </c>
      <c r="BM4" s="2" t="s">
        <v>635</v>
      </c>
      <c r="BN4" s="2" t="s">
        <v>635</v>
      </c>
      <c r="BO4" s="2" t="s">
        <v>635</v>
      </c>
      <c r="BP4" s="2" t="s">
        <v>635</v>
      </c>
      <c r="BQ4" s="2" t="s">
        <v>635</v>
      </c>
      <c r="BR4" s="2" t="s">
        <v>635</v>
      </c>
      <c r="BS4" s="2" t="s">
        <v>635</v>
      </c>
      <c r="BT4" s="2" t="s">
        <v>635</v>
      </c>
      <c r="BU4" s="2" t="s">
        <v>635</v>
      </c>
      <c r="BV4" s="2" t="s">
        <v>635</v>
      </c>
      <c r="BW4" s="2" t="s">
        <v>635</v>
      </c>
      <c r="BX4" s="2" t="s">
        <v>635</v>
      </c>
      <c r="BY4" s="2" t="s">
        <v>635</v>
      </c>
      <c r="BZ4" s="2" t="s">
        <v>635</v>
      </c>
      <c r="CA4" s="2" t="s">
        <v>635</v>
      </c>
      <c r="CB4" s="2" t="s">
        <v>635</v>
      </c>
      <c r="CC4" s="2" t="s">
        <v>635</v>
      </c>
      <c r="CD4" s="2" t="s">
        <v>635</v>
      </c>
    </row>
    <row r="5" spans="1:82" x14ac:dyDescent="0.25">
      <c r="A5" s="2" t="s">
        <v>334</v>
      </c>
      <c r="B5" s="2" t="s">
        <v>335</v>
      </c>
      <c r="C5" s="2" t="s">
        <v>635</v>
      </c>
      <c r="D5" s="2" t="s">
        <v>635</v>
      </c>
      <c r="E5" s="2" t="s">
        <v>336</v>
      </c>
      <c r="F5" s="2" t="s">
        <v>329</v>
      </c>
      <c r="G5" s="2" t="s">
        <v>330</v>
      </c>
      <c r="H5" s="2" t="s">
        <v>635</v>
      </c>
      <c r="I5" s="2" t="s">
        <v>18</v>
      </c>
      <c r="J5" s="2" t="s">
        <v>635</v>
      </c>
      <c r="K5" s="2" t="s">
        <v>18</v>
      </c>
      <c r="L5" s="2"/>
      <c r="M5" s="2" t="s">
        <v>635</v>
      </c>
      <c r="N5" s="2" t="s">
        <v>833</v>
      </c>
      <c r="O5" s="2" t="s">
        <v>834</v>
      </c>
      <c r="P5" s="2" t="s">
        <v>635</v>
      </c>
      <c r="Q5" s="2" t="s">
        <v>635</v>
      </c>
      <c r="S5" s="2" t="s">
        <v>635</v>
      </c>
      <c r="T5" s="2" t="s">
        <v>635</v>
      </c>
      <c r="U5" s="2" t="s">
        <v>13</v>
      </c>
      <c r="V5" s="2" t="s">
        <v>635</v>
      </c>
      <c r="W5" s="2" t="s">
        <v>337</v>
      </c>
      <c r="X5" s="2" t="s">
        <v>635</v>
      </c>
      <c r="Y5" s="2" t="s">
        <v>826</v>
      </c>
      <c r="Z5" s="2"/>
      <c r="AA5" s="2" t="s">
        <v>635</v>
      </c>
      <c r="AB5" s="2" t="s">
        <v>635</v>
      </c>
      <c r="AC5">
        <v>0</v>
      </c>
      <c r="AD5" s="2" t="s">
        <v>678</v>
      </c>
      <c r="AE5" s="2" t="s">
        <v>635</v>
      </c>
      <c r="AF5">
        <v>0</v>
      </c>
      <c r="AG5" s="2" t="s">
        <v>635</v>
      </c>
      <c r="AH5" s="2" t="s">
        <v>827</v>
      </c>
      <c r="AI5">
        <v>0</v>
      </c>
      <c r="AJ5" s="2">
        <v>0</v>
      </c>
      <c r="AK5">
        <v>0</v>
      </c>
      <c r="AL5" s="2"/>
      <c r="AM5">
        <v>1</v>
      </c>
      <c r="AN5" s="2" t="s">
        <v>827</v>
      </c>
      <c r="AO5" s="2">
        <v>0</v>
      </c>
      <c r="AP5" s="2">
        <v>0</v>
      </c>
      <c r="AQ5" s="2" t="s">
        <v>635</v>
      </c>
      <c r="AR5" s="2" t="s">
        <v>132</v>
      </c>
      <c r="AS5" s="2" t="s">
        <v>11</v>
      </c>
      <c r="AT5" s="2" t="s">
        <v>331</v>
      </c>
      <c r="AU5" s="2" t="s">
        <v>635</v>
      </c>
      <c r="AV5" s="2" t="s">
        <v>635</v>
      </c>
      <c r="AW5" s="2" t="s">
        <v>635</v>
      </c>
      <c r="AX5" s="2" t="s">
        <v>129</v>
      </c>
      <c r="AY5" s="2" t="s">
        <v>835</v>
      </c>
      <c r="AZ5" s="2" t="s">
        <v>128</v>
      </c>
      <c r="BA5" s="2" t="s">
        <v>338</v>
      </c>
      <c r="BB5" s="2" t="s">
        <v>635</v>
      </c>
      <c r="BC5" s="2" t="s">
        <v>836</v>
      </c>
      <c r="BD5" s="2" t="s">
        <v>635</v>
      </c>
      <c r="BE5" s="2" t="s">
        <v>635</v>
      </c>
      <c r="BF5" s="2" t="s">
        <v>837</v>
      </c>
      <c r="BG5" s="2" t="s">
        <v>635</v>
      </c>
      <c r="BH5" s="2" t="s">
        <v>635</v>
      </c>
      <c r="BI5" s="2" t="s">
        <v>635</v>
      </c>
      <c r="BJ5" s="2" t="s">
        <v>339</v>
      </c>
      <c r="BK5" s="2" t="s">
        <v>635</v>
      </c>
      <c r="BL5" s="2" t="s">
        <v>635</v>
      </c>
      <c r="BM5" s="2" t="s">
        <v>104</v>
      </c>
      <c r="BN5" s="2" t="s">
        <v>635</v>
      </c>
      <c r="BO5" s="2" t="s">
        <v>635</v>
      </c>
      <c r="BP5" s="2" t="s">
        <v>635</v>
      </c>
      <c r="BQ5" s="2" t="s">
        <v>122</v>
      </c>
      <c r="BR5" s="2" t="s">
        <v>635</v>
      </c>
      <c r="BS5" s="2" t="s">
        <v>635</v>
      </c>
      <c r="BT5" s="2" t="s">
        <v>838</v>
      </c>
      <c r="BU5" s="2" t="s">
        <v>635</v>
      </c>
      <c r="BV5" s="2" t="s">
        <v>130</v>
      </c>
      <c r="BW5" s="2" t="s">
        <v>635</v>
      </c>
      <c r="BX5" s="2" t="s">
        <v>839</v>
      </c>
      <c r="BY5" s="2" t="s">
        <v>635</v>
      </c>
      <c r="BZ5" s="2" t="s">
        <v>635</v>
      </c>
      <c r="CA5" s="2" t="s">
        <v>635</v>
      </c>
      <c r="CB5" s="2" t="s">
        <v>635</v>
      </c>
      <c r="CC5" s="2" t="s">
        <v>635</v>
      </c>
      <c r="CD5" s="2" t="s">
        <v>635</v>
      </c>
    </row>
    <row r="6" spans="1:82" x14ac:dyDescent="0.25">
      <c r="A6" s="2" t="s">
        <v>840</v>
      </c>
      <c r="B6" s="2" t="s">
        <v>837</v>
      </c>
      <c r="C6" s="2" t="s">
        <v>131</v>
      </c>
      <c r="D6" s="2" t="s">
        <v>6</v>
      </c>
      <c r="E6" s="2" t="s">
        <v>133</v>
      </c>
      <c r="F6" s="2" t="s">
        <v>635</v>
      </c>
      <c r="G6" s="2" t="s">
        <v>635</v>
      </c>
      <c r="H6" s="2" t="s">
        <v>635</v>
      </c>
      <c r="I6" s="2" t="s">
        <v>635</v>
      </c>
      <c r="J6" s="2" t="s">
        <v>635</v>
      </c>
      <c r="K6" s="2" t="s">
        <v>635</v>
      </c>
      <c r="L6" s="2"/>
      <c r="M6" s="2" t="s">
        <v>635</v>
      </c>
      <c r="N6" s="2" t="s">
        <v>635</v>
      </c>
      <c r="O6" s="2" t="s">
        <v>635</v>
      </c>
      <c r="P6" s="2" t="s">
        <v>635</v>
      </c>
      <c r="Q6" s="2" t="s">
        <v>635</v>
      </c>
      <c r="S6" s="2" t="s">
        <v>635</v>
      </c>
      <c r="T6" s="2" t="s">
        <v>635</v>
      </c>
      <c r="U6" s="2" t="s">
        <v>635</v>
      </c>
      <c r="V6" s="2" t="s">
        <v>635</v>
      </c>
      <c r="W6" s="2" t="s">
        <v>635</v>
      </c>
      <c r="X6" s="2" t="s">
        <v>635</v>
      </c>
      <c r="Y6" s="2" t="s">
        <v>635</v>
      </c>
      <c r="Z6" s="2"/>
      <c r="AA6" s="2" t="s">
        <v>635</v>
      </c>
      <c r="AB6" s="2" t="s">
        <v>635</v>
      </c>
      <c r="AD6" s="2" t="s">
        <v>635</v>
      </c>
      <c r="AE6" s="2" t="s">
        <v>635</v>
      </c>
      <c r="AG6" s="2" t="s">
        <v>635</v>
      </c>
      <c r="AH6" s="2" t="s">
        <v>635</v>
      </c>
      <c r="AJ6" s="2"/>
      <c r="AL6" s="2"/>
      <c r="AN6" s="2" t="s">
        <v>635</v>
      </c>
      <c r="AO6" s="2"/>
      <c r="AP6" s="2"/>
      <c r="AQ6" s="2" t="s">
        <v>635</v>
      </c>
      <c r="AR6" s="2" t="s">
        <v>635</v>
      </c>
      <c r="AS6" s="2" t="s">
        <v>635</v>
      </c>
      <c r="AT6" s="2" t="s">
        <v>635</v>
      </c>
      <c r="AU6" s="2" t="s">
        <v>635</v>
      </c>
      <c r="AV6" s="2" t="s">
        <v>635</v>
      </c>
      <c r="AW6" s="2" t="s">
        <v>635</v>
      </c>
      <c r="AX6" s="2" t="s">
        <v>635</v>
      </c>
      <c r="AY6" s="2" t="s">
        <v>635</v>
      </c>
      <c r="AZ6" s="2" t="s">
        <v>635</v>
      </c>
      <c r="BA6" s="2" t="s">
        <v>635</v>
      </c>
      <c r="BB6" s="2" t="s">
        <v>635</v>
      </c>
      <c r="BC6" s="2" t="s">
        <v>635</v>
      </c>
      <c r="BD6" s="2" t="s">
        <v>635</v>
      </c>
      <c r="BE6" s="2" t="s">
        <v>635</v>
      </c>
      <c r="BF6" s="2" t="s">
        <v>635</v>
      </c>
      <c r="BG6" s="2" t="s">
        <v>635</v>
      </c>
      <c r="BH6" s="2" t="s">
        <v>635</v>
      </c>
      <c r="BI6" s="2" t="s">
        <v>635</v>
      </c>
      <c r="BJ6" s="2" t="s">
        <v>635</v>
      </c>
      <c r="BK6" s="2" t="s">
        <v>635</v>
      </c>
      <c r="BL6" s="2" t="s">
        <v>635</v>
      </c>
      <c r="BM6" s="2" t="s">
        <v>635</v>
      </c>
      <c r="BN6" s="2" t="s">
        <v>635</v>
      </c>
      <c r="BO6" s="2" t="s">
        <v>635</v>
      </c>
      <c r="BP6" s="2" t="s">
        <v>635</v>
      </c>
      <c r="BQ6" s="2" t="s">
        <v>635</v>
      </c>
      <c r="BR6" s="2" t="s">
        <v>635</v>
      </c>
      <c r="BS6" s="2" t="s">
        <v>635</v>
      </c>
      <c r="BT6" s="2" t="s">
        <v>635</v>
      </c>
      <c r="BU6" s="2" t="s">
        <v>635</v>
      </c>
      <c r="BV6" s="2" t="s">
        <v>635</v>
      </c>
      <c r="BW6" s="2" t="s">
        <v>635</v>
      </c>
      <c r="BX6" s="2" t="s">
        <v>635</v>
      </c>
      <c r="BY6" s="2" t="s">
        <v>635</v>
      </c>
      <c r="BZ6" s="2" t="s">
        <v>635</v>
      </c>
      <c r="CA6" s="2" t="s">
        <v>635</v>
      </c>
      <c r="CB6" s="2" t="s">
        <v>635</v>
      </c>
      <c r="CC6" s="2" t="s">
        <v>635</v>
      </c>
      <c r="CD6" s="2" t="s">
        <v>635</v>
      </c>
    </row>
    <row r="7" spans="1:82" x14ac:dyDescent="0.25">
      <c r="A7" s="2" t="s">
        <v>340</v>
      </c>
      <c r="B7" s="2" t="s">
        <v>341</v>
      </c>
      <c r="C7" s="2" t="s">
        <v>635</v>
      </c>
      <c r="D7" s="2" t="s">
        <v>635</v>
      </c>
      <c r="E7" s="2" t="s">
        <v>336</v>
      </c>
      <c r="F7" s="2" t="s">
        <v>329</v>
      </c>
      <c r="G7" s="2" t="s">
        <v>330</v>
      </c>
      <c r="H7" s="2" t="s">
        <v>635</v>
      </c>
      <c r="I7" s="2" t="s">
        <v>18</v>
      </c>
      <c r="J7" s="2" t="s">
        <v>635</v>
      </c>
      <c r="K7" s="2" t="s">
        <v>18</v>
      </c>
      <c r="L7" s="2"/>
      <c r="M7" s="2" t="s">
        <v>635</v>
      </c>
      <c r="N7" s="2" t="s">
        <v>841</v>
      </c>
      <c r="O7" s="2" t="s">
        <v>842</v>
      </c>
      <c r="P7" s="2" t="s">
        <v>635</v>
      </c>
      <c r="Q7" s="2" t="s">
        <v>635</v>
      </c>
      <c r="S7" s="2" t="s">
        <v>635</v>
      </c>
      <c r="T7" s="2" t="s">
        <v>635</v>
      </c>
      <c r="U7" s="2" t="s">
        <v>13</v>
      </c>
      <c r="V7" s="2" t="s">
        <v>635</v>
      </c>
      <c r="W7" s="2" t="s">
        <v>843</v>
      </c>
      <c r="X7" s="2" t="s">
        <v>635</v>
      </c>
      <c r="Y7" s="2" t="s">
        <v>635</v>
      </c>
      <c r="Z7" s="2"/>
      <c r="AA7" s="2" t="s">
        <v>635</v>
      </c>
      <c r="AB7" s="2" t="s">
        <v>635</v>
      </c>
      <c r="AD7" s="2" t="s">
        <v>635</v>
      </c>
      <c r="AE7" s="2" t="s">
        <v>635</v>
      </c>
      <c r="AG7" s="2" t="s">
        <v>635</v>
      </c>
      <c r="AH7" s="2" t="s">
        <v>635</v>
      </c>
      <c r="AJ7" s="2"/>
      <c r="AL7" s="2"/>
      <c r="AN7" s="2" t="s">
        <v>635</v>
      </c>
      <c r="AO7" s="2"/>
      <c r="AP7" s="2"/>
      <c r="AQ7" s="2" t="s">
        <v>635</v>
      </c>
      <c r="AR7" s="2" t="s">
        <v>635</v>
      </c>
      <c r="AS7" s="2" t="s">
        <v>635</v>
      </c>
      <c r="AT7" s="2" t="s">
        <v>635</v>
      </c>
      <c r="AU7" s="2" t="s">
        <v>635</v>
      </c>
      <c r="AV7" s="2" t="s">
        <v>635</v>
      </c>
      <c r="AW7" s="2" t="s">
        <v>635</v>
      </c>
      <c r="AX7" s="2" t="s">
        <v>635</v>
      </c>
      <c r="AY7" s="2" t="s">
        <v>635</v>
      </c>
      <c r="AZ7" s="2" t="s">
        <v>635</v>
      </c>
      <c r="BA7" s="2" t="s">
        <v>635</v>
      </c>
      <c r="BB7" s="2" t="s">
        <v>635</v>
      </c>
      <c r="BC7" s="2" t="s">
        <v>635</v>
      </c>
      <c r="BD7" s="2" t="s">
        <v>635</v>
      </c>
      <c r="BE7" s="2" t="s">
        <v>635</v>
      </c>
      <c r="BF7" s="2" t="s">
        <v>635</v>
      </c>
      <c r="BG7" s="2" t="s">
        <v>635</v>
      </c>
      <c r="BH7" s="2" t="s">
        <v>635</v>
      </c>
      <c r="BI7" s="2" t="s">
        <v>635</v>
      </c>
      <c r="BJ7" s="2" t="s">
        <v>635</v>
      </c>
      <c r="BK7" s="2" t="s">
        <v>635</v>
      </c>
      <c r="BL7" s="2" t="s">
        <v>635</v>
      </c>
      <c r="BM7" s="2" t="s">
        <v>635</v>
      </c>
      <c r="BN7" s="2" t="s">
        <v>635</v>
      </c>
      <c r="BO7" s="2" t="s">
        <v>635</v>
      </c>
      <c r="BP7" s="2" t="s">
        <v>635</v>
      </c>
      <c r="BQ7" s="2" t="s">
        <v>635</v>
      </c>
      <c r="BR7" s="2" t="s">
        <v>635</v>
      </c>
      <c r="BS7" s="2" t="s">
        <v>635</v>
      </c>
      <c r="BT7" s="2" t="s">
        <v>635</v>
      </c>
      <c r="BU7" s="2" t="s">
        <v>635</v>
      </c>
      <c r="BV7" s="2" t="s">
        <v>635</v>
      </c>
      <c r="BW7" s="2" t="s">
        <v>635</v>
      </c>
      <c r="BX7" s="2" t="s">
        <v>635</v>
      </c>
      <c r="BY7" s="2" t="s">
        <v>635</v>
      </c>
      <c r="BZ7" s="2" t="s">
        <v>635</v>
      </c>
      <c r="CA7" s="2" t="s">
        <v>635</v>
      </c>
      <c r="CB7" s="2" t="s">
        <v>635</v>
      </c>
      <c r="CC7" s="2" t="s">
        <v>635</v>
      </c>
      <c r="CD7" s="2" t="s">
        <v>635</v>
      </c>
    </row>
    <row r="8" spans="1:82" x14ac:dyDescent="0.25">
      <c r="A8" s="2" t="s">
        <v>844</v>
      </c>
      <c r="B8" s="2" t="s">
        <v>635</v>
      </c>
      <c r="C8" s="2" t="s">
        <v>826</v>
      </c>
      <c r="D8" s="2" t="s">
        <v>635</v>
      </c>
      <c r="E8" s="2" t="s">
        <v>635</v>
      </c>
      <c r="F8" s="2" t="s">
        <v>635</v>
      </c>
      <c r="G8" s="2" t="s">
        <v>827</v>
      </c>
      <c r="H8" s="2" t="s">
        <v>678</v>
      </c>
      <c r="I8" s="2" t="s">
        <v>635</v>
      </c>
      <c r="J8" s="2" t="s">
        <v>827</v>
      </c>
      <c r="K8" s="2" t="s">
        <v>635</v>
      </c>
      <c r="L8" s="2">
        <v>0</v>
      </c>
      <c r="M8" s="2" t="s">
        <v>827</v>
      </c>
      <c r="N8" s="2" t="s">
        <v>827</v>
      </c>
      <c r="O8" s="2" t="s">
        <v>827</v>
      </c>
      <c r="P8" s="2" t="s">
        <v>635</v>
      </c>
      <c r="Q8" s="2" t="s">
        <v>678</v>
      </c>
      <c r="R8">
        <v>0</v>
      </c>
      <c r="S8" s="2" t="s">
        <v>827</v>
      </c>
      <c r="T8" s="2" t="s">
        <v>827</v>
      </c>
      <c r="U8" s="2" t="s">
        <v>635</v>
      </c>
      <c r="V8" s="2" t="s">
        <v>635</v>
      </c>
      <c r="W8" s="2" t="s">
        <v>11</v>
      </c>
      <c r="X8" s="2" t="s">
        <v>331</v>
      </c>
      <c r="Y8" s="2" t="s">
        <v>635</v>
      </c>
      <c r="Z8" s="2"/>
      <c r="AA8" s="2" t="s">
        <v>635</v>
      </c>
      <c r="AB8" s="2" t="s">
        <v>135</v>
      </c>
      <c r="AC8">
        <v>40</v>
      </c>
      <c r="AD8" s="2" t="s">
        <v>134</v>
      </c>
      <c r="AE8" s="2" t="s">
        <v>342</v>
      </c>
      <c r="AG8" s="2" t="s">
        <v>836</v>
      </c>
      <c r="AH8" s="2" t="s">
        <v>635</v>
      </c>
      <c r="AJ8" s="2"/>
      <c r="AL8" s="2"/>
      <c r="AN8" s="2" t="s">
        <v>343</v>
      </c>
      <c r="AO8" s="2"/>
      <c r="AP8" s="2"/>
      <c r="AQ8" s="2" t="s">
        <v>14</v>
      </c>
      <c r="AR8" s="2" t="s">
        <v>635</v>
      </c>
      <c r="AS8" s="2" t="s">
        <v>635</v>
      </c>
      <c r="AT8" s="2" t="s">
        <v>635</v>
      </c>
      <c r="AU8" s="2" t="s">
        <v>122</v>
      </c>
      <c r="AV8" s="2" t="s">
        <v>635</v>
      </c>
      <c r="AW8" s="2" t="s">
        <v>635</v>
      </c>
      <c r="AX8" s="2" t="s">
        <v>838</v>
      </c>
      <c r="AY8" s="2" t="s">
        <v>635</v>
      </c>
      <c r="AZ8" s="2" t="s">
        <v>635</v>
      </c>
      <c r="BA8" s="2" t="s">
        <v>635</v>
      </c>
      <c r="BB8" s="2" t="s">
        <v>137</v>
      </c>
      <c r="BC8" s="2" t="s">
        <v>635</v>
      </c>
      <c r="BD8" s="2" t="s">
        <v>136</v>
      </c>
      <c r="BE8" s="2" t="s">
        <v>136</v>
      </c>
      <c r="BF8" s="2" t="s">
        <v>138</v>
      </c>
      <c r="BG8" s="2" t="s">
        <v>635</v>
      </c>
      <c r="BH8" s="2" t="s">
        <v>635</v>
      </c>
      <c r="BI8" s="2" t="s">
        <v>635</v>
      </c>
      <c r="BJ8" s="2" t="s">
        <v>635</v>
      </c>
      <c r="BK8" s="2" t="s">
        <v>635</v>
      </c>
      <c r="BL8" s="2" t="s">
        <v>635</v>
      </c>
      <c r="BM8" s="2" t="s">
        <v>635</v>
      </c>
      <c r="BN8" s="2" t="s">
        <v>635</v>
      </c>
      <c r="BO8" s="2" t="s">
        <v>635</v>
      </c>
      <c r="BP8" s="2" t="s">
        <v>635</v>
      </c>
      <c r="BQ8" s="2" t="s">
        <v>635</v>
      </c>
      <c r="BR8" s="2" t="s">
        <v>635</v>
      </c>
      <c r="BS8" s="2" t="s">
        <v>635</v>
      </c>
      <c r="BT8" s="2" t="s">
        <v>635</v>
      </c>
      <c r="BU8" s="2" t="s">
        <v>635</v>
      </c>
      <c r="BV8" s="2" t="s">
        <v>635</v>
      </c>
      <c r="BW8" s="2" t="s">
        <v>635</v>
      </c>
      <c r="BX8" s="2" t="s">
        <v>635</v>
      </c>
      <c r="BY8" s="2" t="s">
        <v>635</v>
      </c>
      <c r="BZ8" s="2" t="s">
        <v>635</v>
      </c>
      <c r="CA8" s="2" t="s">
        <v>635</v>
      </c>
      <c r="CB8" s="2" t="s">
        <v>635</v>
      </c>
      <c r="CC8" s="2" t="s">
        <v>635</v>
      </c>
      <c r="CD8" s="2" t="s">
        <v>635</v>
      </c>
    </row>
    <row r="9" spans="1:82" x14ac:dyDescent="0.25">
      <c r="A9" s="2" t="s">
        <v>344</v>
      </c>
      <c r="B9" s="2" t="s">
        <v>345</v>
      </c>
      <c r="C9" s="2" t="s">
        <v>635</v>
      </c>
      <c r="D9" s="2" t="s">
        <v>635</v>
      </c>
      <c r="E9" s="2" t="s">
        <v>346</v>
      </c>
      <c r="F9" s="2" t="s">
        <v>329</v>
      </c>
      <c r="G9" s="2" t="s">
        <v>330</v>
      </c>
      <c r="H9" s="2" t="s">
        <v>347</v>
      </c>
      <c r="I9" s="2" t="s">
        <v>64</v>
      </c>
      <c r="J9" s="2" t="s">
        <v>635</v>
      </c>
      <c r="K9" s="2" t="s">
        <v>635</v>
      </c>
      <c r="L9" s="2"/>
      <c r="M9" s="2" t="s">
        <v>635</v>
      </c>
      <c r="N9" s="2" t="s">
        <v>635</v>
      </c>
      <c r="O9" s="2" t="s">
        <v>635</v>
      </c>
      <c r="P9" s="2" t="s">
        <v>845</v>
      </c>
      <c r="Q9" s="2" t="s">
        <v>635</v>
      </c>
      <c r="R9">
        <v>110</v>
      </c>
      <c r="S9" s="2" t="s">
        <v>348</v>
      </c>
      <c r="T9" s="2" t="s">
        <v>635</v>
      </c>
      <c r="U9" s="2" t="s">
        <v>35</v>
      </c>
      <c r="V9" s="2" t="s">
        <v>635</v>
      </c>
      <c r="W9" s="2" t="s">
        <v>349</v>
      </c>
      <c r="X9" s="2" t="s">
        <v>350</v>
      </c>
      <c r="Y9" s="2" t="s">
        <v>826</v>
      </c>
      <c r="Z9" s="2"/>
      <c r="AA9" s="2" t="s">
        <v>635</v>
      </c>
      <c r="AB9" s="2" t="s">
        <v>635</v>
      </c>
      <c r="AC9">
        <v>1</v>
      </c>
      <c r="AD9" s="2" t="s">
        <v>678</v>
      </c>
      <c r="AE9" s="2" t="s">
        <v>635</v>
      </c>
      <c r="AF9">
        <v>0</v>
      </c>
      <c r="AG9" s="2" t="s">
        <v>635</v>
      </c>
      <c r="AH9" s="2" t="s">
        <v>827</v>
      </c>
      <c r="AI9">
        <v>0</v>
      </c>
      <c r="AJ9" s="2">
        <v>0</v>
      </c>
      <c r="AK9">
        <v>0</v>
      </c>
      <c r="AL9" s="2"/>
      <c r="AM9">
        <v>0</v>
      </c>
      <c r="AN9" s="2" t="s">
        <v>827</v>
      </c>
      <c r="AO9" s="2">
        <v>0</v>
      </c>
      <c r="AP9" s="2">
        <v>0</v>
      </c>
      <c r="AQ9" s="2" t="s">
        <v>635</v>
      </c>
      <c r="AR9" s="2" t="s">
        <v>846</v>
      </c>
      <c r="AS9" s="2" t="s">
        <v>11</v>
      </c>
      <c r="AT9" s="2" t="s">
        <v>351</v>
      </c>
      <c r="AU9" s="2" t="s">
        <v>635</v>
      </c>
      <c r="AV9" s="2" t="s">
        <v>635</v>
      </c>
      <c r="AW9" s="2" t="s">
        <v>635</v>
      </c>
      <c r="AX9" s="2" t="s">
        <v>635</v>
      </c>
      <c r="AY9" s="2" t="s">
        <v>845</v>
      </c>
      <c r="AZ9" s="2" t="s">
        <v>348</v>
      </c>
      <c r="BA9" s="2" t="s">
        <v>352</v>
      </c>
      <c r="BB9" s="2" t="s">
        <v>635</v>
      </c>
      <c r="BC9" s="2" t="s">
        <v>635</v>
      </c>
      <c r="BD9" s="2" t="s">
        <v>847</v>
      </c>
      <c r="BE9" s="2" t="s">
        <v>635</v>
      </c>
      <c r="BF9" s="2" t="s">
        <v>635</v>
      </c>
      <c r="BG9" s="2" t="s">
        <v>635</v>
      </c>
      <c r="BH9" s="2" t="s">
        <v>635</v>
      </c>
      <c r="BI9" s="2" t="s">
        <v>635</v>
      </c>
      <c r="BJ9" s="2" t="s">
        <v>635</v>
      </c>
      <c r="BK9" s="2" t="s">
        <v>635</v>
      </c>
      <c r="BL9" s="2" t="s">
        <v>635</v>
      </c>
      <c r="BM9" s="2" t="s">
        <v>635</v>
      </c>
      <c r="BN9" s="2" t="s">
        <v>635</v>
      </c>
      <c r="BO9" s="2" t="s">
        <v>635</v>
      </c>
      <c r="BP9" s="2" t="s">
        <v>635</v>
      </c>
      <c r="BQ9" s="2" t="s">
        <v>635</v>
      </c>
      <c r="BR9" s="2" t="s">
        <v>635</v>
      </c>
      <c r="BS9" s="2" t="s">
        <v>635</v>
      </c>
      <c r="BT9" s="2" t="s">
        <v>635</v>
      </c>
      <c r="BU9" s="2" t="s">
        <v>635</v>
      </c>
      <c r="BV9" s="2" t="s">
        <v>635</v>
      </c>
      <c r="BW9" s="2" t="s">
        <v>635</v>
      </c>
      <c r="BX9" s="2" t="s">
        <v>635</v>
      </c>
      <c r="BY9" s="2" t="s">
        <v>635</v>
      </c>
      <c r="BZ9" s="2" t="s">
        <v>635</v>
      </c>
      <c r="CA9" s="2" t="s">
        <v>635</v>
      </c>
      <c r="CB9" s="2" t="s">
        <v>635</v>
      </c>
      <c r="CC9" s="2" t="s">
        <v>635</v>
      </c>
      <c r="CD9" s="2" t="s">
        <v>635</v>
      </c>
    </row>
    <row r="10" spans="1:82" x14ac:dyDescent="0.25">
      <c r="A10" s="2" t="s">
        <v>848</v>
      </c>
      <c r="B10" s="2" t="s">
        <v>849</v>
      </c>
      <c r="C10" s="2" t="s">
        <v>850</v>
      </c>
      <c r="D10" s="2" t="s">
        <v>635</v>
      </c>
      <c r="E10" s="2" t="s">
        <v>635</v>
      </c>
      <c r="F10" s="2" t="s">
        <v>635</v>
      </c>
      <c r="G10" s="2" t="s">
        <v>353</v>
      </c>
      <c r="H10" s="2" t="s">
        <v>635</v>
      </c>
      <c r="I10" s="2" t="s">
        <v>635</v>
      </c>
      <c r="J10" s="2" t="s">
        <v>23</v>
      </c>
      <c r="K10" s="2" t="s">
        <v>635</v>
      </c>
      <c r="L10" s="2"/>
      <c r="M10" s="2" t="s">
        <v>635</v>
      </c>
      <c r="N10" s="2" t="s">
        <v>192</v>
      </c>
      <c r="O10" s="2" t="s">
        <v>354</v>
      </c>
      <c r="P10" s="2" t="s">
        <v>635</v>
      </c>
      <c r="Q10" s="2" t="s">
        <v>838</v>
      </c>
      <c r="S10" s="2" t="s">
        <v>355</v>
      </c>
      <c r="T10" s="2" t="s">
        <v>46</v>
      </c>
      <c r="U10" s="2" t="s">
        <v>847</v>
      </c>
      <c r="V10" s="2" t="s">
        <v>635</v>
      </c>
      <c r="W10" s="2" t="s">
        <v>635</v>
      </c>
      <c r="X10" s="2" t="s">
        <v>635</v>
      </c>
      <c r="Y10" s="2" t="s">
        <v>635</v>
      </c>
      <c r="Z10" s="2"/>
      <c r="AA10" s="2" t="s">
        <v>635</v>
      </c>
      <c r="AB10" s="2" t="s">
        <v>635</v>
      </c>
      <c r="AD10" s="2" t="s">
        <v>635</v>
      </c>
      <c r="AE10" s="2" t="s">
        <v>635</v>
      </c>
      <c r="AG10" s="2" t="s">
        <v>635</v>
      </c>
      <c r="AH10" s="2" t="s">
        <v>635</v>
      </c>
      <c r="AJ10" s="2"/>
      <c r="AL10" s="2"/>
      <c r="AN10" s="2" t="s">
        <v>635</v>
      </c>
      <c r="AO10" s="2"/>
      <c r="AP10" s="2"/>
      <c r="AQ10" s="2" t="s">
        <v>635</v>
      </c>
      <c r="AR10" s="2" t="s">
        <v>635</v>
      </c>
      <c r="AS10" s="2" t="s">
        <v>635</v>
      </c>
      <c r="AT10" s="2" t="s">
        <v>635</v>
      </c>
      <c r="AU10" s="2" t="s">
        <v>635</v>
      </c>
      <c r="AV10" s="2" t="s">
        <v>635</v>
      </c>
      <c r="AW10" s="2" t="s">
        <v>635</v>
      </c>
      <c r="AX10" s="2" t="s">
        <v>635</v>
      </c>
      <c r="AY10" s="2" t="s">
        <v>635</v>
      </c>
      <c r="AZ10" s="2" t="s">
        <v>635</v>
      </c>
      <c r="BA10" s="2" t="s">
        <v>635</v>
      </c>
      <c r="BB10" s="2" t="s">
        <v>635</v>
      </c>
      <c r="BC10" s="2" t="s">
        <v>635</v>
      </c>
      <c r="BD10" s="2" t="s">
        <v>635</v>
      </c>
      <c r="BE10" s="2" t="s">
        <v>635</v>
      </c>
      <c r="BF10" s="2" t="s">
        <v>635</v>
      </c>
      <c r="BG10" s="2" t="s">
        <v>635</v>
      </c>
      <c r="BH10" s="2" t="s">
        <v>635</v>
      </c>
      <c r="BI10" s="2" t="s">
        <v>635</v>
      </c>
      <c r="BJ10" s="2" t="s">
        <v>635</v>
      </c>
      <c r="BK10" s="2" t="s">
        <v>635</v>
      </c>
      <c r="BL10" s="2" t="s">
        <v>635</v>
      </c>
      <c r="BM10" s="2" t="s">
        <v>635</v>
      </c>
      <c r="BN10" s="2" t="s">
        <v>635</v>
      </c>
      <c r="BO10" s="2" t="s">
        <v>635</v>
      </c>
      <c r="BP10" s="2" t="s">
        <v>635</v>
      </c>
      <c r="BQ10" s="2" t="s">
        <v>635</v>
      </c>
      <c r="BR10" s="2" t="s">
        <v>635</v>
      </c>
      <c r="BS10" s="2" t="s">
        <v>635</v>
      </c>
      <c r="BT10" s="2" t="s">
        <v>635</v>
      </c>
      <c r="BU10" s="2" t="s">
        <v>635</v>
      </c>
      <c r="BV10" s="2" t="s">
        <v>635</v>
      </c>
      <c r="BW10" s="2" t="s">
        <v>635</v>
      </c>
      <c r="BX10" s="2" t="s">
        <v>635</v>
      </c>
      <c r="BY10" s="2" t="s">
        <v>635</v>
      </c>
      <c r="BZ10" s="2" t="s">
        <v>635</v>
      </c>
      <c r="CA10" s="2" t="s">
        <v>635</v>
      </c>
      <c r="CB10" s="2" t="s">
        <v>635</v>
      </c>
      <c r="CC10" s="2" t="s">
        <v>635</v>
      </c>
      <c r="CD10" s="2" t="s">
        <v>635</v>
      </c>
    </row>
    <row r="11" spans="1:82" x14ac:dyDescent="0.25">
      <c r="A11" s="2" t="s">
        <v>851</v>
      </c>
      <c r="B11" s="2" t="s">
        <v>680</v>
      </c>
      <c r="C11" s="2" t="s">
        <v>356</v>
      </c>
      <c r="D11" s="2" t="s">
        <v>6</v>
      </c>
      <c r="E11" s="2" t="s">
        <v>357</v>
      </c>
      <c r="F11" s="2" t="s">
        <v>635</v>
      </c>
      <c r="G11" s="2" t="s">
        <v>635</v>
      </c>
      <c r="H11" s="2" t="s">
        <v>635</v>
      </c>
      <c r="I11" s="2" t="s">
        <v>635</v>
      </c>
      <c r="J11" s="2" t="s">
        <v>635</v>
      </c>
      <c r="K11" s="2" t="s">
        <v>635</v>
      </c>
      <c r="L11" s="2"/>
      <c r="M11" s="2" t="s">
        <v>635</v>
      </c>
      <c r="N11" s="2" t="s">
        <v>635</v>
      </c>
      <c r="O11" s="2" t="s">
        <v>635</v>
      </c>
      <c r="P11" s="2" t="s">
        <v>635</v>
      </c>
      <c r="Q11" s="2" t="s">
        <v>635</v>
      </c>
      <c r="S11" s="2" t="s">
        <v>635</v>
      </c>
      <c r="T11" s="2" t="s">
        <v>635</v>
      </c>
      <c r="U11" s="2" t="s">
        <v>635</v>
      </c>
      <c r="V11" s="2" t="s">
        <v>635</v>
      </c>
      <c r="W11" s="2" t="s">
        <v>635</v>
      </c>
      <c r="X11" s="2" t="s">
        <v>635</v>
      </c>
      <c r="Y11" s="2" t="s">
        <v>635</v>
      </c>
      <c r="Z11" s="2"/>
      <c r="AA11" s="2" t="s">
        <v>635</v>
      </c>
      <c r="AB11" s="2" t="s">
        <v>635</v>
      </c>
      <c r="AD11" s="2" t="s">
        <v>635</v>
      </c>
      <c r="AE11" s="2" t="s">
        <v>635</v>
      </c>
      <c r="AG11" s="2" t="s">
        <v>635</v>
      </c>
      <c r="AH11" s="2" t="s">
        <v>635</v>
      </c>
      <c r="AJ11" s="2"/>
      <c r="AL11" s="2"/>
      <c r="AN11" s="2" t="s">
        <v>635</v>
      </c>
      <c r="AO11" s="2"/>
      <c r="AP11" s="2"/>
      <c r="AQ11" s="2" t="s">
        <v>635</v>
      </c>
      <c r="AR11" s="2" t="s">
        <v>635</v>
      </c>
      <c r="AS11" s="2" t="s">
        <v>635</v>
      </c>
      <c r="AT11" s="2" t="s">
        <v>635</v>
      </c>
      <c r="AU11" s="2" t="s">
        <v>635</v>
      </c>
      <c r="AV11" s="2" t="s">
        <v>635</v>
      </c>
      <c r="AW11" s="2" t="s">
        <v>635</v>
      </c>
      <c r="AX11" s="2" t="s">
        <v>635</v>
      </c>
      <c r="AY11" s="2" t="s">
        <v>635</v>
      </c>
      <c r="AZ11" s="2" t="s">
        <v>635</v>
      </c>
      <c r="BA11" s="2" t="s">
        <v>635</v>
      </c>
      <c r="BB11" s="2" t="s">
        <v>635</v>
      </c>
      <c r="BC11" s="2" t="s">
        <v>635</v>
      </c>
      <c r="BD11" s="2" t="s">
        <v>635</v>
      </c>
      <c r="BE11" s="2" t="s">
        <v>635</v>
      </c>
      <c r="BF11" s="2" t="s">
        <v>635</v>
      </c>
      <c r="BG11" s="2" t="s">
        <v>635</v>
      </c>
      <c r="BH11" s="2" t="s">
        <v>635</v>
      </c>
      <c r="BI11" s="2" t="s">
        <v>635</v>
      </c>
      <c r="BJ11" s="2" t="s">
        <v>635</v>
      </c>
      <c r="BK11" s="2" t="s">
        <v>635</v>
      </c>
      <c r="BL11" s="2" t="s">
        <v>635</v>
      </c>
      <c r="BM11" s="2" t="s">
        <v>635</v>
      </c>
      <c r="BN11" s="2" t="s">
        <v>635</v>
      </c>
      <c r="BO11" s="2" t="s">
        <v>635</v>
      </c>
      <c r="BP11" s="2" t="s">
        <v>635</v>
      </c>
      <c r="BQ11" s="2" t="s">
        <v>635</v>
      </c>
      <c r="BR11" s="2" t="s">
        <v>635</v>
      </c>
      <c r="BS11" s="2" t="s">
        <v>635</v>
      </c>
      <c r="BT11" s="2" t="s">
        <v>635</v>
      </c>
      <c r="BU11" s="2" t="s">
        <v>635</v>
      </c>
      <c r="BV11" s="2" t="s">
        <v>635</v>
      </c>
      <c r="BW11" s="2" t="s">
        <v>635</v>
      </c>
      <c r="BX11" s="2" t="s">
        <v>635</v>
      </c>
      <c r="BY11" s="2" t="s">
        <v>635</v>
      </c>
      <c r="BZ11" s="2" t="s">
        <v>635</v>
      </c>
      <c r="CA11" s="2" t="s">
        <v>635</v>
      </c>
      <c r="CB11" s="2" t="s">
        <v>635</v>
      </c>
      <c r="CC11" s="2" t="s">
        <v>635</v>
      </c>
      <c r="CD11" s="2" t="s">
        <v>635</v>
      </c>
    </row>
    <row r="12" spans="1:82" x14ac:dyDescent="0.25">
      <c r="A12" s="2" t="s">
        <v>358</v>
      </c>
      <c r="B12" s="2" t="s">
        <v>359</v>
      </c>
      <c r="C12" s="2" t="s">
        <v>635</v>
      </c>
      <c r="D12" s="2" t="s">
        <v>635</v>
      </c>
      <c r="E12" s="2" t="s">
        <v>360</v>
      </c>
      <c r="F12" s="2" t="s">
        <v>635</v>
      </c>
      <c r="G12" s="2" t="s">
        <v>330</v>
      </c>
      <c r="H12" s="2" t="s">
        <v>635</v>
      </c>
      <c r="I12" s="2" t="s">
        <v>175</v>
      </c>
      <c r="J12" s="2" t="s">
        <v>635</v>
      </c>
      <c r="K12" s="2" t="s">
        <v>175</v>
      </c>
      <c r="L12" s="2"/>
      <c r="M12" s="2" t="s">
        <v>635</v>
      </c>
      <c r="N12" s="2" t="s">
        <v>852</v>
      </c>
      <c r="O12" s="2" t="s">
        <v>853</v>
      </c>
      <c r="P12" s="2" t="s">
        <v>635</v>
      </c>
      <c r="Q12" s="2" t="s">
        <v>635</v>
      </c>
      <c r="S12" s="2" t="s">
        <v>635</v>
      </c>
      <c r="T12" s="2" t="s">
        <v>635</v>
      </c>
      <c r="U12" s="2" t="s">
        <v>35</v>
      </c>
      <c r="V12" s="2" t="s">
        <v>635</v>
      </c>
      <c r="W12" s="2" t="s">
        <v>635</v>
      </c>
      <c r="X12" s="2" t="s">
        <v>635</v>
      </c>
      <c r="Y12" s="2" t="s">
        <v>826</v>
      </c>
      <c r="Z12" s="2"/>
      <c r="AA12" s="2" t="s">
        <v>635</v>
      </c>
      <c r="AB12" s="2" t="s">
        <v>635</v>
      </c>
      <c r="AC12">
        <v>1</v>
      </c>
      <c r="AD12" s="2" t="s">
        <v>678</v>
      </c>
      <c r="AE12" s="2" t="s">
        <v>635</v>
      </c>
      <c r="AF12">
        <v>0</v>
      </c>
      <c r="AG12" s="2" t="s">
        <v>635</v>
      </c>
      <c r="AH12" s="2" t="s">
        <v>827</v>
      </c>
      <c r="AI12">
        <v>1</v>
      </c>
      <c r="AJ12" s="2">
        <v>0</v>
      </c>
      <c r="AK12">
        <v>1</v>
      </c>
      <c r="AL12" s="2"/>
      <c r="AM12">
        <v>1</v>
      </c>
      <c r="AN12" s="2" t="s">
        <v>827</v>
      </c>
      <c r="AO12" s="2">
        <v>0</v>
      </c>
      <c r="AP12" s="2">
        <v>0</v>
      </c>
      <c r="AQ12" s="2" t="s">
        <v>635</v>
      </c>
      <c r="AR12" s="2" t="s">
        <v>635</v>
      </c>
      <c r="AS12" s="2" t="s">
        <v>11</v>
      </c>
      <c r="AT12" s="2" t="s">
        <v>331</v>
      </c>
      <c r="AU12" s="2" t="s">
        <v>635</v>
      </c>
      <c r="AV12" s="2" t="s">
        <v>635</v>
      </c>
      <c r="AW12" s="2" t="s">
        <v>635</v>
      </c>
      <c r="AX12" s="2" t="s">
        <v>267</v>
      </c>
      <c r="AY12" s="2" t="s">
        <v>854</v>
      </c>
      <c r="AZ12" s="2" t="s">
        <v>265</v>
      </c>
      <c r="BA12" s="2" t="s">
        <v>637</v>
      </c>
      <c r="BB12" s="2" t="s">
        <v>635</v>
      </c>
      <c r="BC12" s="2" t="s">
        <v>855</v>
      </c>
      <c r="BD12" s="2" t="s">
        <v>635</v>
      </c>
      <c r="BE12" s="2" t="s">
        <v>635</v>
      </c>
      <c r="BF12" s="2" t="s">
        <v>837</v>
      </c>
      <c r="BG12" s="2" t="s">
        <v>635</v>
      </c>
      <c r="BH12" s="2" t="s">
        <v>635</v>
      </c>
      <c r="BI12" s="2" t="s">
        <v>635</v>
      </c>
      <c r="BJ12" s="2" t="s">
        <v>361</v>
      </c>
      <c r="BK12" s="2" t="s">
        <v>635</v>
      </c>
      <c r="BL12" s="2" t="s">
        <v>635</v>
      </c>
      <c r="BM12" s="2" t="s">
        <v>52</v>
      </c>
      <c r="BN12" s="2" t="s">
        <v>635</v>
      </c>
      <c r="BO12" s="2" t="s">
        <v>635</v>
      </c>
      <c r="BP12" s="2" t="s">
        <v>333</v>
      </c>
      <c r="BQ12" s="2" t="s">
        <v>266</v>
      </c>
      <c r="BR12" s="2" t="s">
        <v>635</v>
      </c>
      <c r="BS12" s="2" t="s">
        <v>635</v>
      </c>
      <c r="BT12" s="2" t="s">
        <v>838</v>
      </c>
      <c r="BU12" s="2" t="s">
        <v>635</v>
      </c>
      <c r="BV12" s="2" t="s">
        <v>268</v>
      </c>
      <c r="BW12" s="2" t="s">
        <v>635</v>
      </c>
      <c r="BX12" s="2" t="s">
        <v>856</v>
      </c>
      <c r="BY12" s="2" t="s">
        <v>635</v>
      </c>
      <c r="BZ12" s="2" t="s">
        <v>635</v>
      </c>
      <c r="CA12" s="2" t="s">
        <v>635</v>
      </c>
      <c r="CB12" s="2" t="s">
        <v>635</v>
      </c>
      <c r="CC12" s="2" t="s">
        <v>635</v>
      </c>
      <c r="CD12" s="2" t="s">
        <v>635</v>
      </c>
    </row>
    <row r="13" spans="1:82" x14ac:dyDescent="0.25">
      <c r="A13" s="2" t="s">
        <v>857</v>
      </c>
      <c r="B13" s="2" t="s">
        <v>671</v>
      </c>
      <c r="C13" s="2" t="s">
        <v>269</v>
      </c>
      <c r="D13" s="2" t="s">
        <v>6</v>
      </c>
      <c r="E13" s="2" t="s">
        <v>270</v>
      </c>
      <c r="F13" s="2" t="s">
        <v>635</v>
      </c>
      <c r="G13" s="2" t="s">
        <v>635</v>
      </c>
      <c r="H13" s="2" t="s">
        <v>635</v>
      </c>
      <c r="I13" s="2" t="s">
        <v>635</v>
      </c>
      <c r="J13" s="2" t="s">
        <v>635</v>
      </c>
      <c r="K13" s="2" t="s">
        <v>635</v>
      </c>
      <c r="L13" s="2"/>
      <c r="M13" s="2" t="s">
        <v>635</v>
      </c>
      <c r="N13" s="2" t="s">
        <v>635</v>
      </c>
      <c r="O13" s="2" t="s">
        <v>635</v>
      </c>
      <c r="P13" s="2" t="s">
        <v>635</v>
      </c>
      <c r="Q13" s="2" t="s">
        <v>635</v>
      </c>
      <c r="S13" s="2" t="s">
        <v>635</v>
      </c>
      <c r="T13" s="2" t="s">
        <v>635</v>
      </c>
      <c r="U13" s="2" t="s">
        <v>635</v>
      </c>
      <c r="V13" s="2" t="s">
        <v>635</v>
      </c>
      <c r="W13" s="2" t="s">
        <v>635</v>
      </c>
      <c r="X13" s="2" t="s">
        <v>635</v>
      </c>
      <c r="Y13" s="2" t="s">
        <v>635</v>
      </c>
      <c r="Z13" s="2"/>
      <c r="AA13" s="2" t="s">
        <v>635</v>
      </c>
      <c r="AB13" s="2" t="s">
        <v>635</v>
      </c>
      <c r="AD13" s="2" t="s">
        <v>635</v>
      </c>
      <c r="AE13" s="2" t="s">
        <v>635</v>
      </c>
      <c r="AG13" s="2" t="s">
        <v>635</v>
      </c>
      <c r="AH13" s="2" t="s">
        <v>635</v>
      </c>
      <c r="AJ13" s="2"/>
      <c r="AL13" s="2"/>
      <c r="AN13" s="2" t="s">
        <v>635</v>
      </c>
      <c r="AO13" s="2"/>
      <c r="AP13" s="2"/>
      <c r="AQ13" s="2" t="s">
        <v>635</v>
      </c>
      <c r="AR13" s="2" t="s">
        <v>635</v>
      </c>
      <c r="AS13" s="2" t="s">
        <v>635</v>
      </c>
      <c r="AT13" s="2" t="s">
        <v>635</v>
      </c>
      <c r="AU13" s="2" t="s">
        <v>635</v>
      </c>
      <c r="AV13" s="2" t="s">
        <v>635</v>
      </c>
      <c r="AW13" s="2" t="s">
        <v>635</v>
      </c>
      <c r="AX13" s="2" t="s">
        <v>635</v>
      </c>
      <c r="AY13" s="2" t="s">
        <v>635</v>
      </c>
      <c r="AZ13" s="2" t="s">
        <v>635</v>
      </c>
      <c r="BA13" s="2" t="s">
        <v>635</v>
      </c>
      <c r="BB13" s="2" t="s">
        <v>635</v>
      </c>
      <c r="BC13" s="2" t="s">
        <v>635</v>
      </c>
      <c r="BD13" s="2" t="s">
        <v>635</v>
      </c>
      <c r="BE13" s="2" t="s">
        <v>635</v>
      </c>
      <c r="BF13" s="2" t="s">
        <v>635</v>
      </c>
      <c r="BG13" s="2" t="s">
        <v>635</v>
      </c>
      <c r="BH13" s="2" t="s">
        <v>635</v>
      </c>
      <c r="BI13" s="2" t="s">
        <v>635</v>
      </c>
      <c r="BJ13" s="2" t="s">
        <v>635</v>
      </c>
      <c r="BK13" s="2" t="s">
        <v>635</v>
      </c>
      <c r="BL13" s="2" t="s">
        <v>635</v>
      </c>
      <c r="BM13" s="2" t="s">
        <v>635</v>
      </c>
      <c r="BN13" s="2" t="s">
        <v>635</v>
      </c>
      <c r="BO13" s="2" t="s">
        <v>635</v>
      </c>
      <c r="BP13" s="2" t="s">
        <v>635</v>
      </c>
      <c r="BQ13" s="2" t="s">
        <v>635</v>
      </c>
      <c r="BR13" s="2" t="s">
        <v>635</v>
      </c>
      <c r="BS13" s="2" t="s">
        <v>635</v>
      </c>
      <c r="BT13" s="2" t="s">
        <v>635</v>
      </c>
      <c r="BU13" s="2" t="s">
        <v>635</v>
      </c>
      <c r="BV13" s="2" t="s">
        <v>635</v>
      </c>
      <c r="BW13" s="2" t="s">
        <v>635</v>
      </c>
      <c r="BX13" s="2" t="s">
        <v>635</v>
      </c>
      <c r="BY13" s="2" t="s">
        <v>635</v>
      </c>
      <c r="BZ13" s="2" t="s">
        <v>635</v>
      </c>
      <c r="CA13" s="2" t="s">
        <v>635</v>
      </c>
      <c r="CB13" s="2" t="s">
        <v>635</v>
      </c>
      <c r="CC13" s="2" t="s">
        <v>635</v>
      </c>
      <c r="CD13" s="2" t="s">
        <v>635</v>
      </c>
    </row>
    <row r="14" spans="1:82" x14ac:dyDescent="0.25">
      <c r="A14" s="2" t="s">
        <v>362</v>
      </c>
      <c r="B14" s="2" t="s">
        <v>363</v>
      </c>
      <c r="C14" s="2" t="s">
        <v>635</v>
      </c>
      <c r="D14" s="2" t="s">
        <v>635</v>
      </c>
      <c r="E14" s="2" t="s">
        <v>346</v>
      </c>
      <c r="F14" s="2" t="s">
        <v>329</v>
      </c>
      <c r="G14" s="2" t="s">
        <v>330</v>
      </c>
      <c r="H14" s="2" t="s">
        <v>635</v>
      </c>
      <c r="I14" s="2" t="s">
        <v>158</v>
      </c>
      <c r="J14" s="2" t="s">
        <v>635</v>
      </c>
      <c r="K14" s="2" t="s">
        <v>635</v>
      </c>
      <c r="L14" s="2"/>
      <c r="M14" s="2" t="s">
        <v>635</v>
      </c>
      <c r="N14" s="2" t="s">
        <v>858</v>
      </c>
      <c r="O14" s="2" t="s">
        <v>859</v>
      </c>
      <c r="P14" s="2" t="s">
        <v>635</v>
      </c>
      <c r="Q14" s="2" t="s">
        <v>635</v>
      </c>
      <c r="S14" s="2" t="s">
        <v>635</v>
      </c>
      <c r="T14" s="2" t="s">
        <v>635</v>
      </c>
      <c r="U14" s="2" t="s">
        <v>35</v>
      </c>
      <c r="V14" s="2" t="s">
        <v>635</v>
      </c>
      <c r="W14" s="2" t="s">
        <v>860</v>
      </c>
      <c r="X14" s="2" t="s">
        <v>635</v>
      </c>
      <c r="Y14" s="2" t="s">
        <v>635</v>
      </c>
      <c r="Z14" s="2"/>
      <c r="AA14" s="2" t="s">
        <v>635</v>
      </c>
      <c r="AB14" s="2" t="s">
        <v>635</v>
      </c>
      <c r="AD14" s="2" t="s">
        <v>635</v>
      </c>
      <c r="AE14" s="2" t="s">
        <v>635</v>
      </c>
      <c r="AG14" s="2" t="s">
        <v>635</v>
      </c>
      <c r="AH14" s="2" t="s">
        <v>635</v>
      </c>
      <c r="AJ14" s="2"/>
      <c r="AL14" s="2"/>
      <c r="AN14" s="2" t="s">
        <v>635</v>
      </c>
      <c r="AO14" s="2"/>
      <c r="AP14" s="2"/>
      <c r="AQ14" s="2" t="s">
        <v>635</v>
      </c>
      <c r="AR14" s="2" t="s">
        <v>635</v>
      </c>
      <c r="AS14" s="2" t="s">
        <v>635</v>
      </c>
      <c r="AT14" s="2" t="s">
        <v>635</v>
      </c>
      <c r="AU14" s="2" t="s">
        <v>635</v>
      </c>
      <c r="AV14" s="2" t="s">
        <v>635</v>
      </c>
      <c r="AW14" s="2" t="s">
        <v>635</v>
      </c>
      <c r="AX14" s="2" t="s">
        <v>635</v>
      </c>
      <c r="AY14" s="2" t="s">
        <v>635</v>
      </c>
      <c r="AZ14" s="2" t="s">
        <v>635</v>
      </c>
      <c r="BA14" s="2" t="s">
        <v>635</v>
      </c>
      <c r="BB14" s="2" t="s">
        <v>635</v>
      </c>
      <c r="BC14" s="2" t="s">
        <v>635</v>
      </c>
      <c r="BD14" s="2" t="s">
        <v>635</v>
      </c>
      <c r="BE14" s="2" t="s">
        <v>635</v>
      </c>
      <c r="BF14" s="2" t="s">
        <v>635</v>
      </c>
      <c r="BG14" s="2" t="s">
        <v>635</v>
      </c>
      <c r="BH14" s="2" t="s">
        <v>635</v>
      </c>
      <c r="BI14" s="2" t="s">
        <v>635</v>
      </c>
      <c r="BJ14" s="2" t="s">
        <v>635</v>
      </c>
      <c r="BK14" s="2" t="s">
        <v>635</v>
      </c>
      <c r="BL14" s="2" t="s">
        <v>635</v>
      </c>
      <c r="BM14" s="2" t="s">
        <v>635</v>
      </c>
      <c r="BN14" s="2" t="s">
        <v>635</v>
      </c>
      <c r="BO14" s="2" t="s">
        <v>635</v>
      </c>
      <c r="BP14" s="2" t="s">
        <v>635</v>
      </c>
      <c r="BQ14" s="2" t="s">
        <v>635</v>
      </c>
      <c r="BR14" s="2" t="s">
        <v>635</v>
      </c>
      <c r="BS14" s="2" t="s">
        <v>635</v>
      </c>
      <c r="BT14" s="2" t="s">
        <v>635</v>
      </c>
      <c r="BU14" s="2" t="s">
        <v>635</v>
      </c>
      <c r="BV14" s="2" t="s">
        <v>635</v>
      </c>
      <c r="BW14" s="2" t="s">
        <v>635</v>
      </c>
      <c r="BX14" s="2" t="s">
        <v>635</v>
      </c>
      <c r="BY14" s="2" t="s">
        <v>635</v>
      </c>
      <c r="BZ14" s="2" t="s">
        <v>635</v>
      </c>
      <c r="CA14" s="2" t="s">
        <v>635</v>
      </c>
      <c r="CB14" s="2" t="s">
        <v>635</v>
      </c>
      <c r="CC14" s="2" t="s">
        <v>635</v>
      </c>
      <c r="CD14" s="2" t="s">
        <v>635</v>
      </c>
    </row>
    <row r="15" spans="1:82" x14ac:dyDescent="0.25">
      <c r="A15" s="2" t="s">
        <v>861</v>
      </c>
      <c r="B15" s="2" t="s">
        <v>364</v>
      </c>
      <c r="C15" s="2" t="s">
        <v>826</v>
      </c>
      <c r="D15" s="2" t="s">
        <v>635</v>
      </c>
      <c r="E15" s="2" t="s">
        <v>635</v>
      </c>
      <c r="F15" s="2" t="s">
        <v>635</v>
      </c>
      <c r="G15" s="2" t="s">
        <v>678</v>
      </c>
      <c r="H15" s="2" t="s">
        <v>678</v>
      </c>
      <c r="I15" s="2" t="s">
        <v>635</v>
      </c>
      <c r="J15" s="2" t="s">
        <v>827</v>
      </c>
      <c r="K15" s="2" t="s">
        <v>635</v>
      </c>
      <c r="L15" s="2">
        <v>0</v>
      </c>
      <c r="M15" s="2" t="s">
        <v>827</v>
      </c>
      <c r="N15" s="2" t="s">
        <v>827</v>
      </c>
      <c r="O15" s="2" t="s">
        <v>827</v>
      </c>
      <c r="P15" s="2" t="s">
        <v>635</v>
      </c>
      <c r="Q15" s="2" t="s">
        <v>827</v>
      </c>
      <c r="R15">
        <v>0</v>
      </c>
      <c r="S15" s="2" t="s">
        <v>827</v>
      </c>
      <c r="T15" s="2" t="s">
        <v>827</v>
      </c>
      <c r="U15" s="2" t="s">
        <v>635</v>
      </c>
      <c r="V15" s="2" t="s">
        <v>862</v>
      </c>
      <c r="W15" s="2" t="s">
        <v>11</v>
      </c>
      <c r="X15" s="2" t="s">
        <v>331</v>
      </c>
      <c r="Y15" s="2" t="s">
        <v>635</v>
      </c>
      <c r="Z15" s="2"/>
      <c r="AA15" s="2" t="s">
        <v>635</v>
      </c>
      <c r="AB15" s="2" t="s">
        <v>199</v>
      </c>
      <c r="AC15">
        <v>40</v>
      </c>
      <c r="AD15" s="2" t="s">
        <v>197</v>
      </c>
      <c r="AE15" s="2" t="s">
        <v>638</v>
      </c>
      <c r="AG15" s="2" t="s">
        <v>635</v>
      </c>
      <c r="AH15" s="2" t="s">
        <v>863</v>
      </c>
      <c r="AJ15" s="2"/>
      <c r="AL15" s="2"/>
      <c r="AN15" s="2" t="s">
        <v>635</v>
      </c>
      <c r="AO15" s="2"/>
      <c r="AP15" s="2"/>
      <c r="AQ15" s="2" t="s">
        <v>635</v>
      </c>
      <c r="AR15" s="2" t="s">
        <v>635</v>
      </c>
      <c r="AS15" s="2" t="s">
        <v>635</v>
      </c>
      <c r="AT15" s="2" t="s">
        <v>635</v>
      </c>
      <c r="AU15" s="2" t="s">
        <v>635</v>
      </c>
      <c r="AV15" s="2" t="s">
        <v>635</v>
      </c>
      <c r="AW15" s="2" t="s">
        <v>635</v>
      </c>
      <c r="AX15" s="2" t="s">
        <v>635</v>
      </c>
      <c r="AY15" s="2" t="s">
        <v>635</v>
      </c>
      <c r="AZ15" s="2" t="s">
        <v>635</v>
      </c>
      <c r="BA15" s="2" t="s">
        <v>635</v>
      </c>
      <c r="BB15" s="2" t="s">
        <v>635</v>
      </c>
      <c r="BC15" s="2" t="s">
        <v>635</v>
      </c>
      <c r="BD15" s="2" t="s">
        <v>635</v>
      </c>
      <c r="BE15" s="2" t="s">
        <v>635</v>
      </c>
      <c r="BF15" s="2" t="s">
        <v>635</v>
      </c>
      <c r="BG15" s="2" t="s">
        <v>635</v>
      </c>
      <c r="BH15" s="2" t="s">
        <v>635</v>
      </c>
      <c r="BI15" s="2" t="s">
        <v>635</v>
      </c>
      <c r="BJ15" s="2" t="s">
        <v>635</v>
      </c>
      <c r="BK15" s="2" t="s">
        <v>635</v>
      </c>
      <c r="BL15" s="2" t="s">
        <v>635</v>
      </c>
      <c r="BM15" s="2" t="s">
        <v>635</v>
      </c>
      <c r="BN15" s="2" t="s">
        <v>635</v>
      </c>
      <c r="BO15" s="2" t="s">
        <v>635</v>
      </c>
      <c r="BP15" s="2" t="s">
        <v>635</v>
      </c>
      <c r="BQ15" s="2" t="s">
        <v>635</v>
      </c>
      <c r="BR15" s="2" t="s">
        <v>635</v>
      </c>
      <c r="BS15" s="2" t="s">
        <v>635</v>
      </c>
      <c r="BT15" s="2" t="s">
        <v>635</v>
      </c>
      <c r="BU15" s="2" t="s">
        <v>635</v>
      </c>
      <c r="BV15" s="2" t="s">
        <v>635</v>
      </c>
      <c r="BW15" s="2" t="s">
        <v>635</v>
      </c>
      <c r="BX15" s="2" t="s">
        <v>635</v>
      </c>
      <c r="BY15" s="2" t="s">
        <v>635</v>
      </c>
      <c r="BZ15" s="2" t="s">
        <v>635</v>
      </c>
      <c r="CA15" s="2" t="s">
        <v>635</v>
      </c>
      <c r="CB15" s="2" t="s">
        <v>635</v>
      </c>
      <c r="CC15" s="2" t="s">
        <v>635</v>
      </c>
      <c r="CD15" s="2" t="s">
        <v>635</v>
      </c>
    </row>
    <row r="16" spans="1:82" x14ac:dyDescent="0.25">
      <c r="A16" s="2" t="s">
        <v>184</v>
      </c>
      <c r="B16" s="2" t="s">
        <v>635</v>
      </c>
      <c r="C16" s="2" t="s">
        <v>635</v>
      </c>
      <c r="D16" s="2" t="s">
        <v>635</v>
      </c>
      <c r="E16" s="2" t="s">
        <v>635</v>
      </c>
      <c r="F16" s="2" t="s">
        <v>635</v>
      </c>
      <c r="G16" s="2" t="s">
        <v>635</v>
      </c>
      <c r="H16" s="2" t="s">
        <v>635</v>
      </c>
      <c r="I16" s="2" t="s">
        <v>635</v>
      </c>
      <c r="J16" s="2" t="s">
        <v>635</v>
      </c>
      <c r="K16" s="2" t="s">
        <v>635</v>
      </c>
      <c r="L16" s="2"/>
      <c r="M16" s="2" t="s">
        <v>635</v>
      </c>
      <c r="N16" s="2" t="s">
        <v>635</v>
      </c>
      <c r="O16" s="2" t="s">
        <v>635</v>
      </c>
      <c r="P16" s="2" t="s">
        <v>635</v>
      </c>
      <c r="Q16" s="2" t="s">
        <v>635</v>
      </c>
      <c r="S16" s="2" t="s">
        <v>635</v>
      </c>
      <c r="T16" s="2" t="s">
        <v>635</v>
      </c>
      <c r="U16" s="2" t="s">
        <v>635</v>
      </c>
      <c r="V16" s="2" t="s">
        <v>635</v>
      </c>
      <c r="W16" s="2" t="s">
        <v>635</v>
      </c>
      <c r="X16" s="2" t="s">
        <v>635</v>
      </c>
      <c r="Y16" s="2" t="s">
        <v>635</v>
      </c>
      <c r="Z16" s="2"/>
      <c r="AA16" s="2" t="s">
        <v>635</v>
      </c>
      <c r="AB16" s="2" t="s">
        <v>635</v>
      </c>
      <c r="AD16" s="2" t="s">
        <v>635</v>
      </c>
      <c r="AE16" s="2" t="s">
        <v>635</v>
      </c>
      <c r="AG16" s="2" t="s">
        <v>635</v>
      </c>
      <c r="AH16" s="2" t="s">
        <v>635</v>
      </c>
      <c r="AJ16" s="2"/>
      <c r="AL16" s="2"/>
      <c r="AN16" s="2" t="s">
        <v>635</v>
      </c>
      <c r="AO16" s="2"/>
      <c r="AP16" s="2"/>
      <c r="AQ16" s="2" t="s">
        <v>635</v>
      </c>
      <c r="AR16" s="2" t="s">
        <v>635</v>
      </c>
      <c r="AS16" s="2" t="s">
        <v>635</v>
      </c>
      <c r="AT16" s="2" t="s">
        <v>635</v>
      </c>
      <c r="AU16" s="2" t="s">
        <v>635</v>
      </c>
      <c r="AV16" s="2" t="s">
        <v>635</v>
      </c>
      <c r="AW16" s="2" t="s">
        <v>635</v>
      </c>
      <c r="AX16" s="2" t="s">
        <v>635</v>
      </c>
      <c r="AY16" s="2" t="s">
        <v>635</v>
      </c>
      <c r="AZ16" s="2" t="s">
        <v>635</v>
      </c>
      <c r="BA16" s="2" t="s">
        <v>635</v>
      </c>
      <c r="BB16" s="2" t="s">
        <v>635</v>
      </c>
      <c r="BC16" s="2" t="s">
        <v>635</v>
      </c>
      <c r="BD16" s="2" t="s">
        <v>635</v>
      </c>
      <c r="BE16" s="2" t="s">
        <v>635</v>
      </c>
      <c r="BF16" s="2" t="s">
        <v>635</v>
      </c>
      <c r="BG16" s="2" t="s">
        <v>635</v>
      </c>
      <c r="BH16" s="2" t="s">
        <v>635</v>
      </c>
      <c r="BI16" s="2" t="s">
        <v>635</v>
      </c>
      <c r="BJ16" s="2" t="s">
        <v>635</v>
      </c>
      <c r="BK16" s="2" t="s">
        <v>635</v>
      </c>
      <c r="BL16" s="2" t="s">
        <v>635</v>
      </c>
      <c r="BM16" s="2" t="s">
        <v>635</v>
      </c>
      <c r="BN16" s="2" t="s">
        <v>635</v>
      </c>
      <c r="BO16" s="2" t="s">
        <v>635</v>
      </c>
      <c r="BP16" s="2" t="s">
        <v>635</v>
      </c>
      <c r="BQ16" s="2" t="s">
        <v>635</v>
      </c>
      <c r="BR16" s="2" t="s">
        <v>635</v>
      </c>
      <c r="BS16" s="2" t="s">
        <v>635</v>
      </c>
      <c r="BT16" s="2" t="s">
        <v>635</v>
      </c>
      <c r="BU16" s="2" t="s">
        <v>635</v>
      </c>
      <c r="BV16" s="2" t="s">
        <v>635</v>
      </c>
      <c r="BW16" s="2" t="s">
        <v>635</v>
      </c>
      <c r="BX16" s="2" t="s">
        <v>635</v>
      </c>
      <c r="BY16" s="2" t="s">
        <v>635</v>
      </c>
      <c r="BZ16" s="2" t="s">
        <v>635</v>
      </c>
      <c r="CA16" s="2" t="s">
        <v>635</v>
      </c>
      <c r="CB16" s="2" t="s">
        <v>635</v>
      </c>
      <c r="CC16" s="2" t="s">
        <v>635</v>
      </c>
      <c r="CD16" s="2" t="s">
        <v>635</v>
      </c>
    </row>
    <row r="17" spans="1:82" x14ac:dyDescent="0.25">
      <c r="A17" s="2" t="s">
        <v>864</v>
      </c>
      <c r="B17" s="2" t="s">
        <v>635</v>
      </c>
      <c r="C17" s="2" t="s">
        <v>865</v>
      </c>
      <c r="D17" s="2" t="s">
        <v>635</v>
      </c>
      <c r="E17" s="2" t="s">
        <v>635</v>
      </c>
      <c r="F17" s="2" t="s">
        <v>635</v>
      </c>
      <c r="G17" s="2" t="s">
        <v>198</v>
      </c>
      <c r="H17" s="2" t="s">
        <v>635</v>
      </c>
      <c r="I17" s="2" t="s">
        <v>635</v>
      </c>
      <c r="J17" s="2" t="s">
        <v>104</v>
      </c>
      <c r="K17" s="2" t="s">
        <v>635</v>
      </c>
      <c r="L17" s="2"/>
      <c r="M17" s="2" t="s">
        <v>635</v>
      </c>
      <c r="N17" s="2" t="s">
        <v>198</v>
      </c>
      <c r="O17" s="2" t="s">
        <v>635</v>
      </c>
      <c r="P17" s="2" t="s">
        <v>635</v>
      </c>
      <c r="Q17" s="2" t="s">
        <v>866</v>
      </c>
      <c r="S17" s="2" t="s">
        <v>200</v>
      </c>
      <c r="T17" s="2" t="s">
        <v>635</v>
      </c>
      <c r="U17" s="2" t="s">
        <v>863</v>
      </c>
      <c r="V17" s="2" t="s">
        <v>635</v>
      </c>
      <c r="W17" s="2" t="s">
        <v>635</v>
      </c>
      <c r="X17" s="2" t="s">
        <v>635</v>
      </c>
      <c r="Y17" s="2" t="s">
        <v>635</v>
      </c>
      <c r="Z17" s="2"/>
      <c r="AA17" s="2" t="s">
        <v>635</v>
      </c>
      <c r="AB17" s="2" t="s">
        <v>635</v>
      </c>
      <c r="AD17" s="2" t="s">
        <v>635</v>
      </c>
      <c r="AE17" s="2" t="s">
        <v>635</v>
      </c>
      <c r="AG17" s="2" t="s">
        <v>635</v>
      </c>
      <c r="AH17" s="2" t="s">
        <v>635</v>
      </c>
      <c r="AJ17" s="2"/>
      <c r="AL17" s="2"/>
      <c r="AN17" s="2" t="s">
        <v>635</v>
      </c>
      <c r="AO17" s="2"/>
      <c r="AP17" s="2"/>
      <c r="AQ17" s="2" t="s">
        <v>635</v>
      </c>
      <c r="AR17" s="2" t="s">
        <v>635</v>
      </c>
      <c r="AS17" s="2" t="s">
        <v>635</v>
      </c>
      <c r="AT17" s="2" t="s">
        <v>635</v>
      </c>
      <c r="AU17" s="2" t="s">
        <v>635</v>
      </c>
      <c r="AV17" s="2" t="s">
        <v>635</v>
      </c>
      <c r="AW17" s="2" t="s">
        <v>635</v>
      </c>
      <c r="AX17" s="2" t="s">
        <v>635</v>
      </c>
      <c r="AY17" s="2" t="s">
        <v>635</v>
      </c>
      <c r="AZ17" s="2" t="s">
        <v>635</v>
      </c>
      <c r="BA17" s="2" t="s">
        <v>635</v>
      </c>
      <c r="BB17" s="2" t="s">
        <v>635</v>
      </c>
      <c r="BC17" s="2" t="s">
        <v>635</v>
      </c>
      <c r="BD17" s="2" t="s">
        <v>635</v>
      </c>
      <c r="BE17" s="2" t="s">
        <v>635</v>
      </c>
      <c r="BF17" s="2" t="s">
        <v>635</v>
      </c>
      <c r="BG17" s="2" t="s">
        <v>635</v>
      </c>
      <c r="BH17" s="2" t="s">
        <v>635</v>
      </c>
      <c r="BI17" s="2" t="s">
        <v>635</v>
      </c>
      <c r="BJ17" s="2" t="s">
        <v>635</v>
      </c>
      <c r="BK17" s="2" t="s">
        <v>635</v>
      </c>
      <c r="BL17" s="2" t="s">
        <v>635</v>
      </c>
      <c r="BM17" s="2" t="s">
        <v>635</v>
      </c>
      <c r="BN17" s="2" t="s">
        <v>635</v>
      </c>
      <c r="BO17" s="2" t="s">
        <v>635</v>
      </c>
      <c r="BP17" s="2" t="s">
        <v>635</v>
      </c>
      <c r="BQ17" s="2" t="s">
        <v>635</v>
      </c>
      <c r="BR17" s="2" t="s">
        <v>635</v>
      </c>
      <c r="BS17" s="2" t="s">
        <v>635</v>
      </c>
      <c r="BT17" s="2" t="s">
        <v>635</v>
      </c>
      <c r="BU17" s="2" t="s">
        <v>635</v>
      </c>
      <c r="BV17" s="2" t="s">
        <v>635</v>
      </c>
      <c r="BW17" s="2" t="s">
        <v>635</v>
      </c>
      <c r="BX17" s="2" t="s">
        <v>635</v>
      </c>
      <c r="BY17" s="2" t="s">
        <v>635</v>
      </c>
      <c r="BZ17" s="2" t="s">
        <v>635</v>
      </c>
      <c r="CA17" s="2" t="s">
        <v>635</v>
      </c>
      <c r="CB17" s="2" t="s">
        <v>635</v>
      </c>
      <c r="CC17" s="2" t="s">
        <v>635</v>
      </c>
      <c r="CD17" s="2" t="s">
        <v>635</v>
      </c>
    </row>
    <row r="18" spans="1:82" x14ac:dyDescent="0.25">
      <c r="A18" s="2" t="s">
        <v>184</v>
      </c>
      <c r="B18" s="2" t="s">
        <v>635</v>
      </c>
      <c r="C18" s="2" t="s">
        <v>635</v>
      </c>
      <c r="D18" s="2" t="s">
        <v>635</v>
      </c>
      <c r="E18" s="2" t="s">
        <v>635</v>
      </c>
      <c r="F18" s="2" t="s">
        <v>635</v>
      </c>
      <c r="G18" s="2" t="s">
        <v>635</v>
      </c>
      <c r="H18" s="2" t="s">
        <v>635</v>
      </c>
      <c r="I18" s="2" t="s">
        <v>635</v>
      </c>
      <c r="J18" s="2" t="s">
        <v>635</v>
      </c>
      <c r="K18" s="2" t="s">
        <v>635</v>
      </c>
      <c r="L18" s="2"/>
      <c r="M18" s="2" t="s">
        <v>635</v>
      </c>
      <c r="N18" s="2" t="s">
        <v>635</v>
      </c>
      <c r="O18" s="2" t="s">
        <v>635</v>
      </c>
      <c r="P18" s="2" t="s">
        <v>635</v>
      </c>
      <c r="Q18" s="2" t="s">
        <v>635</v>
      </c>
      <c r="S18" s="2" t="s">
        <v>635</v>
      </c>
      <c r="T18" s="2" t="s">
        <v>635</v>
      </c>
      <c r="U18" s="2" t="s">
        <v>635</v>
      </c>
      <c r="V18" s="2" t="s">
        <v>635</v>
      </c>
      <c r="W18" s="2" t="s">
        <v>635</v>
      </c>
      <c r="X18" s="2" t="s">
        <v>635</v>
      </c>
      <c r="Y18" s="2" t="s">
        <v>635</v>
      </c>
      <c r="Z18" s="2"/>
      <c r="AA18" s="2" t="s">
        <v>635</v>
      </c>
      <c r="AB18" s="2" t="s">
        <v>635</v>
      </c>
      <c r="AD18" s="2" t="s">
        <v>635</v>
      </c>
      <c r="AE18" s="2" t="s">
        <v>635</v>
      </c>
      <c r="AG18" s="2" t="s">
        <v>635</v>
      </c>
      <c r="AH18" s="2" t="s">
        <v>635</v>
      </c>
      <c r="AJ18" s="2"/>
      <c r="AL18" s="2"/>
      <c r="AN18" s="2" t="s">
        <v>635</v>
      </c>
      <c r="AO18" s="2"/>
      <c r="AP18" s="2"/>
      <c r="AQ18" s="2" t="s">
        <v>635</v>
      </c>
      <c r="AR18" s="2" t="s">
        <v>635</v>
      </c>
      <c r="AS18" s="2" t="s">
        <v>635</v>
      </c>
      <c r="AT18" s="2" t="s">
        <v>635</v>
      </c>
      <c r="AU18" s="2" t="s">
        <v>635</v>
      </c>
      <c r="AV18" s="2" t="s">
        <v>635</v>
      </c>
      <c r="AW18" s="2" t="s">
        <v>635</v>
      </c>
      <c r="AX18" s="2" t="s">
        <v>635</v>
      </c>
      <c r="AY18" s="2" t="s">
        <v>635</v>
      </c>
      <c r="AZ18" s="2" t="s">
        <v>635</v>
      </c>
      <c r="BA18" s="2" t="s">
        <v>635</v>
      </c>
      <c r="BB18" s="2" t="s">
        <v>635</v>
      </c>
      <c r="BC18" s="2" t="s">
        <v>635</v>
      </c>
      <c r="BD18" s="2" t="s">
        <v>635</v>
      </c>
      <c r="BE18" s="2" t="s">
        <v>635</v>
      </c>
      <c r="BF18" s="2" t="s">
        <v>635</v>
      </c>
      <c r="BG18" s="2" t="s">
        <v>635</v>
      </c>
      <c r="BH18" s="2" t="s">
        <v>635</v>
      </c>
      <c r="BI18" s="2" t="s">
        <v>635</v>
      </c>
      <c r="BJ18" s="2" t="s">
        <v>635</v>
      </c>
      <c r="BK18" s="2" t="s">
        <v>635</v>
      </c>
      <c r="BL18" s="2" t="s">
        <v>635</v>
      </c>
      <c r="BM18" s="2" t="s">
        <v>635</v>
      </c>
      <c r="BN18" s="2" t="s">
        <v>635</v>
      </c>
      <c r="BO18" s="2" t="s">
        <v>635</v>
      </c>
      <c r="BP18" s="2" t="s">
        <v>635</v>
      </c>
      <c r="BQ18" s="2" t="s">
        <v>635</v>
      </c>
      <c r="BR18" s="2" t="s">
        <v>635</v>
      </c>
      <c r="BS18" s="2" t="s">
        <v>635</v>
      </c>
      <c r="BT18" s="2" t="s">
        <v>635</v>
      </c>
      <c r="BU18" s="2" t="s">
        <v>635</v>
      </c>
      <c r="BV18" s="2" t="s">
        <v>635</v>
      </c>
      <c r="BW18" s="2" t="s">
        <v>635</v>
      </c>
      <c r="BX18" s="2" t="s">
        <v>635</v>
      </c>
      <c r="BY18" s="2" t="s">
        <v>635</v>
      </c>
      <c r="BZ18" s="2" t="s">
        <v>635</v>
      </c>
      <c r="CA18" s="2" t="s">
        <v>635</v>
      </c>
      <c r="CB18" s="2" t="s">
        <v>635</v>
      </c>
      <c r="CC18" s="2" t="s">
        <v>635</v>
      </c>
      <c r="CD18" s="2" t="s">
        <v>635</v>
      </c>
    </row>
    <row r="19" spans="1:82" x14ac:dyDescent="0.25">
      <c r="A19" s="2" t="s">
        <v>867</v>
      </c>
      <c r="B19" s="2" t="s">
        <v>837</v>
      </c>
      <c r="C19" s="2" t="s">
        <v>201</v>
      </c>
      <c r="D19" s="2" t="s">
        <v>6</v>
      </c>
      <c r="E19" s="2" t="s">
        <v>202</v>
      </c>
      <c r="F19" s="2" t="s">
        <v>635</v>
      </c>
      <c r="G19" s="2" t="s">
        <v>635</v>
      </c>
      <c r="H19" s="2" t="s">
        <v>635</v>
      </c>
      <c r="I19" s="2" t="s">
        <v>635</v>
      </c>
      <c r="J19" s="2" t="s">
        <v>635</v>
      </c>
      <c r="K19" s="2" t="s">
        <v>635</v>
      </c>
      <c r="L19" s="2"/>
      <c r="M19" s="2" t="s">
        <v>635</v>
      </c>
      <c r="N19" s="2" t="s">
        <v>635</v>
      </c>
      <c r="O19" s="2" t="s">
        <v>635</v>
      </c>
      <c r="P19" s="2" t="s">
        <v>635</v>
      </c>
      <c r="Q19" s="2" t="s">
        <v>635</v>
      </c>
      <c r="S19" s="2" t="s">
        <v>635</v>
      </c>
      <c r="T19" s="2" t="s">
        <v>635</v>
      </c>
      <c r="U19" s="2" t="s">
        <v>635</v>
      </c>
      <c r="V19" s="2" t="s">
        <v>635</v>
      </c>
      <c r="W19" s="2" t="s">
        <v>635</v>
      </c>
      <c r="X19" s="2" t="s">
        <v>635</v>
      </c>
      <c r="Y19" s="2" t="s">
        <v>635</v>
      </c>
      <c r="Z19" s="2"/>
      <c r="AA19" s="2" t="s">
        <v>635</v>
      </c>
      <c r="AB19" s="2" t="s">
        <v>635</v>
      </c>
      <c r="AD19" s="2" t="s">
        <v>635</v>
      </c>
      <c r="AE19" s="2" t="s">
        <v>635</v>
      </c>
      <c r="AG19" s="2" t="s">
        <v>635</v>
      </c>
      <c r="AH19" s="2" t="s">
        <v>635</v>
      </c>
      <c r="AJ19" s="2"/>
      <c r="AL19" s="2"/>
      <c r="AN19" s="2" t="s">
        <v>635</v>
      </c>
      <c r="AO19" s="2"/>
      <c r="AP19" s="2"/>
      <c r="AQ19" s="2" t="s">
        <v>635</v>
      </c>
      <c r="AR19" s="2" t="s">
        <v>635</v>
      </c>
      <c r="AS19" s="2" t="s">
        <v>635</v>
      </c>
      <c r="AT19" s="2" t="s">
        <v>635</v>
      </c>
      <c r="AU19" s="2" t="s">
        <v>635</v>
      </c>
      <c r="AV19" s="2" t="s">
        <v>635</v>
      </c>
      <c r="AW19" s="2" t="s">
        <v>635</v>
      </c>
      <c r="AX19" s="2" t="s">
        <v>635</v>
      </c>
      <c r="AY19" s="2" t="s">
        <v>635</v>
      </c>
      <c r="AZ19" s="2" t="s">
        <v>635</v>
      </c>
      <c r="BA19" s="2" t="s">
        <v>635</v>
      </c>
      <c r="BB19" s="2" t="s">
        <v>635</v>
      </c>
      <c r="BC19" s="2" t="s">
        <v>635</v>
      </c>
      <c r="BD19" s="2" t="s">
        <v>635</v>
      </c>
      <c r="BE19" s="2" t="s">
        <v>635</v>
      </c>
      <c r="BF19" s="2" t="s">
        <v>635</v>
      </c>
      <c r="BG19" s="2" t="s">
        <v>635</v>
      </c>
      <c r="BH19" s="2" t="s">
        <v>635</v>
      </c>
      <c r="BI19" s="2" t="s">
        <v>635</v>
      </c>
      <c r="BJ19" s="2" t="s">
        <v>635</v>
      </c>
      <c r="BK19" s="2" t="s">
        <v>635</v>
      </c>
      <c r="BL19" s="2" t="s">
        <v>635</v>
      </c>
      <c r="BM19" s="2" t="s">
        <v>635</v>
      </c>
      <c r="BN19" s="2" t="s">
        <v>635</v>
      </c>
      <c r="BO19" s="2" t="s">
        <v>635</v>
      </c>
      <c r="BP19" s="2" t="s">
        <v>635</v>
      </c>
      <c r="BQ19" s="2" t="s">
        <v>635</v>
      </c>
      <c r="BR19" s="2" t="s">
        <v>635</v>
      </c>
      <c r="BS19" s="2" t="s">
        <v>635</v>
      </c>
      <c r="BT19" s="2" t="s">
        <v>635</v>
      </c>
      <c r="BU19" s="2" t="s">
        <v>635</v>
      </c>
      <c r="BV19" s="2" t="s">
        <v>635</v>
      </c>
      <c r="BW19" s="2" t="s">
        <v>635</v>
      </c>
      <c r="BX19" s="2" t="s">
        <v>635</v>
      </c>
      <c r="BY19" s="2" t="s">
        <v>635</v>
      </c>
      <c r="BZ19" s="2" t="s">
        <v>635</v>
      </c>
      <c r="CA19" s="2" t="s">
        <v>635</v>
      </c>
      <c r="CB19" s="2" t="s">
        <v>635</v>
      </c>
      <c r="CC19" s="2" t="s">
        <v>635</v>
      </c>
      <c r="CD19" s="2" t="s">
        <v>635</v>
      </c>
    </row>
    <row r="20" spans="1:82" x14ac:dyDescent="0.25">
      <c r="A20" s="2" t="s">
        <v>365</v>
      </c>
      <c r="B20" s="2" t="s">
        <v>366</v>
      </c>
      <c r="C20" s="2" t="s">
        <v>635</v>
      </c>
      <c r="D20" s="2" t="s">
        <v>635</v>
      </c>
      <c r="E20" s="2" t="s">
        <v>346</v>
      </c>
      <c r="F20" s="2" t="s">
        <v>329</v>
      </c>
      <c r="G20" s="2" t="s">
        <v>330</v>
      </c>
      <c r="H20" s="2" t="s">
        <v>635</v>
      </c>
      <c r="I20" s="2" t="s">
        <v>7</v>
      </c>
      <c r="J20" s="2" t="s">
        <v>635</v>
      </c>
      <c r="K20" s="2" t="s">
        <v>7</v>
      </c>
      <c r="L20" s="2"/>
      <c r="M20" s="2" t="s">
        <v>635</v>
      </c>
      <c r="N20" s="2" t="s">
        <v>868</v>
      </c>
      <c r="O20" s="2" t="s">
        <v>859</v>
      </c>
      <c r="P20" s="2" t="s">
        <v>635</v>
      </c>
      <c r="Q20" s="2" t="s">
        <v>635</v>
      </c>
      <c r="S20" s="2" t="s">
        <v>635</v>
      </c>
      <c r="T20" s="2" t="s">
        <v>635</v>
      </c>
      <c r="U20" s="2" t="s">
        <v>35</v>
      </c>
      <c r="V20" s="2" t="s">
        <v>635</v>
      </c>
      <c r="W20" s="2" t="s">
        <v>635</v>
      </c>
      <c r="X20" s="2" t="s">
        <v>635</v>
      </c>
      <c r="Y20" s="2" t="s">
        <v>869</v>
      </c>
      <c r="Z20" s="2"/>
      <c r="AA20" s="2" t="s">
        <v>635</v>
      </c>
      <c r="AB20" s="2" t="s">
        <v>635</v>
      </c>
      <c r="AC20">
        <v>1</v>
      </c>
      <c r="AD20" s="2" t="s">
        <v>678</v>
      </c>
      <c r="AE20" s="2" t="s">
        <v>635</v>
      </c>
      <c r="AF20">
        <v>0</v>
      </c>
      <c r="AG20" s="2" t="s">
        <v>635</v>
      </c>
      <c r="AH20" s="2" t="s">
        <v>827</v>
      </c>
      <c r="AI20">
        <v>0</v>
      </c>
      <c r="AJ20" s="2">
        <v>0</v>
      </c>
      <c r="AK20">
        <v>0</v>
      </c>
      <c r="AL20" s="2"/>
      <c r="AM20">
        <v>0</v>
      </c>
      <c r="AN20" s="2" t="s">
        <v>827</v>
      </c>
      <c r="AO20" s="2">
        <v>0</v>
      </c>
      <c r="AP20" s="2">
        <v>0</v>
      </c>
      <c r="AQ20" s="2" t="s">
        <v>635</v>
      </c>
      <c r="AR20" s="2" t="s">
        <v>247</v>
      </c>
      <c r="AS20" s="2" t="s">
        <v>11</v>
      </c>
      <c r="AT20" s="2" t="s">
        <v>331</v>
      </c>
      <c r="AU20" s="2" t="s">
        <v>635</v>
      </c>
      <c r="AV20" s="2" t="s">
        <v>635</v>
      </c>
      <c r="AW20" s="2" t="s">
        <v>635</v>
      </c>
      <c r="AX20" s="2" t="s">
        <v>244</v>
      </c>
      <c r="AY20" s="2" t="s">
        <v>835</v>
      </c>
      <c r="AZ20" s="2" t="s">
        <v>242</v>
      </c>
      <c r="BA20" s="2" t="s">
        <v>639</v>
      </c>
      <c r="BB20" s="2" t="s">
        <v>635</v>
      </c>
      <c r="BC20" s="2" t="s">
        <v>635</v>
      </c>
      <c r="BD20" s="2" t="s">
        <v>870</v>
      </c>
      <c r="BE20" s="2" t="s">
        <v>635</v>
      </c>
      <c r="BF20" s="2" t="s">
        <v>635</v>
      </c>
      <c r="BG20" s="2" t="s">
        <v>635</v>
      </c>
      <c r="BH20" s="2" t="s">
        <v>635</v>
      </c>
      <c r="BI20" s="2" t="s">
        <v>635</v>
      </c>
      <c r="BJ20" s="2" t="s">
        <v>635</v>
      </c>
      <c r="BK20" s="2" t="s">
        <v>635</v>
      </c>
      <c r="BL20" s="2" t="s">
        <v>635</v>
      </c>
      <c r="BM20" s="2" t="s">
        <v>635</v>
      </c>
      <c r="BN20" s="2" t="s">
        <v>635</v>
      </c>
      <c r="BO20" s="2" t="s">
        <v>635</v>
      </c>
      <c r="BP20" s="2" t="s">
        <v>635</v>
      </c>
      <c r="BQ20" s="2" t="s">
        <v>635</v>
      </c>
      <c r="BR20" s="2" t="s">
        <v>635</v>
      </c>
      <c r="BS20" s="2" t="s">
        <v>635</v>
      </c>
      <c r="BT20" s="2" t="s">
        <v>635</v>
      </c>
      <c r="BU20" s="2" t="s">
        <v>635</v>
      </c>
      <c r="BV20" s="2" t="s">
        <v>635</v>
      </c>
      <c r="BW20" s="2" t="s">
        <v>635</v>
      </c>
      <c r="BX20" s="2" t="s">
        <v>635</v>
      </c>
      <c r="BY20" s="2" t="s">
        <v>635</v>
      </c>
      <c r="BZ20" s="2" t="s">
        <v>635</v>
      </c>
      <c r="CA20" s="2" t="s">
        <v>635</v>
      </c>
      <c r="CB20" s="2" t="s">
        <v>635</v>
      </c>
      <c r="CC20" s="2" t="s">
        <v>635</v>
      </c>
      <c r="CD20" s="2" t="s">
        <v>635</v>
      </c>
    </row>
    <row r="21" spans="1:82" x14ac:dyDescent="0.25">
      <c r="A21" s="2" t="s">
        <v>871</v>
      </c>
      <c r="B21" s="2" t="s">
        <v>635</v>
      </c>
      <c r="C21" s="2" t="s">
        <v>635</v>
      </c>
      <c r="D21" s="2" t="s">
        <v>635</v>
      </c>
      <c r="E21" s="2" t="s">
        <v>635</v>
      </c>
      <c r="F21" s="2" t="s">
        <v>635</v>
      </c>
      <c r="G21" s="2" t="s">
        <v>635</v>
      </c>
      <c r="H21" s="2" t="s">
        <v>635</v>
      </c>
      <c r="I21" s="2" t="s">
        <v>635</v>
      </c>
      <c r="J21" s="2" t="s">
        <v>635</v>
      </c>
      <c r="K21" s="2" t="s">
        <v>635</v>
      </c>
      <c r="L21" s="2"/>
      <c r="M21" s="2" t="s">
        <v>635</v>
      </c>
      <c r="N21" s="2" t="s">
        <v>635</v>
      </c>
      <c r="O21" s="2" t="s">
        <v>635</v>
      </c>
      <c r="P21" s="2" t="s">
        <v>635</v>
      </c>
      <c r="Q21" s="2" t="s">
        <v>635</v>
      </c>
      <c r="S21" s="2" t="s">
        <v>635</v>
      </c>
      <c r="T21" s="2" t="s">
        <v>635</v>
      </c>
      <c r="U21" s="2" t="s">
        <v>635</v>
      </c>
      <c r="V21" s="2" t="s">
        <v>635</v>
      </c>
      <c r="W21" s="2" t="s">
        <v>635</v>
      </c>
      <c r="X21" s="2" t="s">
        <v>635</v>
      </c>
      <c r="Y21" s="2" t="s">
        <v>635</v>
      </c>
      <c r="Z21" s="2"/>
      <c r="AA21" s="2" t="s">
        <v>635</v>
      </c>
      <c r="AB21" s="2" t="s">
        <v>635</v>
      </c>
      <c r="AD21" s="2" t="s">
        <v>635</v>
      </c>
      <c r="AE21" s="2" t="s">
        <v>635</v>
      </c>
      <c r="AG21" s="2" t="s">
        <v>635</v>
      </c>
      <c r="AH21" s="2" t="s">
        <v>635</v>
      </c>
      <c r="AJ21" s="2"/>
      <c r="AL21" s="2"/>
      <c r="AN21" s="2" t="s">
        <v>635</v>
      </c>
      <c r="AO21" s="2"/>
      <c r="AP21" s="2"/>
      <c r="AQ21" s="2" t="s">
        <v>635</v>
      </c>
      <c r="AR21" s="2" t="s">
        <v>635</v>
      </c>
      <c r="AS21" s="2" t="s">
        <v>635</v>
      </c>
      <c r="AT21" s="2" t="s">
        <v>635</v>
      </c>
      <c r="AU21" s="2" t="s">
        <v>635</v>
      </c>
      <c r="AV21" s="2" t="s">
        <v>635</v>
      </c>
      <c r="AW21" s="2" t="s">
        <v>635</v>
      </c>
      <c r="AX21" s="2" t="s">
        <v>635</v>
      </c>
      <c r="AY21" s="2" t="s">
        <v>635</v>
      </c>
      <c r="AZ21" s="2" t="s">
        <v>635</v>
      </c>
      <c r="BA21" s="2" t="s">
        <v>635</v>
      </c>
      <c r="BB21" s="2" t="s">
        <v>635</v>
      </c>
      <c r="BC21" s="2" t="s">
        <v>635</v>
      </c>
      <c r="BD21" s="2" t="s">
        <v>635</v>
      </c>
      <c r="BE21" s="2" t="s">
        <v>635</v>
      </c>
      <c r="BF21" s="2" t="s">
        <v>635</v>
      </c>
      <c r="BG21" s="2" t="s">
        <v>635</v>
      </c>
      <c r="BH21" s="2" t="s">
        <v>635</v>
      </c>
      <c r="BI21" s="2" t="s">
        <v>635</v>
      </c>
      <c r="BJ21" s="2" t="s">
        <v>635</v>
      </c>
      <c r="BK21" s="2" t="s">
        <v>635</v>
      </c>
      <c r="BL21" s="2" t="s">
        <v>635</v>
      </c>
      <c r="BM21" s="2" t="s">
        <v>635</v>
      </c>
      <c r="BN21" s="2" t="s">
        <v>635</v>
      </c>
      <c r="BO21" s="2" t="s">
        <v>635</v>
      </c>
      <c r="BP21" s="2" t="s">
        <v>635</v>
      </c>
      <c r="BQ21" s="2" t="s">
        <v>635</v>
      </c>
      <c r="BR21" s="2" t="s">
        <v>635</v>
      </c>
      <c r="BS21" s="2" t="s">
        <v>635</v>
      </c>
      <c r="BT21" s="2" t="s">
        <v>635</v>
      </c>
      <c r="BU21" s="2" t="s">
        <v>635</v>
      </c>
      <c r="BV21" s="2" t="s">
        <v>635</v>
      </c>
      <c r="BW21" s="2" t="s">
        <v>635</v>
      </c>
      <c r="BX21" s="2" t="s">
        <v>635</v>
      </c>
      <c r="BY21" s="2" t="s">
        <v>635</v>
      </c>
      <c r="BZ21" s="2" t="s">
        <v>635</v>
      </c>
      <c r="CA21" s="2" t="s">
        <v>635</v>
      </c>
      <c r="CB21" s="2" t="s">
        <v>635</v>
      </c>
      <c r="CC21" s="2" t="s">
        <v>635</v>
      </c>
      <c r="CD21" s="2" t="s">
        <v>635</v>
      </c>
    </row>
    <row r="22" spans="1:82" x14ac:dyDescent="0.25">
      <c r="A22" s="2" t="s">
        <v>872</v>
      </c>
      <c r="B22" s="2" t="s">
        <v>635</v>
      </c>
      <c r="C22" s="2" t="s">
        <v>671</v>
      </c>
      <c r="D22" s="2" t="s">
        <v>635</v>
      </c>
      <c r="E22" s="2" t="s">
        <v>635</v>
      </c>
      <c r="F22" s="2" t="s">
        <v>635</v>
      </c>
      <c r="G22" s="2" t="s">
        <v>367</v>
      </c>
      <c r="H22" s="2" t="s">
        <v>635</v>
      </c>
      <c r="I22" s="2" t="s">
        <v>635</v>
      </c>
      <c r="J22" s="2" t="s">
        <v>104</v>
      </c>
      <c r="K22" s="2" t="s">
        <v>635</v>
      </c>
      <c r="L22" s="2"/>
      <c r="M22" s="2" t="s">
        <v>635</v>
      </c>
      <c r="N22" s="2" t="s">
        <v>243</v>
      </c>
      <c r="O22" s="2" t="s">
        <v>635</v>
      </c>
      <c r="P22" s="2" t="s">
        <v>635</v>
      </c>
      <c r="Q22" s="2" t="s">
        <v>873</v>
      </c>
      <c r="S22" s="2" t="s">
        <v>245</v>
      </c>
      <c r="T22" s="2" t="s">
        <v>635</v>
      </c>
      <c r="U22" s="2" t="s">
        <v>870</v>
      </c>
      <c r="V22" s="2" t="s">
        <v>635</v>
      </c>
      <c r="W22" s="2" t="s">
        <v>635</v>
      </c>
      <c r="X22" s="2" t="s">
        <v>635</v>
      </c>
      <c r="Y22" s="2" t="s">
        <v>635</v>
      </c>
      <c r="Z22" s="2"/>
      <c r="AA22" s="2" t="s">
        <v>635</v>
      </c>
      <c r="AB22" s="2" t="s">
        <v>635</v>
      </c>
      <c r="AD22" s="2" t="s">
        <v>635</v>
      </c>
      <c r="AE22" s="2" t="s">
        <v>635</v>
      </c>
      <c r="AG22" s="2" t="s">
        <v>635</v>
      </c>
      <c r="AH22" s="2" t="s">
        <v>635</v>
      </c>
      <c r="AJ22" s="2"/>
      <c r="AL22" s="2"/>
      <c r="AN22" s="2" t="s">
        <v>635</v>
      </c>
      <c r="AO22" s="2"/>
      <c r="AP22" s="2"/>
      <c r="AQ22" s="2" t="s">
        <v>635</v>
      </c>
      <c r="AR22" s="2" t="s">
        <v>635</v>
      </c>
      <c r="AS22" s="2" t="s">
        <v>635</v>
      </c>
      <c r="AT22" s="2" t="s">
        <v>635</v>
      </c>
      <c r="AU22" s="2" t="s">
        <v>635</v>
      </c>
      <c r="AV22" s="2" t="s">
        <v>635</v>
      </c>
      <c r="AW22" s="2" t="s">
        <v>635</v>
      </c>
      <c r="AX22" s="2" t="s">
        <v>635</v>
      </c>
      <c r="AY22" s="2" t="s">
        <v>635</v>
      </c>
      <c r="AZ22" s="2" t="s">
        <v>635</v>
      </c>
      <c r="BA22" s="2" t="s">
        <v>635</v>
      </c>
      <c r="BB22" s="2" t="s">
        <v>635</v>
      </c>
      <c r="BC22" s="2" t="s">
        <v>635</v>
      </c>
      <c r="BD22" s="2" t="s">
        <v>635</v>
      </c>
      <c r="BE22" s="2" t="s">
        <v>635</v>
      </c>
      <c r="BF22" s="2" t="s">
        <v>635</v>
      </c>
      <c r="BG22" s="2" t="s">
        <v>635</v>
      </c>
      <c r="BH22" s="2" t="s">
        <v>635</v>
      </c>
      <c r="BI22" s="2" t="s">
        <v>635</v>
      </c>
      <c r="BJ22" s="2" t="s">
        <v>635</v>
      </c>
      <c r="BK22" s="2" t="s">
        <v>635</v>
      </c>
      <c r="BL22" s="2" t="s">
        <v>635</v>
      </c>
      <c r="BM22" s="2" t="s">
        <v>635</v>
      </c>
      <c r="BN22" s="2" t="s">
        <v>635</v>
      </c>
      <c r="BO22" s="2" t="s">
        <v>635</v>
      </c>
      <c r="BP22" s="2" t="s">
        <v>635</v>
      </c>
      <c r="BQ22" s="2" t="s">
        <v>635</v>
      </c>
      <c r="BR22" s="2" t="s">
        <v>635</v>
      </c>
      <c r="BS22" s="2" t="s">
        <v>635</v>
      </c>
      <c r="BT22" s="2" t="s">
        <v>635</v>
      </c>
      <c r="BU22" s="2" t="s">
        <v>635</v>
      </c>
      <c r="BV22" s="2" t="s">
        <v>635</v>
      </c>
      <c r="BW22" s="2" t="s">
        <v>635</v>
      </c>
      <c r="BX22" s="2" t="s">
        <v>635</v>
      </c>
      <c r="BY22" s="2" t="s">
        <v>635</v>
      </c>
      <c r="BZ22" s="2" t="s">
        <v>635</v>
      </c>
      <c r="CA22" s="2" t="s">
        <v>635</v>
      </c>
      <c r="CB22" s="2" t="s">
        <v>635</v>
      </c>
      <c r="CC22" s="2" t="s">
        <v>635</v>
      </c>
      <c r="CD22" s="2" t="s">
        <v>635</v>
      </c>
    </row>
    <row r="23" spans="1:82" x14ac:dyDescent="0.25">
      <c r="A23" s="2" t="s">
        <v>874</v>
      </c>
      <c r="B23" s="2" t="s">
        <v>635</v>
      </c>
      <c r="C23" s="2" t="s">
        <v>635</v>
      </c>
      <c r="D23" s="2" t="s">
        <v>635</v>
      </c>
      <c r="E23" s="2" t="s">
        <v>635</v>
      </c>
      <c r="F23" s="2" t="s">
        <v>635</v>
      </c>
      <c r="G23" s="2" t="s">
        <v>635</v>
      </c>
      <c r="H23" s="2" t="s">
        <v>635</v>
      </c>
      <c r="I23" s="2" t="s">
        <v>635</v>
      </c>
      <c r="J23" s="2" t="s">
        <v>635</v>
      </c>
      <c r="K23" s="2" t="s">
        <v>635</v>
      </c>
      <c r="L23" s="2"/>
      <c r="M23" s="2" t="s">
        <v>635</v>
      </c>
      <c r="N23" s="2" t="s">
        <v>635</v>
      </c>
      <c r="O23" s="2" t="s">
        <v>635</v>
      </c>
      <c r="P23" s="2" t="s">
        <v>635</v>
      </c>
      <c r="Q23" s="2" t="s">
        <v>635</v>
      </c>
      <c r="S23" s="2" t="s">
        <v>635</v>
      </c>
      <c r="T23" s="2" t="s">
        <v>635</v>
      </c>
      <c r="U23" s="2" t="s">
        <v>635</v>
      </c>
      <c r="V23" s="2" t="s">
        <v>635</v>
      </c>
      <c r="W23" s="2" t="s">
        <v>635</v>
      </c>
      <c r="X23" s="2" t="s">
        <v>635</v>
      </c>
      <c r="Y23" s="2" t="s">
        <v>635</v>
      </c>
      <c r="Z23" s="2"/>
      <c r="AA23" s="2" t="s">
        <v>635</v>
      </c>
      <c r="AB23" s="2" t="s">
        <v>635</v>
      </c>
      <c r="AD23" s="2" t="s">
        <v>635</v>
      </c>
      <c r="AE23" s="2" t="s">
        <v>635</v>
      </c>
      <c r="AG23" s="2" t="s">
        <v>635</v>
      </c>
      <c r="AH23" s="2" t="s">
        <v>635</v>
      </c>
      <c r="AJ23" s="2"/>
      <c r="AL23" s="2"/>
      <c r="AN23" s="2" t="s">
        <v>635</v>
      </c>
      <c r="AO23" s="2"/>
      <c r="AP23" s="2"/>
      <c r="AQ23" s="2" t="s">
        <v>635</v>
      </c>
      <c r="AR23" s="2" t="s">
        <v>635</v>
      </c>
      <c r="AS23" s="2" t="s">
        <v>635</v>
      </c>
      <c r="AT23" s="2" t="s">
        <v>635</v>
      </c>
      <c r="AU23" s="2" t="s">
        <v>635</v>
      </c>
      <c r="AV23" s="2" t="s">
        <v>635</v>
      </c>
      <c r="AW23" s="2" t="s">
        <v>635</v>
      </c>
      <c r="AX23" s="2" t="s">
        <v>635</v>
      </c>
      <c r="AY23" s="2" t="s">
        <v>635</v>
      </c>
      <c r="AZ23" s="2" t="s">
        <v>635</v>
      </c>
      <c r="BA23" s="2" t="s">
        <v>635</v>
      </c>
      <c r="BB23" s="2" t="s">
        <v>635</v>
      </c>
      <c r="BC23" s="2" t="s">
        <v>635</v>
      </c>
      <c r="BD23" s="2" t="s">
        <v>635</v>
      </c>
      <c r="BE23" s="2" t="s">
        <v>635</v>
      </c>
      <c r="BF23" s="2" t="s">
        <v>635</v>
      </c>
      <c r="BG23" s="2" t="s">
        <v>635</v>
      </c>
      <c r="BH23" s="2" t="s">
        <v>635</v>
      </c>
      <c r="BI23" s="2" t="s">
        <v>635</v>
      </c>
      <c r="BJ23" s="2" t="s">
        <v>635</v>
      </c>
      <c r="BK23" s="2" t="s">
        <v>635</v>
      </c>
      <c r="BL23" s="2" t="s">
        <v>635</v>
      </c>
      <c r="BM23" s="2" t="s">
        <v>635</v>
      </c>
      <c r="BN23" s="2" t="s">
        <v>635</v>
      </c>
      <c r="BO23" s="2" t="s">
        <v>635</v>
      </c>
      <c r="BP23" s="2" t="s">
        <v>635</v>
      </c>
      <c r="BQ23" s="2" t="s">
        <v>635</v>
      </c>
      <c r="BR23" s="2" t="s">
        <v>635</v>
      </c>
      <c r="BS23" s="2" t="s">
        <v>635</v>
      </c>
      <c r="BT23" s="2" t="s">
        <v>635</v>
      </c>
      <c r="BU23" s="2" t="s">
        <v>635</v>
      </c>
      <c r="BV23" s="2" t="s">
        <v>635</v>
      </c>
      <c r="BW23" s="2" t="s">
        <v>635</v>
      </c>
      <c r="BX23" s="2" t="s">
        <v>635</v>
      </c>
      <c r="BY23" s="2" t="s">
        <v>635</v>
      </c>
      <c r="BZ23" s="2" t="s">
        <v>635</v>
      </c>
      <c r="CA23" s="2" t="s">
        <v>635</v>
      </c>
      <c r="CB23" s="2" t="s">
        <v>635</v>
      </c>
      <c r="CC23" s="2" t="s">
        <v>635</v>
      </c>
      <c r="CD23" s="2" t="s">
        <v>635</v>
      </c>
    </row>
    <row r="24" spans="1:82" x14ac:dyDescent="0.25">
      <c r="A24" s="2" t="s">
        <v>875</v>
      </c>
      <c r="B24" s="2" t="s">
        <v>678</v>
      </c>
      <c r="C24" s="2" t="s">
        <v>246</v>
      </c>
      <c r="D24" s="2" t="s">
        <v>6</v>
      </c>
      <c r="E24" s="2" t="s">
        <v>248</v>
      </c>
      <c r="F24" s="2" t="s">
        <v>635</v>
      </c>
      <c r="G24" s="2" t="s">
        <v>635</v>
      </c>
      <c r="H24" s="2" t="s">
        <v>635</v>
      </c>
      <c r="I24" s="2" t="s">
        <v>635</v>
      </c>
      <c r="J24" s="2" t="s">
        <v>635</v>
      </c>
      <c r="K24" s="2" t="s">
        <v>635</v>
      </c>
      <c r="L24" s="2"/>
      <c r="M24" s="2" t="s">
        <v>635</v>
      </c>
      <c r="N24" s="2" t="s">
        <v>635</v>
      </c>
      <c r="O24" s="2" t="s">
        <v>635</v>
      </c>
      <c r="P24" s="2" t="s">
        <v>635</v>
      </c>
      <c r="Q24" s="2" t="s">
        <v>635</v>
      </c>
      <c r="S24" s="2" t="s">
        <v>635</v>
      </c>
      <c r="T24" s="2" t="s">
        <v>635</v>
      </c>
      <c r="U24" s="2" t="s">
        <v>635</v>
      </c>
      <c r="V24" s="2" t="s">
        <v>635</v>
      </c>
      <c r="W24" s="2" t="s">
        <v>635</v>
      </c>
      <c r="X24" s="2" t="s">
        <v>635</v>
      </c>
      <c r="Y24" s="2" t="s">
        <v>635</v>
      </c>
      <c r="Z24" s="2"/>
      <c r="AA24" s="2" t="s">
        <v>635</v>
      </c>
      <c r="AB24" s="2" t="s">
        <v>635</v>
      </c>
      <c r="AD24" s="2" t="s">
        <v>635</v>
      </c>
      <c r="AE24" s="2" t="s">
        <v>635</v>
      </c>
      <c r="AG24" s="2" t="s">
        <v>635</v>
      </c>
      <c r="AH24" s="2" t="s">
        <v>635</v>
      </c>
      <c r="AJ24" s="2"/>
      <c r="AL24" s="2"/>
      <c r="AN24" s="2" t="s">
        <v>635</v>
      </c>
      <c r="AO24" s="2"/>
      <c r="AP24" s="2"/>
      <c r="AQ24" s="2" t="s">
        <v>635</v>
      </c>
      <c r="AR24" s="2" t="s">
        <v>635</v>
      </c>
      <c r="AS24" s="2" t="s">
        <v>635</v>
      </c>
      <c r="AT24" s="2" t="s">
        <v>635</v>
      </c>
      <c r="AU24" s="2" t="s">
        <v>635</v>
      </c>
      <c r="AV24" s="2" t="s">
        <v>635</v>
      </c>
      <c r="AW24" s="2" t="s">
        <v>635</v>
      </c>
      <c r="AX24" s="2" t="s">
        <v>635</v>
      </c>
      <c r="AY24" s="2" t="s">
        <v>635</v>
      </c>
      <c r="AZ24" s="2" t="s">
        <v>635</v>
      </c>
      <c r="BA24" s="2" t="s">
        <v>635</v>
      </c>
      <c r="BB24" s="2" t="s">
        <v>635</v>
      </c>
      <c r="BC24" s="2" t="s">
        <v>635</v>
      </c>
      <c r="BD24" s="2" t="s">
        <v>635</v>
      </c>
      <c r="BE24" s="2" t="s">
        <v>635</v>
      </c>
      <c r="BF24" s="2" t="s">
        <v>635</v>
      </c>
      <c r="BG24" s="2" t="s">
        <v>635</v>
      </c>
      <c r="BH24" s="2" t="s">
        <v>635</v>
      </c>
      <c r="BI24" s="2" t="s">
        <v>635</v>
      </c>
      <c r="BJ24" s="2" t="s">
        <v>635</v>
      </c>
      <c r="BK24" s="2" t="s">
        <v>635</v>
      </c>
      <c r="BL24" s="2" t="s">
        <v>635</v>
      </c>
      <c r="BM24" s="2" t="s">
        <v>635</v>
      </c>
      <c r="BN24" s="2" t="s">
        <v>635</v>
      </c>
      <c r="BO24" s="2" t="s">
        <v>635</v>
      </c>
      <c r="BP24" s="2" t="s">
        <v>635</v>
      </c>
      <c r="BQ24" s="2" t="s">
        <v>635</v>
      </c>
      <c r="BR24" s="2" t="s">
        <v>635</v>
      </c>
      <c r="BS24" s="2" t="s">
        <v>635</v>
      </c>
      <c r="BT24" s="2" t="s">
        <v>635</v>
      </c>
      <c r="BU24" s="2" t="s">
        <v>635</v>
      </c>
      <c r="BV24" s="2" t="s">
        <v>635</v>
      </c>
      <c r="BW24" s="2" t="s">
        <v>635</v>
      </c>
      <c r="BX24" s="2" t="s">
        <v>635</v>
      </c>
      <c r="BY24" s="2" t="s">
        <v>635</v>
      </c>
      <c r="BZ24" s="2" t="s">
        <v>635</v>
      </c>
      <c r="CA24" s="2" t="s">
        <v>635</v>
      </c>
      <c r="CB24" s="2" t="s">
        <v>635</v>
      </c>
      <c r="CC24" s="2" t="s">
        <v>635</v>
      </c>
      <c r="CD24" s="2" t="s">
        <v>635</v>
      </c>
    </row>
    <row r="25" spans="1:82" x14ac:dyDescent="0.25">
      <c r="A25" s="2" t="s">
        <v>368</v>
      </c>
      <c r="B25" s="2" t="s">
        <v>369</v>
      </c>
      <c r="C25" s="2" t="s">
        <v>635</v>
      </c>
      <c r="D25" s="2" t="s">
        <v>635</v>
      </c>
      <c r="E25" s="2" t="s">
        <v>346</v>
      </c>
      <c r="F25" s="2" t="s">
        <v>329</v>
      </c>
      <c r="G25" s="2" t="s">
        <v>330</v>
      </c>
      <c r="H25" s="2" t="s">
        <v>635</v>
      </c>
      <c r="I25" s="2" t="s">
        <v>18</v>
      </c>
      <c r="J25" s="2" t="s">
        <v>635</v>
      </c>
      <c r="K25" s="2" t="s">
        <v>18</v>
      </c>
      <c r="L25" s="2"/>
      <c r="M25" s="2" t="s">
        <v>635</v>
      </c>
      <c r="N25" s="2" t="s">
        <v>876</v>
      </c>
      <c r="O25" s="2" t="s">
        <v>877</v>
      </c>
      <c r="P25" s="2" t="s">
        <v>635</v>
      </c>
      <c r="Q25" s="2" t="s">
        <v>635</v>
      </c>
      <c r="S25" s="2" t="s">
        <v>635</v>
      </c>
      <c r="T25" s="2" t="s">
        <v>635</v>
      </c>
      <c r="U25" s="2" t="s">
        <v>35</v>
      </c>
      <c r="V25" s="2" t="s">
        <v>635</v>
      </c>
      <c r="W25" s="2" t="s">
        <v>370</v>
      </c>
      <c r="X25" s="2" t="s">
        <v>635</v>
      </c>
      <c r="Y25" s="2" t="s">
        <v>826</v>
      </c>
      <c r="Z25" s="2"/>
      <c r="AA25" s="2" t="s">
        <v>635</v>
      </c>
      <c r="AB25" s="2" t="s">
        <v>635</v>
      </c>
      <c r="AC25">
        <v>1</v>
      </c>
      <c r="AD25" s="2" t="s">
        <v>678</v>
      </c>
      <c r="AE25" s="2" t="s">
        <v>635</v>
      </c>
      <c r="AF25">
        <v>0</v>
      </c>
      <c r="AG25" s="2" t="s">
        <v>635</v>
      </c>
      <c r="AH25" s="2" t="s">
        <v>827</v>
      </c>
      <c r="AI25">
        <v>0</v>
      </c>
      <c r="AJ25" s="2">
        <v>0</v>
      </c>
      <c r="AK25">
        <v>0</v>
      </c>
      <c r="AL25" s="2"/>
      <c r="AM25">
        <v>1</v>
      </c>
      <c r="AN25" s="2" t="s">
        <v>827</v>
      </c>
      <c r="AO25" s="2">
        <v>0</v>
      </c>
      <c r="AP25" s="2">
        <v>0</v>
      </c>
      <c r="AQ25" s="2" t="s">
        <v>635</v>
      </c>
      <c r="AR25" s="2" t="s">
        <v>635</v>
      </c>
      <c r="AS25" s="2" t="s">
        <v>11</v>
      </c>
      <c r="AT25" s="2" t="s">
        <v>331</v>
      </c>
      <c r="AU25" s="2" t="s">
        <v>635</v>
      </c>
      <c r="AV25" s="2" t="s">
        <v>635</v>
      </c>
      <c r="AW25" s="2" t="s">
        <v>635</v>
      </c>
      <c r="AX25" s="2" t="s">
        <v>163</v>
      </c>
      <c r="AY25" s="2" t="s">
        <v>828</v>
      </c>
      <c r="AZ25" s="2" t="s">
        <v>208</v>
      </c>
      <c r="BA25" s="2" t="s">
        <v>640</v>
      </c>
      <c r="BB25" s="2" t="s">
        <v>635</v>
      </c>
      <c r="BC25" s="2" t="s">
        <v>635</v>
      </c>
      <c r="BD25" s="2" t="s">
        <v>209</v>
      </c>
      <c r="BE25" s="2" t="s">
        <v>635</v>
      </c>
      <c r="BF25" s="2" t="s">
        <v>635</v>
      </c>
      <c r="BG25" s="2" t="s">
        <v>635</v>
      </c>
      <c r="BH25" s="2" t="s">
        <v>635</v>
      </c>
      <c r="BI25" s="2" t="s">
        <v>635</v>
      </c>
      <c r="BJ25" s="2" t="s">
        <v>371</v>
      </c>
      <c r="BK25" s="2" t="s">
        <v>635</v>
      </c>
      <c r="BL25" s="2" t="s">
        <v>635</v>
      </c>
      <c r="BM25" s="2" t="s">
        <v>14</v>
      </c>
      <c r="BN25" s="2" t="s">
        <v>635</v>
      </c>
      <c r="BO25" s="2" t="s">
        <v>635</v>
      </c>
      <c r="BP25" s="2" t="s">
        <v>635</v>
      </c>
      <c r="BQ25" s="2" t="s">
        <v>204</v>
      </c>
      <c r="BR25" s="2" t="s">
        <v>635</v>
      </c>
      <c r="BS25" s="2" t="s">
        <v>635</v>
      </c>
      <c r="BT25" s="2" t="s">
        <v>878</v>
      </c>
      <c r="BU25" s="2" t="s">
        <v>635</v>
      </c>
      <c r="BV25" s="2" t="s">
        <v>635</v>
      </c>
      <c r="BW25" s="2" t="s">
        <v>635</v>
      </c>
      <c r="BX25" s="2" t="s">
        <v>209</v>
      </c>
      <c r="BY25" s="2" t="s">
        <v>635</v>
      </c>
      <c r="BZ25" s="2" t="s">
        <v>136</v>
      </c>
      <c r="CA25" s="2" t="s">
        <v>136</v>
      </c>
      <c r="CB25" s="2" t="s">
        <v>210</v>
      </c>
      <c r="CC25" s="2" t="s">
        <v>635</v>
      </c>
      <c r="CD25" s="2" t="s">
        <v>635</v>
      </c>
    </row>
    <row r="26" spans="1:82" x14ac:dyDescent="0.25">
      <c r="A26" s="2" t="s">
        <v>372</v>
      </c>
      <c r="B26" s="2" t="s">
        <v>373</v>
      </c>
      <c r="C26" s="2" t="s">
        <v>635</v>
      </c>
      <c r="D26" s="2" t="s">
        <v>635</v>
      </c>
      <c r="E26" s="2" t="s">
        <v>346</v>
      </c>
      <c r="F26" s="2" t="s">
        <v>635</v>
      </c>
      <c r="G26" s="2" t="s">
        <v>330</v>
      </c>
      <c r="H26" s="2" t="s">
        <v>635</v>
      </c>
      <c r="I26" s="2" t="s">
        <v>374</v>
      </c>
      <c r="J26" s="2" t="s">
        <v>635</v>
      </c>
      <c r="K26" s="2" t="s">
        <v>879</v>
      </c>
      <c r="L26" s="2"/>
      <c r="M26" s="2" t="s">
        <v>635</v>
      </c>
      <c r="N26" s="2" t="s">
        <v>880</v>
      </c>
      <c r="O26" s="2" t="s">
        <v>881</v>
      </c>
      <c r="P26" s="2" t="s">
        <v>635</v>
      </c>
      <c r="Q26" s="2" t="s">
        <v>635</v>
      </c>
      <c r="S26" s="2" t="s">
        <v>635</v>
      </c>
      <c r="T26" s="2" t="s">
        <v>635</v>
      </c>
      <c r="U26" s="2" t="s">
        <v>51</v>
      </c>
      <c r="V26" s="2" t="s">
        <v>811</v>
      </c>
      <c r="W26" s="2" t="s">
        <v>635</v>
      </c>
      <c r="X26" s="2" t="s">
        <v>882</v>
      </c>
      <c r="Y26" s="2" t="s">
        <v>826</v>
      </c>
      <c r="Z26" s="2"/>
      <c r="AA26" s="2" t="s">
        <v>635</v>
      </c>
      <c r="AB26" s="2" t="s">
        <v>635</v>
      </c>
      <c r="AC26">
        <v>1</v>
      </c>
      <c r="AD26" s="2" t="s">
        <v>827</v>
      </c>
      <c r="AE26" s="2" t="s">
        <v>635</v>
      </c>
      <c r="AF26">
        <v>0</v>
      </c>
      <c r="AG26" s="2" t="s">
        <v>635</v>
      </c>
      <c r="AH26" s="2" t="s">
        <v>827</v>
      </c>
      <c r="AI26">
        <v>0</v>
      </c>
      <c r="AJ26" s="2">
        <v>0</v>
      </c>
      <c r="AK26">
        <v>0</v>
      </c>
      <c r="AL26" s="2"/>
      <c r="AM26">
        <v>0</v>
      </c>
      <c r="AN26" s="2" t="s">
        <v>827</v>
      </c>
      <c r="AO26" s="2">
        <v>0</v>
      </c>
      <c r="AP26" s="2">
        <v>0</v>
      </c>
      <c r="AQ26" s="2" t="s">
        <v>635</v>
      </c>
      <c r="AR26" s="2" t="s">
        <v>883</v>
      </c>
      <c r="AS26" s="2" t="s">
        <v>49</v>
      </c>
      <c r="AT26" s="2" t="s">
        <v>331</v>
      </c>
      <c r="AU26" s="2" t="s">
        <v>884</v>
      </c>
      <c r="AV26" s="2" t="s">
        <v>635</v>
      </c>
      <c r="AW26" s="2" t="s">
        <v>635</v>
      </c>
      <c r="AX26" s="2" t="s">
        <v>45</v>
      </c>
      <c r="AY26" s="2" t="s">
        <v>885</v>
      </c>
      <c r="AZ26" s="2" t="s">
        <v>43</v>
      </c>
      <c r="BA26" s="2" t="s">
        <v>665</v>
      </c>
      <c r="BB26" s="2" t="s">
        <v>635</v>
      </c>
      <c r="BC26" s="2" t="s">
        <v>635</v>
      </c>
      <c r="BD26" s="2" t="s">
        <v>635</v>
      </c>
      <c r="BE26" s="2" t="s">
        <v>635</v>
      </c>
      <c r="BF26" s="2" t="s">
        <v>827</v>
      </c>
      <c r="BG26" s="2" t="s">
        <v>811</v>
      </c>
      <c r="BH26" s="2" t="s">
        <v>886</v>
      </c>
      <c r="BI26" s="2" t="s">
        <v>635</v>
      </c>
      <c r="BJ26" s="2" t="s">
        <v>635</v>
      </c>
      <c r="BK26" s="2" t="s">
        <v>635</v>
      </c>
      <c r="BL26" s="2" t="s">
        <v>635</v>
      </c>
      <c r="BM26" s="2" t="s">
        <v>635</v>
      </c>
      <c r="BN26" s="2" t="s">
        <v>635</v>
      </c>
      <c r="BO26" s="2" t="s">
        <v>635</v>
      </c>
      <c r="BP26" s="2" t="s">
        <v>635</v>
      </c>
      <c r="BQ26" s="2" t="s">
        <v>635</v>
      </c>
      <c r="BR26" s="2" t="s">
        <v>635</v>
      </c>
      <c r="BS26" s="2" t="s">
        <v>635</v>
      </c>
      <c r="BT26" s="2" t="s">
        <v>635</v>
      </c>
      <c r="BU26" s="2" t="s">
        <v>635</v>
      </c>
      <c r="BV26" s="2" t="s">
        <v>635</v>
      </c>
      <c r="BW26" s="2" t="s">
        <v>635</v>
      </c>
      <c r="BX26" s="2" t="s">
        <v>635</v>
      </c>
      <c r="BY26" s="2" t="s">
        <v>635</v>
      </c>
      <c r="BZ26" s="2" t="s">
        <v>635</v>
      </c>
      <c r="CA26" s="2" t="s">
        <v>635</v>
      </c>
      <c r="CB26" s="2" t="s">
        <v>635</v>
      </c>
      <c r="CC26" s="2" t="s">
        <v>635</v>
      </c>
      <c r="CD26" s="2" t="s">
        <v>635</v>
      </c>
    </row>
    <row r="27" spans="1:82" x14ac:dyDescent="0.25">
      <c r="A27" s="2" t="s">
        <v>887</v>
      </c>
      <c r="B27" s="2" t="s">
        <v>635</v>
      </c>
      <c r="C27" s="2" t="s">
        <v>635</v>
      </c>
      <c r="D27" s="2" t="s">
        <v>635</v>
      </c>
      <c r="E27" s="2" t="s">
        <v>635</v>
      </c>
      <c r="F27" s="2" t="s">
        <v>635</v>
      </c>
      <c r="G27" s="2" t="s">
        <v>635</v>
      </c>
      <c r="H27" s="2" t="s">
        <v>635</v>
      </c>
      <c r="I27" s="2" t="s">
        <v>635</v>
      </c>
      <c r="J27" s="2" t="s">
        <v>635</v>
      </c>
      <c r="K27" s="2" t="s">
        <v>635</v>
      </c>
      <c r="L27" s="2"/>
      <c r="M27" s="2" t="s">
        <v>635</v>
      </c>
      <c r="N27" s="2" t="s">
        <v>635</v>
      </c>
      <c r="O27" s="2" t="s">
        <v>635</v>
      </c>
      <c r="P27" s="2" t="s">
        <v>635</v>
      </c>
      <c r="Q27" s="2" t="s">
        <v>635</v>
      </c>
      <c r="S27" s="2" t="s">
        <v>635</v>
      </c>
      <c r="T27" s="2" t="s">
        <v>635</v>
      </c>
      <c r="U27" s="2" t="s">
        <v>635</v>
      </c>
      <c r="V27" s="2" t="s">
        <v>635</v>
      </c>
      <c r="W27" s="2" t="s">
        <v>635</v>
      </c>
      <c r="X27" s="2" t="s">
        <v>635</v>
      </c>
      <c r="Y27" s="2" t="s">
        <v>635</v>
      </c>
      <c r="Z27" s="2"/>
      <c r="AA27" s="2" t="s">
        <v>635</v>
      </c>
      <c r="AB27" s="2" t="s">
        <v>635</v>
      </c>
      <c r="AD27" s="2" t="s">
        <v>635</v>
      </c>
      <c r="AE27" s="2" t="s">
        <v>635</v>
      </c>
      <c r="AG27" s="2" t="s">
        <v>635</v>
      </c>
      <c r="AH27" s="2" t="s">
        <v>635</v>
      </c>
      <c r="AJ27" s="2"/>
      <c r="AL27" s="2"/>
      <c r="AN27" s="2" t="s">
        <v>635</v>
      </c>
      <c r="AO27" s="2"/>
      <c r="AP27" s="2"/>
      <c r="AQ27" s="2" t="s">
        <v>635</v>
      </c>
      <c r="AR27" s="2" t="s">
        <v>635</v>
      </c>
      <c r="AS27" s="2" t="s">
        <v>635</v>
      </c>
      <c r="AT27" s="2" t="s">
        <v>635</v>
      </c>
      <c r="AU27" s="2" t="s">
        <v>635</v>
      </c>
      <c r="AV27" s="2" t="s">
        <v>635</v>
      </c>
      <c r="AW27" s="2" t="s">
        <v>635</v>
      </c>
      <c r="AX27" s="2" t="s">
        <v>635</v>
      </c>
      <c r="AY27" s="2" t="s">
        <v>635</v>
      </c>
      <c r="AZ27" s="2" t="s">
        <v>635</v>
      </c>
      <c r="BA27" s="2" t="s">
        <v>635</v>
      </c>
      <c r="BB27" s="2" t="s">
        <v>635</v>
      </c>
      <c r="BC27" s="2" t="s">
        <v>635</v>
      </c>
      <c r="BD27" s="2" t="s">
        <v>635</v>
      </c>
      <c r="BE27" s="2" t="s">
        <v>635</v>
      </c>
      <c r="BF27" s="2" t="s">
        <v>635</v>
      </c>
      <c r="BG27" s="2" t="s">
        <v>635</v>
      </c>
      <c r="BH27" s="2" t="s">
        <v>635</v>
      </c>
      <c r="BI27" s="2" t="s">
        <v>635</v>
      </c>
      <c r="BJ27" s="2" t="s">
        <v>635</v>
      </c>
      <c r="BK27" s="2" t="s">
        <v>635</v>
      </c>
      <c r="BL27" s="2" t="s">
        <v>635</v>
      </c>
      <c r="BM27" s="2" t="s">
        <v>635</v>
      </c>
      <c r="BN27" s="2" t="s">
        <v>635</v>
      </c>
      <c r="BO27" s="2" t="s">
        <v>635</v>
      </c>
      <c r="BP27" s="2" t="s">
        <v>635</v>
      </c>
      <c r="BQ27" s="2" t="s">
        <v>635</v>
      </c>
      <c r="BR27" s="2" t="s">
        <v>635</v>
      </c>
      <c r="BS27" s="2" t="s">
        <v>635</v>
      </c>
      <c r="BT27" s="2" t="s">
        <v>635</v>
      </c>
      <c r="BU27" s="2" t="s">
        <v>635</v>
      </c>
      <c r="BV27" s="2" t="s">
        <v>635</v>
      </c>
      <c r="BW27" s="2" t="s">
        <v>635</v>
      </c>
      <c r="BX27" s="2" t="s">
        <v>635</v>
      </c>
      <c r="BY27" s="2" t="s">
        <v>635</v>
      </c>
      <c r="BZ27" s="2" t="s">
        <v>635</v>
      </c>
      <c r="CA27" s="2" t="s">
        <v>635</v>
      </c>
      <c r="CB27" s="2" t="s">
        <v>635</v>
      </c>
      <c r="CC27" s="2" t="s">
        <v>635</v>
      </c>
      <c r="CD27" s="2" t="s">
        <v>635</v>
      </c>
    </row>
    <row r="28" spans="1:82" x14ac:dyDescent="0.25">
      <c r="A28" s="2" t="s">
        <v>888</v>
      </c>
      <c r="B28" s="2" t="s">
        <v>812</v>
      </c>
      <c r="C28" s="2" t="s">
        <v>44</v>
      </c>
      <c r="D28" s="2" t="s">
        <v>635</v>
      </c>
      <c r="E28" s="2" t="s">
        <v>889</v>
      </c>
      <c r="F28" s="2" t="s">
        <v>52</v>
      </c>
      <c r="G28" s="2" t="s">
        <v>635</v>
      </c>
      <c r="H28" s="2" t="s">
        <v>635</v>
      </c>
      <c r="I28" s="2" t="s">
        <v>375</v>
      </c>
      <c r="J28" s="2" t="s">
        <v>44</v>
      </c>
      <c r="K28" s="2" t="s">
        <v>635</v>
      </c>
      <c r="L28" s="2"/>
      <c r="M28" s="2" t="s">
        <v>890</v>
      </c>
      <c r="N28" s="2" t="s">
        <v>635</v>
      </c>
      <c r="O28" s="2" t="s">
        <v>47</v>
      </c>
      <c r="P28" s="2" t="s">
        <v>46</v>
      </c>
      <c r="Q28" s="2" t="s">
        <v>281</v>
      </c>
      <c r="S28" s="2" t="s">
        <v>635</v>
      </c>
      <c r="T28" s="2" t="s">
        <v>635</v>
      </c>
      <c r="U28" s="2" t="s">
        <v>635</v>
      </c>
      <c r="V28" s="2" t="s">
        <v>635</v>
      </c>
      <c r="W28" s="2" t="s">
        <v>635</v>
      </c>
      <c r="X28" s="2" t="s">
        <v>635</v>
      </c>
      <c r="Y28" s="2" t="s">
        <v>635</v>
      </c>
      <c r="Z28" s="2"/>
      <c r="AA28" s="2" t="s">
        <v>635</v>
      </c>
      <c r="AB28" s="2" t="s">
        <v>635</v>
      </c>
      <c r="AD28" s="2" t="s">
        <v>635</v>
      </c>
      <c r="AE28" s="2" t="s">
        <v>635</v>
      </c>
      <c r="AG28" s="2" t="s">
        <v>635</v>
      </c>
      <c r="AH28" s="2" t="s">
        <v>635</v>
      </c>
      <c r="AJ28" s="2"/>
      <c r="AL28" s="2"/>
      <c r="AN28" s="2" t="s">
        <v>635</v>
      </c>
      <c r="AO28" s="2"/>
      <c r="AP28" s="2"/>
      <c r="AQ28" s="2" t="s">
        <v>635</v>
      </c>
      <c r="AR28" s="2" t="s">
        <v>635</v>
      </c>
      <c r="AS28" s="2" t="s">
        <v>635</v>
      </c>
      <c r="AT28" s="2" t="s">
        <v>635</v>
      </c>
      <c r="AU28" s="2" t="s">
        <v>635</v>
      </c>
      <c r="AV28" s="2" t="s">
        <v>635</v>
      </c>
      <c r="AW28" s="2" t="s">
        <v>635</v>
      </c>
      <c r="AX28" s="2" t="s">
        <v>635</v>
      </c>
      <c r="AY28" s="2" t="s">
        <v>635</v>
      </c>
      <c r="AZ28" s="2" t="s">
        <v>635</v>
      </c>
      <c r="BA28" s="2" t="s">
        <v>635</v>
      </c>
      <c r="BB28" s="2" t="s">
        <v>635</v>
      </c>
      <c r="BC28" s="2" t="s">
        <v>635</v>
      </c>
      <c r="BD28" s="2" t="s">
        <v>635</v>
      </c>
      <c r="BE28" s="2" t="s">
        <v>635</v>
      </c>
      <c r="BF28" s="2" t="s">
        <v>635</v>
      </c>
      <c r="BG28" s="2" t="s">
        <v>635</v>
      </c>
      <c r="BH28" s="2" t="s">
        <v>635</v>
      </c>
      <c r="BI28" s="2" t="s">
        <v>635</v>
      </c>
      <c r="BJ28" s="2" t="s">
        <v>635</v>
      </c>
      <c r="BK28" s="2" t="s">
        <v>635</v>
      </c>
      <c r="BL28" s="2" t="s">
        <v>635</v>
      </c>
      <c r="BM28" s="2" t="s">
        <v>635</v>
      </c>
      <c r="BN28" s="2" t="s">
        <v>635</v>
      </c>
      <c r="BO28" s="2" t="s">
        <v>635</v>
      </c>
      <c r="BP28" s="2" t="s">
        <v>635</v>
      </c>
      <c r="BQ28" s="2" t="s">
        <v>635</v>
      </c>
      <c r="BR28" s="2" t="s">
        <v>635</v>
      </c>
      <c r="BS28" s="2" t="s">
        <v>635</v>
      </c>
      <c r="BT28" s="2" t="s">
        <v>635</v>
      </c>
      <c r="BU28" s="2" t="s">
        <v>635</v>
      </c>
      <c r="BV28" s="2" t="s">
        <v>635</v>
      </c>
      <c r="BW28" s="2" t="s">
        <v>635</v>
      </c>
      <c r="BX28" s="2" t="s">
        <v>635</v>
      </c>
      <c r="BY28" s="2" t="s">
        <v>635</v>
      </c>
      <c r="BZ28" s="2" t="s">
        <v>635</v>
      </c>
      <c r="CA28" s="2" t="s">
        <v>635</v>
      </c>
      <c r="CB28" s="2" t="s">
        <v>635</v>
      </c>
      <c r="CC28" s="2" t="s">
        <v>635</v>
      </c>
      <c r="CD28" s="2" t="s">
        <v>635</v>
      </c>
    </row>
    <row r="29" spans="1:82" x14ac:dyDescent="0.25">
      <c r="A29" s="2" t="s">
        <v>891</v>
      </c>
      <c r="B29" s="2" t="s">
        <v>635</v>
      </c>
      <c r="C29" s="2" t="s">
        <v>635</v>
      </c>
      <c r="D29" s="2" t="s">
        <v>635</v>
      </c>
      <c r="E29" s="2" t="s">
        <v>635</v>
      </c>
      <c r="F29" s="2" t="s">
        <v>635</v>
      </c>
      <c r="G29" s="2" t="s">
        <v>635</v>
      </c>
      <c r="H29" s="2" t="s">
        <v>635</v>
      </c>
      <c r="I29" s="2" t="s">
        <v>635</v>
      </c>
      <c r="J29" s="2" t="s">
        <v>635</v>
      </c>
      <c r="K29" s="2" t="s">
        <v>635</v>
      </c>
      <c r="L29" s="2"/>
      <c r="M29" s="2" t="s">
        <v>635</v>
      </c>
      <c r="N29" s="2" t="s">
        <v>635</v>
      </c>
      <c r="O29" s="2" t="s">
        <v>635</v>
      </c>
      <c r="P29" s="2" t="s">
        <v>635</v>
      </c>
      <c r="Q29" s="2" t="s">
        <v>635</v>
      </c>
      <c r="S29" s="2" t="s">
        <v>635</v>
      </c>
      <c r="T29" s="2" t="s">
        <v>635</v>
      </c>
      <c r="U29" s="2" t="s">
        <v>635</v>
      </c>
      <c r="V29" s="2" t="s">
        <v>635</v>
      </c>
      <c r="W29" s="2" t="s">
        <v>635</v>
      </c>
      <c r="X29" s="2" t="s">
        <v>635</v>
      </c>
      <c r="Y29" s="2" t="s">
        <v>635</v>
      </c>
      <c r="Z29" s="2"/>
      <c r="AA29" s="2" t="s">
        <v>635</v>
      </c>
      <c r="AB29" s="2" t="s">
        <v>635</v>
      </c>
      <c r="AD29" s="2" t="s">
        <v>635</v>
      </c>
      <c r="AE29" s="2" t="s">
        <v>635</v>
      </c>
      <c r="AG29" s="2" t="s">
        <v>635</v>
      </c>
      <c r="AH29" s="2" t="s">
        <v>635</v>
      </c>
      <c r="AJ29" s="2"/>
      <c r="AL29" s="2"/>
      <c r="AN29" s="2" t="s">
        <v>635</v>
      </c>
      <c r="AO29" s="2"/>
      <c r="AP29" s="2"/>
      <c r="AQ29" s="2" t="s">
        <v>635</v>
      </c>
      <c r="AR29" s="2" t="s">
        <v>635</v>
      </c>
      <c r="AS29" s="2" t="s">
        <v>635</v>
      </c>
      <c r="AT29" s="2" t="s">
        <v>635</v>
      </c>
      <c r="AU29" s="2" t="s">
        <v>635</v>
      </c>
      <c r="AV29" s="2" t="s">
        <v>635</v>
      </c>
      <c r="AW29" s="2" t="s">
        <v>635</v>
      </c>
      <c r="AX29" s="2" t="s">
        <v>635</v>
      </c>
      <c r="AY29" s="2" t="s">
        <v>635</v>
      </c>
      <c r="AZ29" s="2" t="s">
        <v>635</v>
      </c>
      <c r="BA29" s="2" t="s">
        <v>635</v>
      </c>
      <c r="BB29" s="2" t="s">
        <v>635</v>
      </c>
      <c r="BC29" s="2" t="s">
        <v>635</v>
      </c>
      <c r="BD29" s="2" t="s">
        <v>635</v>
      </c>
      <c r="BE29" s="2" t="s">
        <v>635</v>
      </c>
      <c r="BF29" s="2" t="s">
        <v>635</v>
      </c>
      <c r="BG29" s="2" t="s">
        <v>635</v>
      </c>
      <c r="BH29" s="2" t="s">
        <v>635</v>
      </c>
      <c r="BI29" s="2" t="s">
        <v>635</v>
      </c>
      <c r="BJ29" s="2" t="s">
        <v>635</v>
      </c>
      <c r="BK29" s="2" t="s">
        <v>635</v>
      </c>
      <c r="BL29" s="2" t="s">
        <v>635</v>
      </c>
      <c r="BM29" s="2" t="s">
        <v>635</v>
      </c>
      <c r="BN29" s="2" t="s">
        <v>635</v>
      </c>
      <c r="BO29" s="2" t="s">
        <v>635</v>
      </c>
      <c r="BP29" s="2" t="s">
        <v>635</v>
      </c>
      <c r="BQ29" s="2" t="s">
        <v>635</v>
      </c>
      <c r="BR29" s="2" t="s">
        <v>635</v>
      </c>
      <c r="BS29" s="2" t="s">
        <v>635</v>
      </c>
      <c r="BT29" s="2" t="s">
        <v>635</v>
      </c>
      <c r="BU29" s="2" t="s">
        <v>635</v>
      </c>
      <c r="BV29" s="2" t="s">
        <v>635</v>
      </c>
      <c r="BW29" s="2" t="s">
        <v>635</v>
      </c>
      <c r="BX29" s="2" t="s">
        <v>635</v>
      </c>
      <c r="BY29" s="2" t="s">
        <v>635</v>
      </c>
      <c r="BZ29" s="2" t="s">
        <v>635</v>
      </c>
      <c r="CA29" s="2" t="s">
        <v>635</v>
      </c>
      <c r="CB29" s="2" t="s">
        <v>635</v>
      </c>
      <c r="CC29" s="2" t="s">
        <v>635</v>
      </c>
      <c r="CD29" s="2" t="s">
        <v>635</v>
      </c>
    </row>
    <row r="30" spans="1:82" x14ac:dyDescent="0.25">
      <c r="A30" s="2" t="s">
        <v>892</v>
      </c>
      <c r="B30" s="2" t="s">
        <v>837</v>
      </c>
      <c r="C30" s="2" t="s">
        <v>48</v>
      </c>
      <c r="D30" s="2" t="s">
        <v>6</v>
      </c>
      <c r="E30" s="2" t="s">
        <v>50</v>
      </c>
      <c r="F30" s="2" t="s">
        <v>893</v>
      </c>
      <c r="G30" s="2" t="s">
        <v>635</v>
      </c>
      <c r="H30" s="2" t="s">
        <v>635</v>
      </c>
      <c r="I30" s="2" t="s">
        <v>635</v>
      </c>
      <c r="J30" s="2" t="s">
        <v>635</v>
      </c>
      <c r="K30" s="2" t="s">
        <v>635</v>
      </c>
      <c r="L30" s="2"/>
      <c r="M30" s="2" t="s">
        <v>635</v>
      </c>
      <c r="N30" s="2" t="s">
        <v>635</v>
      </c>
      <c r="O30" s="2" t="s">
        <v>635</v>
      </c>
      <c r="P30" s="2" t="s">
        <v>635</v>
      </c>
      <c r="Q30" s="2" t="s">
        <v>635</v>
      </c>
      <c r="S30" s="2" t="s">
        <v>635</v>
      </c>
      <c r="T30" s="2" t="s">
        <v>635</v>
      </c>
      <c r="U30" s="2" t="s">
        <v>635</v>
      </c>
      <c r="V30" s="2" t="s">
        <v>635</v>
      </c>
      <c r="W30" s="2" t="s">
        <v>635</v>
      </c>
      <c r="X30" s="2" t="s">
        <v>635</v>
      </c>
      <c r="Y30" s="2" t="s">
        <v>635</v>
      </c>
      <c r="Z30" s="2"/>
      <c r="AA30" s="2" t="s">
        <v>635</v>
      </c>
      <c r="AB30" s="2" t="s">
        <v>635</v>
      </c>
      <c r="AD30" s="2" t="s">
        <v>635</v>
      </c>
      <c r="AE30" s="2" t="s">
        <v>635</v>
      </c>
      <c r="AG30" s="2" t="s">
        <v>635</v>
      </c>
      <c r="AH30" s="2" t="s">
        <v>635</v>
      </c>
      <c r="AJ30" s="2"/>
      <c r="AL30" s="2"/>
      <c r="AN30" s="2" t="s">
        <v>635</v>
      </c>
      <c r="AO30" s="2"/>
      <c r="AP30" s="2"/>
      <c r="AQ30" s="2" t="s">
        <v>635</v>
      </c>
      <c r="AR30" s="2" t="s">
        <v>635</v>
      </c>
      <c r="AS30" s="2" t="s">
        <v>635</v>
      </c>
      <c r="AT30" s="2" t="s">
        <v>635</v>
      </c>
      <c r="AU30" s="2" t="s">
        <v>635</v>
      </c>
      <c r="AV30" s="2" t="s">
        <v>635</v>
      </c>
      <c r="AW30" s="2" t="s">
        <v>635</v>
      </c>
      <c r="AX30" s="2" t="s">
        <v>635</v>
      </c>
      <c r="AY30" s="2" t="s">
        <v>635</v>
      </c>
      <c r="AZ30" s="2" t="s">
        <v>635</v>
      </c>
      <c r="BA30" s="2" t="s">
        <v>635</v>
      </c>
      <c r="BB30" s="2" t="s">
        <v>635</v>
      </c>
      <c r="BC30" s="2" t="s">
        <v>635</v>
      </c>
      <c r="BD30" s="2" t="s">
        <v>635</v>
      </c>
      <c r="BE30" s="2" t="s">
        <v>635</v>
      </c>
      <c r="BF30" s="2" t="s">
        <v>635</v>
      </c>
      <c r="BG30" s="2" t="s">
        <v>635</v>
      </c>
      <c r="BH30" s="2" t="s">
        <v>635</v>
      </c>
      <c r="BI30" s="2" t="s">
        <v>635</v>
      </c>
      <c r="BJ30" s="2" t="s">
        <v>635</v>
      </c>
      <c r="BK30" s="2" t="s">
        <v>635</v>
      </c>
      <c r="BL30" s="2" t="s">
        <v>635</v>
      </c>
      <c r="BM30" s="2" t="s">
        <v>635</v>
      </c>
      <c r="BN30" s="2" t="s">
        <v>635</v>
      </c>
      <c r="BO30" s="2" t="s">
        <v>635</v>
      </c>
      <c r="BP30" s="2" t="s">
        <v>635</v>
      </c>
      <c r="BQ30" s="2" t="s">
        <v>635</v>
      </c>
      <c r="BR30" s="2" t="s">
        <v>635</v>
      </c>
      <c r="BS30" s="2" t="s">
        <v>635</v>
      </c>
      <c r="BT30" s="2" t="s">
        <v>635</v>
      </c>
      <c r="BU30" s="2" t="s">
        <v>635</v>
      </c>
      <c r="BV30" s="2" t="s">
        <v>635</v>
      </c>
      <c r="BW30" s="2" t="s">
        <v>635</v>
      </c>
      <c r="BX30" s="2" t="s">
        <v>635</v>
      </c>
      <c r="BY30" s="2" t="s">
        <v>635</v>
      </c>
      <c r="BZ30" s="2" t="s">
        <v>635</v>
      </c>
      <c r="CA30" s="2" t="s">
        <v>635</v>
      </c>
      <c r="CB30" s="2" t="s">
        <v>635</v>
      </c>
      <c r="CC30" s="2" t="s">
        <v>635</v>
      </c>
      <c r="CD30" s="2" t="s">
        <v>635</v>
      </c>
    </row>
    <row r="31" spans="1:82" x14ac:dyDescent="0.25">
      <c r="A31" s="2" t="s">
        <v>376</v>
      </c>
      <c r="B31" s="2" t="s">
        <v>377</v>
      </c>
      <c r="C31" s="2" t="s">
        <v>635</v>
      </c>
      <c r="D31" s="2" t="s">
        <v>635</v>
      </c>
      <c r="E31" s="2" t="s">
        <v>346</v>
      </c>
      <c r="F31" s="2" t="s">
        <v>329</v>
      </c>
      <c r="G31" s="2" t="s">
        <v>330</v>
      </c>
      <c r="H31" s="2" t="s">
        <v>635</v>
      </c>
      <c r="I31" s="2" t="s">
        <v>175</v>
      </c>
      <c r="J31" s="2" t="s">
        <v>635</v>
      </c>
      <c r="K31" s="2" t="s">
        <v>175</v>
      </c>
      <c r="L31" s="2"/>
      <c r="M31" s="2" t="s">
        <v>635</v>
      </c>
      <c r="N31" s="2" t="s">
        <v>894</v>
      </c>
      <c r="O31" s="2" t="s">
        <v>895</v>
      </c>
      <c r="P31" s="2" t="s">
        <v>635</v>
      </c>
      <c r="Q31" s="2" t="s">
        <v>635</v>
      </c>
      <c r="S31" s="2" t="s">
        <v>635</v>
      </c>
      <c r="T31" s="2" t="s">
        <v>635</v>
      </c>
      <c r="U31" s="2" t="s">
        <v>35</v>
      </c>
      <c r="V31" s="2" t="s">
        <v>635</v>
      </c>
      <c r="W31" s="2" t="s">
        <v>635</v>
      </c>
      <c r="X31" s="2" t="s">
        <v>635</v>
      </c>
      <c r="Y31" s="2" t="s">
        <v>896</v>
      </c>
      <c r="Z31" s="2"/>
      <c r="AA31" s="2" t="s">
        <v>635</v>
      </c>
      <c r="AB31" s="2" t="s">
        <v>635</v>
      </c>
      <c r="AC31">
        <v>1</v>
      </c>
      <c r="AD31" s="2" t="s">
        <v>678</v>
      </c>
      <c r="AE31" s="2" t="s">
        <v>635</v>
      </c>
      <c r="AF31">
        <v>0</v>
      </c>
      <c r="AG31" s="2" t="s">
        <v>635</v>
      </c>
      <c r="AH31" s="2" t="s">
        <v>827</v>
      </c>
      <c r="AI31">
        <v>0</v>
      </c>
      <c r="AJ31" s="2">
        <v>0</v>
      </c>
      <c r="AK31">
        <v>0</v>
      </c>
      <c r="AL31" s="2"/>
      <c r="AM31">
        <v>0</v>
      </c>
      <c r="AN31" s="2" t="s">
        <v>827</v>
      </c>
      <c r="AO31" s="2">
        <v>0</v>
      </c>
      <c r="AP31" s="2">
        <v>0</v>
      </c>
      <c r="AQ31" s="2" t="s">
        <v>635</v>
      </c>
      <c r="AR31" s="2" t="s">
        <v>273</v>
      </c>
      <c r="AS31" s="2" t="s">
        <v>11</v>
      </c>
      <c r="AT31" s="2" t="s">
        <v>331</v>
      </c>
      <c r="AU31" s="2" t="s">
        <v>635</v>
      </c>
      <c r="AV31" s="2" t="s">
        <v>635</v>
      </c>
      <c r="AW31" s="2" t="s">
        <v>635</v>
      </c>
      <c r="AX31" s="2" t="s">
        <v>205</v>
      </c>
      <c r="AY31" s="2" t="s">
        <v>828</v>
      </c>
      <c r="AZ31" s="2" t="s">
        <v>271</v>
      </c>
      <c r="BA31" s="2" t="s">
        <v>641</v>
      </c>
      <c r="BB31" s="2" t="s">
        <v>635</v>
      </c>
      <c r="BC31" s="2" t="s">
        <v>635</v>
      </c>
      <c r="BD31" s="2" t="s">
        <v>897</v>
      </c>
      <c r="BE31" s="2" t="s">
        <v>635</v>
      </c>
      <c r="BF31" s="2" t="s">
        <v>635</v>
      </c>
      <c r="BG31" s="2" t="s">
        <v>635</v>
      </c>
      <c r="BH31" s="2" t="s">
        <v>635</v>
      </c>
      <c r="BI31" s="2" t="s">
        <v>635</v>
      </c>
      <c r="BJ31" s="2" t="s">
        <v>635</v>
      </c>
      <c r="BK31" s="2" t="s">
        <v>635</v>
      </c>
      <c r="BL31" s="2" t="s">
        <v>635</v>
      </c>
      <c r="BM31" s="2" t="s">
        <v>635</v>
      </c>
      <c r="BN31" s="2" t="s">
        <v>635</v>
      </c>
      <c r="BO31" s="2" t="s">
        <v>635</v>
      </c>
      <c r="BP31" s="2" t="s">
        <v>635</v>
      </c>
      <c r="BQ31" s="2" t="s">
        <v>635</v>
      </c>
      <c r="BR31" s="2" t="s">
        <v>635</v>
      </c>
      <c r="BS31" s="2" t="s">
        <v>635</v>
      </c>
      <c r="BT31" s="2" t="s">
        <v>635</v>
      </c>
      <c r="BU31" s="2" t="s">
        <v>635</v>
      </c>
      <c r="BV31" s="2" t="s">
        <v>635</v>
      </c>
      <c r="BW31" s="2" t="s">
        <v>635</v>
      </c>
      <c r="BX31" s="2" t="s">
        <v>635</v>
      </c>
      <c r="BY31" s="2" t="s">
        <v>635</v>
      </c>
      <c r="BZ31" s="2" t="s">
        <v>635</v>
      </c>
      <c r="CA31" s="2" t="s">
        <v>635</v>
      </c>
      <c r="CB31" s="2" t="s">
        <v>635</v>
      </c>
      <c r="CC31" s="2" t="s">
        <v>635</v>
      </c>
      <c r="CD31" s="2" t="s">
        <v>635</v>
      </c>
    </row>
    <row r="32" spans="1:82" x14ac:dyDescent="0.25">
      <c r="A32" s="2" t="s">
        <v>898</v>
      </c>
      <c r="B32" s="2" t="s">
        <v>635</v>
      </c>
      <c r="C32" s="2" t="s">
        <v>635</v>
      </c>
      <c r="D32" s="2" t="s">
        <v>635</v>
      </c>
      <c r="E32" s="2" t="s">
        <v>635</v>
      </c>
      <c r="F32" s="2" t="s">
        <v>635</v>
      </c>
      <c r="G32" s="2" t="s">
        <v>378</v>
      </c>
      <c r="H32" s="2" t="s">
        <v>635</v>
      </c>
      <c r="I32" s="2" t="s">
        <v>635</v>
      </c>
      <c r="J32" s="2" t="s">
        <v>14</v>
      </c>
      <c r="K32" s="2" t="s">
        <v>635</v>
      </c>
      <c r="L32" s="2"/>
      <c r="M32" s="2" t="s">
        <v>635</v>
      </c>
      <c r="N32" s="2" t="s">
        <v>272</v>
      </c>
      <c r="O32" s="2" t="s">
        <v>635</v>
      </c>
      <c r="P32" s="2" t="s">
        <v>635</v>
      </c>
      <c r="Q32" s="2" t="s">
        <v>899</v>
      </c>
      <c r="S32" s="2" t="s">
        <v>635</v>
      </c>
      <c r="T32" s="2" t="s">
        <v>635</v>
      </c>
      <c r="U32" s="2" t="s">
        <v>900</v>
      </c>
      <c r="V32" s="2" t="s">
        <v>635</v>
      </c>
      <c r="W32" s="2" t="s">
        <v>635</v>
      </c>
      <c r="X32" s="2" t="s">
        <v>635</v>
      </c>
      <c r="Y32" s="2" t="s">
        <v>635</v>
      </c>
      <c r="Z32" s="2"/>
      <c r="AA32" s="2" t="s">
        <v>635</v>
      </c>
      <c r="AB32" s="2" t="s">
        <v>635</v>
      </c>
      <c r="AD32" s="2" t="s">
        <v>635</v>
      </c>
      <c r="AE32" s="2" t="s">
        <v>635</v>
      </c>
      <c r="AG32" s="2" t="s">
        <v>635</v>
      </c>
      <c r="AH32" s="2" t="s">
        <v>635</v>
      </c>
      <c r="AJ32" s="2"/>
      <c r="AL32" s="2"/>
      <c r="AN32" s="2" t="s">
        <v>635</v>
      </c>
      <c r="AO32" s="2"/>
      <c r="AP32" s="2"/>
      <c r="AQ32" s="2" t="s">
        <v>635</v>
      </c>
      <c r="AR32" s="2" t="s">
        <v>635</v>
      </c>
      <c r="AS32" s="2" t="s">
        <v>635</v>
      </c>
      <c r="AT32" s="2" t="s">
        <v>635</v>
      </c>
      <c r="AU32" s="2" t="s">
        <v>635</v>
      </c>
      <c r="AV32" s="2" t="s">
        <v>635</v>
      </c>
      <c r="AW32" s="2" t="s">
        <v>635</v>
      </c>
      <c r="AX32" s="2" t="s">
        <v>635</v>
      </c>
      <c r="AY32" s="2" t="s">
        <v>635</v>
      </c>
      <c r="AZ32" s="2" t="s">
        <v>635</v>
      </c>
      <c r="BA32" s="2" t="s">
        <v>635</v>
      </c>
      <c r="BB32" s="2" t="s">
        <v>635</v>
      </c>
      <c r="BC32" s="2" t="s">
        <v>635</v>
      </c>
      <c r="BD32" s="2" t="s">
        <v>635</v>
      </c>
      <c r="BE32" s="2" t="s">
        <v>635</v>
      </c>
      <c r="BF32" s="2" t="s">
        <v>635</v>
      </c>
      <c r="BG32" s="2" t="s">
        <v>635</v>
      </c>
      <c r="BH32" s="2" t="s">
        <v>635</v>
      </c>
      <c r="BI32" s="2" t="s">
        <v>635</v>
      </c>
      <c r="BJ32" s="2" t="s">
        <v>635</v>
      </c>
      <c r="BK32" s="2" t="s">
        <v>635</v>
      </c>
      <c r="BL32" s="2" t="s">
        <v>635</v>
      </c>
      <c r="BM32" s="2" t="s">
        <v>635</v>
      </c>
      <c r="BN32" s="2" t="s">
        <v>635</v>
      </c>
      <c r="BO32" s="2" t="s">
        <v>635</v>
      </c>
      <c r="BP32" s="2" t="s">
        <v>635</v>
      </c>
      <c r="BQ32" s="2" t="s">
        <v>635</v>
      </c>
      <c r="BR32" s="2" t="s">
        <v>635</v>
      </c>
      <c r="BS32" s="2" t="s">
        <v>635</v>
      </c>
      <c r="BT32" s="2" t="s">
        <v>635</v>
      </c>
      <c r="BU32" s="2" t="s">
        <v>635</v>
      </c>
      <c r="BV32" s="2" t="s">
        <v>635</v>
      </c>
      <c r="BW32" s="2" t="s">
        <v>635</v>
      </c>
      <c r="BX32" s="2" t="s">
        <v>635</v>
      </c>
      <c r="BY32" s="2" t="s">
        <v>635</v>
      </c>
      <c r="BZ32" s="2" t="s">
        <v>635</v>
      </c>
      <c r="CA32" s="2" t="s">
        <v>635</v>
      </c>
      <c r="CB32" s="2" t="s">
        <v>635</v>
      </c>
      <c r="CC32" s="2" t="s">
        <v>635</v>
      </c>
      <c r="CD32" s="2" t="s">
        <v>635</v>
      </c>
    </row>
    <row r="33" spans="1:82" x14ac:dyDescent="0.25">
      <c r="A33" s="2" t="s">
        <v>901</v>
      </c>
      <c r="B33" s="2" t="s">
        <v>635</v>
      </c>
      <c r="C33" s="2" t="s">
        <v>99</v>
      </c>
      <c r="D33" s="2" t="s">
        <v>99</v>
      </c>
      <c r="E33" s="2" t="s">
        <v>274</v>
      </c>
      <c r="F33" s="2" t="s">
        <v>635</v>
      </c>
      <c r="G33" s="2" t="s">
        <v>635</v>
      </c>
      <c r="H33" s="2" t="s">
        <v>635</v>
      </c>
      <c r="I33" s="2" t="s">
        <v>635</v>
      </c>
      <c r="J33" s="2" t="s">
        <v>635</v>
      </c>
      <c r="K33" s="2" t="s">
        <v>635</v>
      </c>
      <c r="L33" s="2"/>
      <c r="M33" s="2" t="s">
        <v>635</v>
      </c>
      <c r="N33" s="2" t="s">
        <v>635</v>
      </c>
      <c r="O33" s="2" t="s">
        <v>635</v>
      </c>
      <c r="P33" s="2" t="s">
        <v>635</v>
      </c>
      <c r="Q33" s="2" t="s">
        <v>635</v>
      </c>
      <c r="S33" s="2" t="s">
        <v>635</v>
      </c>
      <c r="T33" s="2" t="s">
        <v>635</v>
      </c>
      <c r="U33" s="2" t="s">
        <v>635</v>
      </c>
      <c r="V33" s="2" t="s">
        <v>635</v>
      </c>
      <c r="W33" s="2" t="s">
        <v>635</v>
      </c>
      <c r="X33" s="2" t="s">
        <v>635</v>
      </c>
      <c r="Y33" s="2" t="s">
        <v>635</v>
      </c>
      <c r="Z33" s="2"/>
      <c r="AA33" s="2" t="s">
        <v>635</v>
      </c>
      <c r="AB33" s="2" t="s">
        <v>635</v>
      </c>
      <c r="AD33" s="2" t="s">
        <v>635</v>
      </c>
      <c r="AE33" s="2" t="s">
        <v>635</v>
      </c>
      <c r="AG33" s="2" t="s">
        <v>635</v>
      </c>
      <c r="AH33" s="2" t="s">
        <v>635</v>
      </c>
      <c r="AJ33" s="2"/>
      <c r="AL33" s="2"/>
      <c r="AN33" s="2" t="s">
        <v>635</v>
      </c>
      <c r="AO33" s="2"/>
      <c r="AP33" s="2"/>
      <c r="AQ33" s="2" t="s">
        <v>635</v>
      </c>
      <c r="AR33" s="2" t="s">
        <v>635</v>
      </c>
      <c r="AS33" s="2" t="s">
        <v>635</v>
      </c>
      <c r="AT33" s="2" t="s">
        <v>635</v>
      </c>
      <c r="AU33" s="2" t="s">
        <v>635</v>
      </c>
      <c r="AV33" s="2" t="s">
        <v>635</v>
      </c>
      <c r="AW33" s="2" t="s">
        <v>635</v>
      </c>
      <c r="AX33" s="2" t="s">
        <v>635</v>
      </c>
      <c r="AY33" s="2" t="s">
        <v>635</v>
      </c>
      <c r="AZ33" s="2" t="s">
        <v>635</v>
      </c>
      <c r="BA33" s="2" t="s">
        <v>635</v>
      </c>
      <c r="BB33" s="2" t="s">
        <v>635</v>
      </c>
      <c r="BC33" s="2" t="s">
        <v>635</v>
      </c>
      <c r="BD33" s="2" t="s">
        <v>635</v>
      </c>
      <c r="BE33" s="2" t="s">
        <v>635</v>
      </c>
      <c r="BF33" s="2" t="s">
        <v>635</v>
      </c>
      <c r="BG33" s="2" t="s">
        <v>635</v>
      </c>
      <c r="BH33" s="2" t="s">
        <v>635</v>
      </c>
      <c r="BI33" s="2" t="s">
        <v>635</v>
      </c>
      <c r="BJ33" s="2" t="s">
        <v>635</v>
      </c>
      <c r="BK33" s="2" t="s">
        <v>635</v>
      </c>
      <c r="BL33" s="2" t="s">
        <v>635</v>
      </c>
      <c r="BM33" s="2" t="s">
        <v>635</v>
      </c>
      <c r="BN33" s="2" t="s">
        <v>635</v>
      </c>
      <c r="BO33" s="2" t="s">
        <v>635</v>
      </c>
      <c r="BP33" s="2" t="s">
        <v>635</v>
      </c>
      <c r="BQ33" s="2" t="s">
        <v>635</v>
      </c>
      <c r="BR33" s="2" t="s">
        <v>635</v>
      </c>
      <c r="BS33" s="2" t="s">
        <v>635</v>
      </c>
      <c r="BT33" s="2" t="s">
        <v>635</v>
      </c>
      <c r="BU33" s="2" t="s">
        <v>635</v>
      </c>
      <c r="BV33" s="2" t="s">
        <v>635</v>
      </c>
      <c r="BW33" s="2" t="s">
        <v>635</v>
      </c>
      <c r="BX33" s="2" t="s">
        <v>635</v>
      </c>
      <c r="BY33" s="2" t="s">
        <v>635</v>
      </c>
      <c r="BZ33" s="2" t="s">
        <v>635</v>
      </c>
      <c r="CA33" s="2" t="s">
        <v>635</v>
      </c>
      <c r="CB33" s="2" t="s">
        <v>635</v>
      </c>
      <c r="CC33" s="2" t="s">
        <v>635</v>
      </c>
      <c r="CD33" s="2" t="s">
        <v>635</v>
      </c>
    </row>
    <row r="34" spans="1:82" x14ac:dyDescent="0.25">
      <c r="A34" s="2" t="s">
        <v>379</v>
      </c>
      <c r="B34" s="2" t="s">
        <v>380</v>
      </c>
      <c r="C34" s="2" t="s">
        <v>635</v>
      </c>
      <c r="D34" s="2" t="s">
        <v>635</v>
      </c>
      <c r="E34" s="2" t="s">
        <v>328</v>
      </c>
      <c r="F34" s="2" t="s">
        <v>329</v>
      </c>
      <c r="G34" s="2" t="s">
        <v>330</v>
      </c>
      <c r="H34" s="2" t="s">
        <v>635</v>
      </c>
      <c r="I34" s="2" t="s">
        <v>175</v>
      </c>
      <c r="J34" s="2" t="s">
        <v>635</v>
      </c>
      <c r="K34" s="2" t="s">
        <v>175</v>
      </c>
      <c r="L34" s="2"/>
      <c r="M34" s="2" t="s">
        <v>635</v>
      </c>
      <c r="N34" s="2" t="s">
        <v>902</v>
      </c>
      <c r="O34" s="2" t="s">
        <v>903</v>
      </c>
      <c r="P34" s="2" t="s">
        <v>635</v>
      </c>
      <c r="Q34" s="2" t="s">
        <v>635</v>
      </c>
      <c r="S34" s="2" t="s">
        <v>635</v>
      </c>
      <c r="T34" s="2" t="s">
        <v>635</v>
      </c>
      <c r="U34" s="2" t="s">
        <v>35</v>
      </c>
      <c r="V34" s="2" t="s">
        <v>635</v>
      </c>
      <c r="W34" s="2" t="s">
        <v>381</v>
      </c>
      <c r="X34" s="2" t="s">
        <v>635</v>
      </c>
      <c r="Y34" s="2" t="s">
        <v>826</v>
      </c>
      <c r="Z34" s="2"/>
      <c r="AA34" s="2" t="s">
        <v>635</v>
      </c>
      <c r="AB34" s="2" t="s">
        <v>635</v>
      </c>
      <c r="AC34">
        <v>1</v>
      </c>
      <c r="AD34" s="2" t="s">
        <v>678</v>
      </c>
      <c r="AE34" s="2" t="s">
        <v>635</v>
      </c>
      <c r="AF34">
        <v>0</v>
      </c>
      <c r="AG34" s="2" t="s">
        <v>635</v>
      </c>
      <c r="AH34" s="2" t="s">
        <v>827</v>
      </c>
      <c r="AI34">
        <v>0</v>
      </c>
      <c r="AJ34" s="2">
        <v>0</v>
      </c>
      <c r="AK34">
        <v>0</v>
      </c>
      <c r="AL34" s="2"/>
      <c r="AM34">
        <v>1</v>
      </c>
      <c r="AN34" s="2" t="s">
        <v>827</v>
      </c>
      <c r="AO34" s="2">
        <v>0</v>
      </c>
      <c r="AP34" s="2">
        <v>0</v>
      </c>
      <c r="AQ34" s="2" t="s">
        <v>635</v>
      </c>
      <c r="AR34" s="2" t="s">
        <v>178</v>
      </c>
      <c r="AS34" s="2" t="s">
        <v>11</v>
      </c>
      <c r="AT34" s="2" t="s">
        <v>331</v>
      </c>
      <c r="AU34" s="2" t="s">
        <v>635</v>
      </c>
      <c r="AV34" s="2" t="s">
        <v>635</v>
      </c>
      <c r="AW34" s="2" t="s">
        <v>635</v>
      </c>
      <c r="AX34" s="2" t="s">
        <v>174</v>
      </c>
      <c r="AY34" s="2" t="s">
        <v>904</v>
      </c>
      <c r="AZ34" s="2" t="s">
        <v>172</v>
      </c>
      <c r="BA34" s="2" t="s">
        <v>642</v>
      </c>
      <c r="BB34" s="2" t="s">
        <v>635</v>
      </c>
      <c r="BC34" s="2" t="s">
        <v>635</v>
      </c>
      <c r="BD34" s="2" t="s">
        <v>905</v>
      </c>
      <c r="BE34" s="2" t="s">
        <v>635</v>
      </c>
      <c r="BF34" s="2" t="s">
        <v>635</v>
      </c>
      <c r="BG34" s="2" t="s">
        <v>635</v>
      </c>
      <c r="BH34" s="2" t="s">
        <v>635</v>
      </c>
      <c r="BI34" s="2" t="s">
        <v>635</v>
      </c>
      <c r="BJ34" s="2" t="s">
        <v>635</v>
      </c>
      <c r="BK34" s="2" t="s">
        <v>635</v>
      </c>
      <c r="BL34" s="2" t="s">
        <v>635</v>
      </c>
      <c r="BM34" s="2" t="s">
        <v>635</v>
      </c>
      <c r="BN34" s="2" t="s">
        <v>635</v>
      </c>
      <c r="BO34" s="2" t="s">
        <v>635</v>
      </c>
      <c r="BP34" s="2" t="s">
        <v>635</v>
      </c>
      <c r="BQ34" s="2" t="s">
        <v>635</v>
      </c>
      <c r="BR34" s="2" t="s">
        <v>635</v>
      </c>
      <c r="BS34" s="2" t="s">
        <v>635</v>
      </c>
      <c r="BT34" s="2" t="s">
        <v>635</v>
      </c>
      <c r="BU34" s="2" t="s">
        <v>635</v>
      </c>
      <c r="BV34" s="2" t="s">
        <v>635</v>
      </c>
      <c r="BW34" s="2" t="s">
        <v>635</v>
      </c>
      <c r="BX34" s="2" t="s">
        <v>635</v>
      </c>
      <c r="BY34" s="2" t="s">
        <v>635</v>
      </c>
      <c r="BZ34" s="2" t="s">
        <v>635</v>
      </c>
      <c r="CA34" s="2" t="s">
        <v>635</v>
      </c>
      <c r="CB34" s="2" t="s">
        <v>635</v>
      </c>
      <c r="CC34" s="2" t="s">
        <v>635</v>
      </c>
      <c r="CD34" s="2" t="s">
        <v>635</v>
      </c>
    </row>
    <row r="35" spans="1:82" x14ac:dyDescent="0.25">
      <c r="A35" s="2" t="s">
        <v>906</v>
      </c>
      <c r="B35" s="2" t="s">
        <v>635</v>
      </c>
      <c r="C35" s="2" t="s">
        <v>635</v>
      </c>
      <c r="D35" s="2" t="s">
        <v>635</v>
      </c>
      <c r="E35" s="2" t="s">
        <v>635</v>
      </c>
      <c r="F35" s="2" t="s">
        <v>635</v>
      </c>
      <c r="G35" s="2" t="s">
        <v>382</v>
      </c>
      <c r="H35" s="2" t="s">
        <v>635</v>
      </c>
      <c r="I35" s="2" t="s">
        <v>635</v>
      </c>
      <c r="J35" s="2" t="s">
        <v>14</v>
      </c>
      <c r="K35" s="2" t="s">
        <v>635</v>
      </c>
      <c r="L35" s="2"/>
      <c r="M35" s="2" t="s">
        <v>635</v>
      </c>
      <c r="N35" s="2" t="s">
        <v>173</v>
      </c>
      <c r="O35" s="2" t="s">
        <v>635</v>
      </c>
      <c r="P35" s="2" t="s">
        <v>635</v>
      </c>
      <c r="Q35" s="2" t="s">
        <v>907</v>
      </c>
      <c r="S35" s="2" t="s">
        <v>176</v>
      </c>
      <c r="T35" s="2" t="s">
        <v>635</v>
      </c>
      <c r="U35" s="2" t="s">
        <v>905</v>
      </c>
      <c r="V35" s="2" t="s">
        <v>635</v>
      </c>
      <c r="W35" s="2" t="s">
        <v>635</v>
      </c>
      <c r="X35" s="2" t="s">
        <v>635</v>
      </c>
      <c r="Y35" s="2" t="s">
        <v>635</v>
      </c>
      <c r="Z35" s="2"/>
      <c r="AA35" s="2" t="s">
        <v>635</v>
      </c>
      <c r="AB35" s="2" t="s">
        <v>635</v>
      </c>
      <c r="AD35" s="2" t="s">
        <v>635</v>
      </c>
      <c r="AE35" s="2" t="s">
        <v>635</v>
      </c>
      <c r="AG35" s="2" t="s">
        <v>635</v>
      </c>
      <c r="AH35" s="2" t="s">
        <v>635</v>
      </c>
      <c r="AJ35" s="2"/>
      <c r="AL35" s="2"/>
      <c r="AN35" s="2" t="s">
        <v>635</v>
      </c>
      <c r="AO35" s="2"/>
      <c r="AP35" s="2"/>
      <c r="AQ35" s="2" t="s">
        <v>635</v>
      </c>
      <c r="AR35" s="2" t="s">
        <v>635</v>
      </c>
      <c r="AS35" s="2" t="s">
        <v>635</v>
      </c>
      <c r="AT35" s="2" t="s">
        <v>635</v>
      </c>
      <c r="AU35" s="2" t="s">
        <v>635</v>
      </c>
      <c r="AV35" s="2" t="s">
        <v>635</v>
      </c>
      <c r="AW35" s="2" t="s">
        <v>635</v>
      </c>
      <c r="AX35" s="2" t="s">
        <v>635</v>
      </c>
      <c r="AY35" s="2" t="s">
        <v>635</v>
      </c>
      <c r="AZ35" s="2" t="s">
        <v>635</v>
      </c>
      <c r="BA35" s="2" t="s">
        <v>635</v>
      </c>
      <c r="BB35" s="2" t="s">
        <v>635</v>
      </c>
      <c r="BC35" s="2" t="s">
        <v>635</v>
      </c>
      <c r="BD35" s="2" t="s">
        <v>635</v>
      </c>
      <c r="BE35" s="2" t="s">
        <v>635</v>
      </c>
      <c r="BF35" s="2" t="s">
        <v>635</v>
      </c>
      <c r="BG35" s="2" t="s">
        <v>635</v>
      </c>
      <c r="BH35" s="2" t="s">
        <v>635</v>
      </c>
      <c r="BI35" s="2" t="s">
        <v>635</v>
      </c>
      <c r="BJ35" s="2" t="s">
        <v>635</v>
      </c>
      <c r="BK35" s="2" t="s">
        <v>635</v>
      </c>
      <c r="BL35" s="2" t="s">
        <v>635</v>
      </c>
      <c r="BM35" s="2" t="s">
        <v>635</v>
      </c>
      <c r="BN35" s="2" t="s">
        <v>635</v>
      </c>
      <c r="BO35" s="2" t="s">
        <v>635</v>
      </c>
      <c r="BP35" s="2" t="s">
        <v>635</v>
      </c>
      <c r="BQ35" s="2" t="s">
        <v>635</v>
      </c>
      <c r="BR35" s="2" t="s">
        <v>635</v>
      </c>
      <c r="BS35" s="2" t="s">
        <v>635</v>
      </c>
      <c r="BT35" s="2" t="s">
        <v>635</v>
      </c>
      <c r="BU35" s="2" t="s">
        <v>635</v>
      </c>
      <c r="BV35" s="2" t="s">
        <v>635</v>
      </c>
      <c r="BW35" s="2" t="s">
        <v>635</v>
      </c>
      <c r="BX35" s="2" t="s">
        <v>635</v>
      </c>
      <c r="BY35" s="2" t="s">
        <v>635</v>
      </c>
      <c r="BZ35" s="2" t="s">
        <v>635</v>
      </c>
      <c r="CA35" s="2" t="s">
        <v>635</v>
      </c>
      <c r="CB35" s="2" t="s">
        <v>635</v>
      </c>
      <c r="CC35" s="2" t="s">
        <v>635</v>
      </c>
      <c r="CD35" s="2" t="s">
        <v>635</v>
      </c>
    </row>
    <row r="36" spans="1:82" x14ac:dyDescent="0.25">
      <c r="A36" s="2" t="s">
        <v>906</v>
      </c>
      <c r="B36" s="2" t="s">
        <v>635</v>
      </c>
      <c r="C36" s="2" t="s">
        <v>177</v>
      </c>
      <c r="D36" s="2" t="s">
        <v>153</v>
      </c>
      <c r="E36" s="2" t="s">
        <v>179</v>
      </c>
      <c r="F36" s="2" t="s">
        <v>635</v>
      </c>
      <c r="G36" s="2" t="s">
        <v>635</v>
      </c>
      <c r="H36" s="2" t="s">
        <v>635</v>
      </c>
      <c r="I36" s="2" t="s">
        <v>635</v>
      </c>
      <c r="J36" s="2" t="s">
        <v>635</v>
      </c>
      <c r="K36" s="2" t="s">
        <v>635</v>
      </c>
      <c r="L36" s="2"/>
      <c r="M36" s="2" t="s">
        <v>635</v>
      </c>
      <c r="N36" s="2" t="s">
        <v>635</v>
      </c>
      <c r="O36" s="2" t="s">
        <v>635</v>
      </c>
      <c r="P36" s="2" t="s">
        <v>635</v>
      </c>
      <c r="Q36" s="2" t="s">
        <v>635</v>
      </c>
      <c r="S36" s="2" t="s">
        <v>635</v>
      </c>
      <c r="T36" s="2" t="s">
        <v>635</v>
      </c>
      <c r="U36" s="2" t="s">
        <v>635</v>
      </c>
      <c r="V36" s="2" t="s">
        <v>635</v>
      </c>
      <c r="W36" s="2" t="s">
        <v>635</v>
      </c>
      <c r="X36" s="2" t="s">
        <v>635</v>
      </c>
      <c r="Y36" s="2" t="s">
        <v>635</v>
      </c>
      <c r="Z36" s="2"/>
      <c r="AA36" s="2" t="s">
        <v>635</v>
      </c>
      <c r="AB36" s="2" t="s">
        <v>635</v>
      </c>
      <c r="AD36" s="2" t="s">
        <v>635</v>
      </c>
      <c r="AE36" s="2" t="s">
        <v>635</v>
      </c>
      <c r="AG36" s="2" t="s">
        <v>635</v>
      </c>
      <c r="AH36" s="2" t="s">
        <v>635</v>
      </c>
      <c r="AJ36" s="2"/>
      <c r="AL36" s="2"/>
      <c r="AN36" s="2" t="s">
        <v>635</v>
      </c>
      <c r="AO36" s="2"/>
      <c r="AP36" s="2"/>
      <c r="AQ36" s="2" t="s">
        <v>635</v>
      </c>
      <c r="AR36" s="2" t="s">
        <v>635</v>
      </c>
      <c r="AS36" s="2" t="s">
        <v>635</v>
      </c>
      <c r="AT36" s="2" t="s">
        <v>635</v>
      </c>
      <c r="AU36" s="2" t="s">
        <v>635</v>
      </c>
      <c r="AV36" s="2" t="s">
        <v>635</v>
      </c>
      <c r="AW36" s="2" t="s">
        <v>635</v>
      </c>
      <c r="AX36" s="2" t="s">
        <v>635</v>
      </c>
      <c r="AY36" s="2" t="s">
        <v>635</v>
      </c>
      <c r="AZ36" s="2" t="s">
        <v>635</v>
      </c>
      <c r="BA36" s="2" t="s">
        <v>635</v>
      </c>
      <c r="BB36" s="2" t="s">
        <v>635</v>
      </c>
      <c r="BC36" s="2" t="s">
        <v>635</v>
      </c>
      <c r="BD36" s="2" t="s">
        <v>635</v>
      </c>
      <c r="BE36" s="2" t="s">
        <v>635</v>
      </c>
      <c r="BF36" s="2" t="s">
        <v>635</v>
      </c>
      <c r="BG36" s="2" t="s">
        <v>635</v>
      </c>
      <c r="BH36" s="2" t="s">
        <v>635</v>
      </c>
      <c r="BI36" s="2" t="s">
        <v>635</v>
      </c>
      <c r="BJ36" s="2" t="s">
        <v>635</v>
      </c>
      <c r="BK36" s="2" t="s">
        <v>635</v>
      </c>
      <c r="BL36" s="2" t="s">
        <v>635</v>
      </c>
      <c r="BM36" s="2" t="s">
        <v>635</v>
      </c>
      <c r="BN36" s="2" t="s">
        <v>635</v>
      </c>
      <c r="BO36" s="2" t="s">
        <v>635</v>
      </c>
      <c r="BP36" s="2" t="s">
        <v>635</v>
      </c>
      <c r="BQ36" s="2" t="s">
        <v>635</v>
      </c>
      <c r="BR36" s="2" t="s">
        <v>635</v>
      </c>
      <c r="BS36" s="2" t="s">
        <v>635</v>
      </c>
      <c r="BT36" s="2" t="s">
        <v>635</v>
      </c>
      <c r="BU36" s="2" t="s">
        <v>635</v>
      </c>
      <c r="BV36" s="2" t="s">
        <v>635</v>
      </c>
      <c r="BW36" s="2" t="s">
        <v>635</v>
      </c>
      <c r="BX36" s="2" t="s">
        <v>635</v>
      </c>
      <c r="BY36" s="2" t="s">
        <v>635</v>
      </c>
      <c r="BZ36" s="2" t="s">
        <v>635</v>
      </c>
      <c r="CA36" s="2" t="s">
        <v>635</v>
      </c>
      <c r="CB36" s="2" t="s">
        <v>635</v>
      </c>
      <c r="CC36" s="2" t="s">
        <v>635</v>
      </c>
      <c r="CD36" s="2" t="s">
        <v>635</v>
      </c>
    </row>
    <row r="37" spans="1:82" x14ac:dyDescent="0.25">
      <c r="A37" s="2" t="s">
        <v>344</v>
      </c>
      <c r="B37" s="2" t="s">
        <v>345</v>
      </c>
      <c r="C37" s="2" t="s">
        <v>635</v>
      </c>
      <c r="D37" s="2" t="s">
        <v>635</v>
      </c>
      <c r="E37" s="2" t="s">
        <v>346</v>
      </c>
      <c r="F37" s="2" t="s">
        <v>329</v>
      </c>
      <c r="G37" s="2" t="s">
        <v>330</v>
      </c>
      <c r="H37" s="2" t="s">
        <v>347</v>
      </c>
      <c r="I37" s="2" t="s">
        <v>64</v>
      </c>
      <c r="J37" s="2" t="s">
        <v>635</v>
      </c>
      <c r="K37" s="2" t="s">
        <v>64</v>
      </c>
      <c r="L37" s="2"/>
      <c r="M37" s="2" t="s">
        <v>635</v>
      </c>
      <c r="N37" s="2" t="s">
        <v>908</v>
      </c>
      <c r="O37" s="2" t="s">
        <v>909</v>
      </c>
      <c r="P37" s="2" t="s">
        <v>854</v>
      </c>
      <c r="Q37" s="2" t="s">
        <v>635</v>
      </c>
      <c r="R37">
        <v>40</v>
      </c>
      <c r="S37" s="2" t="s">
        <v>383</v>
      </c>
      <c r="T37" s="2" t="s">
        <v>635</v>
      </c>
      <c r="U37" s="2" t="s">
        <v>35</v>
      </c>
      <c r="V37" s="2" t="s">
        <v>635</v>
      </c>
      <c r="W37" s="2" t="s">
        <v>384</v>
      </c>
      <c r="X37" s="2" t="s">
        <v>350</v>
      </c>
      <c r="Y37" s="2" t="s">
        <v>826</v>
      </c>
      <c r="Z37" s="2"/>
      <c r="AA37" s="2" t="s">
        <v>635</v>
      </c>
      <c r="AB37" s="2" t="s">
        <v>635</v>
      </c>
      <c r="AC37">
        <v>1</v>
      </c>
      <c r="AD37" s="2" t="s">
        <v>678</v>
      </c>
      <c r="AE37" s="2" t="s">
        <v>635</v>
      </c>
      <c r="AF37">
        <v>0</v>
      </c>
      <c r="AG37" s="2" t="s">
        <v>635</v>
      </c>
      <c r="AH37" s="2" t="s">
        <v>827</v>
      </c>
      <c r="AI37">
        <v>0</v>
      </c>
      <c r="AJ37" s="2">
        <v>0</v>
      </c>
      <c r="AK37">
        <v>0</v>
      </c>
      <c r="AL37" s="2"/>
      <c r="AM37">
        <v>0</v>
      </c>
      <c r="AN37" s="2" t="s">
        <v>827</v>
      </c>
      <c r="AO37" s="2">
        <v>0</v>
      </c>
      <c r="AP37" s="2">
        <v>0</v>
      </c>
      <c r="AQ37" s="2" t="s">
        <v>635</v>
      </c>
      <c r="AR37" s="2" t="s">
        <v>910</v>
      </c>
      <c r="AS37" s="2" t="s">
        <v>11</v>
      </c>
      <c r="AT37" s="2" t="s">
        <v>351</v>
      </c>
      <c r="AU37" s="2" t="s">
        <v>884</v>
      </c>
      <c r="AV37" s="2" t="s">
        <v>635</v>
      </c>
      <c r="AW37" s="2" t="s">
        <v>635</v>
      </c>
      <c r="AX37" s="2" t="s">
        <v>193</v>
      </c>
      <c r="AY37" s="2" t="s">
        <v>854</v>
      </c>
      <c r="AZ37" s="2" t="s">
        <v>191</v>
      </c>
      <c r="BA37" s="2" t="s">
        <v>668</v>
      </c>
      <c r="BB37" s="2" t="s">
        <v>635</v>
      </c>
      <c r="BC37" s="2" t="s">
        <v>635</v>
      </c>
      <c r="BD37" s="2" t="s">
        <v>911</v>
      </c>
      <c r="BE37" s="2" t="s">
        <v>635</v>
      </c>
      <c r="BF37" s="2" t="s">
        <v>635</v>
      </c>
      <c r="BG37" s="2" t="s">
        <v>635</v>
      </c>
      <c r="BH37" s="2" t="s">
        <v>635</v>
      </c>
      <c r="BI37" s="2" t="s">
        <v>635</v>
      </c>
      <c r="BJ37" s="2" t="s">
        <v>635</v>
      </c>
      <c r="BK37" s="2" t="s">
        <v>635</v>
      </c>
      <c r="BL37" s="2" t="s">
        <v>635</v>
      </c>
      <c r="BM37" s="2" t="s">
        <v>635</v>
      </c>
      <c r="BN37" s="2" t="s">
        <v>635</v>
      </c>
      <c r="BO37" s="2" t="s">
        <v>635</v>
      </c>
      <c r="BP37" s="2" t="s">
        <v>635</v>
      </c>
      <c r="BQ37" s="2" t="s">
        <v>635</v>
      </c>
      <c r="BR37" s="2" t="s">
        <v>635</v>
      </c>
      <c r="BS37" s="2" t="s">
        <v>635</v>
      </c>
      <c r="BT37" s="2" t="s">
        <v>635</v>
      </c>
      <c r="BU37" s="2" t="s">
        <v>635</v>
      </c>
      <c r="BV37" s="2" t="s">
        <v>635</v>
      </c>
      <c r="BW37" s="2" t="s">
        <v>635</v>
      </c>
      <c r="BX37" s="2" t="s">
        <v>635</v>
      </c>
      <c r="BY37" s="2" t="s">
        <v>635</v>
      </c>
      <c r="BZ37" s="2" t="s">
        <v>635</v>
      </c>
      <c r="CA37" s="2" t="s">
        <v>635</v>
      </c>
      <c r="CB37" s="2" t="s">
        <v>635</v>
      </c>
      <c r="CC37" s="2" t="s">
        <v>635</v>
      </c>
      <c r="CD37" s="2" t="s">
        <v>635</v>
      </c>
    </row>
    <row r="38" spans="1:82" x14ac:dyDescent="0.25">
      <c r="A38" s="2" t="s">
        <v>912</v>
      </c>
      <c r="B38" s="2" t="s">
        <v>913</v>
      </c>
      <c r="C38" s="2" t="s">
        <v>837</v>
      </c>
      <c r="D38" s="2" t="s">
        <v>635</v>
      </c>
      <c r="E38" s="2" t="s">
        <v>635</v>
      </c>
      <c r="F38" s="2" t="s">
        <v>635</v>
      </c>
      <c r="G38" s="2" t="s">
        <v>353</v>
      </c>
      <c r="H38" s="2" t="s">
        <v>635</v>
      </c>
      <c r="I38" s="2" t="s">
        <v>635</v>
      </c>
      <c r="J38" s="2" t="s">
        <v>23</v>
      </c>
      <c r="K38" s="2" t="s">
        <v>635</v>
      </c>
      <c r="L38" s="2"/>
      <c r="M38" s="2" t="s">
        <v>333</v>
      </c>
      <c r="N38" s="2" t="s">
        <v>192</v>
      </c>
      <c r="O38" s="2" t="s">
        <v>57</v>
      </c>
      <c r="P38" s="2" t="s">
        <v>635</v>
      </c>
      <c r="Q38" s="2" t="s">
        <v>914</v>
      </c>
      <c r="S38" s="2" t="s">
        <v>194</v>
      </c>
      <c r="T38" s="2" t="s">
        <v>46</v>
      </c>
      <c r="U38" s="2" t="s">
        <v>911</v>
      </c>
      <c r="V38" s="2" t="s">
        <v>635</v>
      </c>
      <c r="W38" s="2" t="s">
        <v>635</v>
      </c>
      <c r="X38" s="2" t="s">
        <v>635</v>
      </c>
      <c r="Y38" s="2" t="s">
        <v>635</v>
      </c>
      <c r="Z38" s="2"/>
      <c r="AA38" s="2" t="s">
        <v>635</v>
      </c>
      <c r="AB38" s="2" t="s">
        <v>635</v>
      </c>
      <c r="AD38" s="2" t="s">
        <v>635</v>
      </c>
      <c r="AE38" s="2" t="s">
        <v>635</v>
      </c>
      <c r="AG38" s="2" t="s">
        <v>635</v>
      </c>
      <c r="AH38" s="2" t="s">
        <v>635</v>
      </c>
      <c r="AJ38" s="2"/>
      <c r="AL38" s="2"/>
      <c r="AN38" s="2" t="s">
        <v>635</v>
      </c>
      <c r="AO38" s="2"/>
      <c r="AP38" s="2"/>
      <c r="AQ38" s="2" t="s">
        <v>635</v>
      </c>
      <c r="AR38" s="2" t="s">
        <v>635</v>
      </c>
      <c r="AS38" s="2" t="s">
        <v>635</v>
      </c>
      <c r="AT38" s="2" t="s">
        <v>635</v>
      </c>
      <c r="AU38" s="2" t="s">
        <v>635</v>
      </c>
      <c r="AV38" s="2" t="s">
        <v>635</v>
      </c>
      <c r="AW38" s="2" t="s">
        <v>635</v>
      </c>
      <c r="AX38" s="2" t="s">
        <v>635</v>
      </c>
      <c r="AY38" s="2" t="s">
        <v>635</v>
      </c>
      <c r="AZ38" s="2" t="s">
        <v>635</v>
      </c>
      <c r="BA38" s="2" t="s">
        <v>635</v>
      </c>
      <c r="BB38" s="2" t="s">
        <v>635</v>
      </c>
      <c r="BC38" s="2" t="s">
        <v>635</v>
      </c>
      <c r="BD38" s="2" t="s">
        <v>635</v>
      </c>
      <c r="BE38" s="2" t="s">
        <v>635</v>
      </c>
      <c r="BF38" s="2" t="s">
        <v>635</v>
      </c>
      <c r="BG38" s="2" t="s">
        <v>635</v>
      </c>
      <c r="BH38" s="2" t="s">
        <v>635</v>
      </c>
      <c r="BI38" s="2" t="s">
        <v>635</v>
      </c>
      <c r="BJ38" s="2" t="s">
        <v>635</v>
      </c>
      <c r="BK38" s="2" t="s">
        <v>635</v>
      </c>
      <c r="BL38" s="2" t="s">
        <v>635</v>
      </c>
      <c r="BM38" s="2" t="s">
        <v>635</v>
      </c>
      <c r="BN38" s="2" t="s">
        <v>635</v>
      </c>
      <c r="BO38" s="2" t="s">
        <v>635</v>
      </c>
      <c r="BP38" s="2" t="s">
        <v>635</v>
      </c>
      <c r="BQ38" s="2" t="s">
        <v>635</v>
      </c>
      <c r="BR38" s="2" t="s">
        <v>635</v>
      </c>
      <c r="BS38" s="2" t="s">
        <v>635</v>
      </c>
      <c r="BT38" s="2" t="s">
        <v>635</v>
      </c>
      <c r="BU38" s="2" t="s">
        <v>635</v>
      </c>
      <c r="BV38" s="2" t="s">
        <v>635</v>
      </c>
      <c r="BW38" s="2" t="s">
        <v>635</v>
      </c>
      <c r="BX38" s="2" t="s">
        <v>635</v>
      </c>
      <c r="BY38" s="2" t="s">
        <v>635</v>
      </c>
      <c r="BZ38" s="2" t="s">
        <v>635</v>
      </c>
      <c r="CA38" s="2" t="s">
        <v>635</v>
      </c>
      <c r="CB38" s="2" t="s">
        <v>635</v>
      </c>
      <c r="CC38" s="2" t="s">
        <v>635</v>
      </c>
      <c r="CD38" s="2" t="s">
        <v>635</v>
      </c>
    </row>
    <row r="39" spans="1:82" x14ac:dyDescent="0.25">
      <c r="A39" s="2" t="s">
        <v>915</v>
      </c>
      <c r="B39" s="2" t="s">
        <v>671</v>
      </c>
      <c r="C39" s="2" t="s">
        <v>195</v>
      </c>
      <c r="D39" s="2" t="s">
        <v>6</v>
      </c>
      <c r="E39" s="2" t="s">
        <v>196</v>
      </c>
      <c r="F39" s="2" t="s">
        <v>635</v>
      </c>
      <c r="G39" s="2" t="s">
        <v>635</v>
      </c>
      <c r="H39" s="2" t="s">
        <v>635</v>
      </c>
      <c r="I39" s="2" t="s">
        <v>635</v>
      </c>
      <c r="J39" s="2" t="s">
        <v>635</v>
      </c>
      <c r="K39" s="2" t="s">
        <v>635</v>
      </c>
      <c r="L39" s="2"/>
      <c r="M39" s="2" t="s">
        <v>635</v>
      </c>
      <c r="N39" s="2" t="s">
        <v>635</v>
      </c>
      <c r="O39" s="2" t="s">
        <v>635</v>
      </c>
      <c r="P39" s="2" t="s">
        <v>635</v>
      </c>
      <c r="Q39" s="2" t="s">
        <v>635</v>
      </c>
      <c r="S39" s="2" t="s">
        <v>635</v>
      </c>
      <c r="T39" s="2" t="s">
        <v>635</v>
      </c>
      <c r="U39" s="2" t="s">
        <v>635</v>
      </c>
      <c r="V39" s="2" t="s">
        <v>635</v>
      </c>
      <c r="W39" s="2" t="s">
        <v>635</v>
      </c>
      <c r="X39" s="2" t="s">
        <v>635</v>
      </c>
      <c r="Y39" s="2" t="s">
        <v>635</v>
      </c>
      <c r="Z39" s="2"/>
      <c r="AA39" s="2" t="s">
        <v>635</v>
      </c>
      <c r="AB39" s="2" t="s">
        <v>635</v>
      </c>
      <c r="AD39" s="2" t="s">
        <v>635</v>
      </c>
      <c r="AE39" s="2" t="s">
        <v>635</v>
      </c>
      <c r="AG39" s="2" t="s">
        <v>635</v>
      </c>
      <c r="AH39" s="2" t="s">
        <v>635</v>
      </c>
      <c r="AJ39" s="2"/>
      <c r="AL39" s="2"/>
      <c r="AN39" s="2" t="s">
        <v>635</v>
      </c>
      <c r="AO39" s="2"/>
      <c r="AP39" s="2"/>
      <c r="AQ39" s="2" t="s">
        <v>635</v>
      </c>
      <c r="AR39" s="2" t="s">
        <v>635</v>
      </c>
      <c r="AS39" s="2" t="s">
        <v>635</v>
      </c>
      <c r="AT39" s="2" t="s">
        <v>635</v>
      </c>
      <c r="AU39" s="2" t="s">
        <v>635</v>
      </c>
      <c r="AV39" s="2" t="s">
        <v>635</v>
      </c>
      <c r="AW39" s="2" t="s">
        <v>635</v>
      </c>
      <c r="AX39" s="2" t="s">
        <v>635</v>
      </c>
      <c r="AY39" s="2" t="s">
        <v>635</v>
      </c>
      <c r="AZ39" s="2" t="s">
        <v>635</v>
      </c>
      <c r="BA39" s="2" t="s">
        <v>635</v>
      </c>
      <c r="BB39" s="2" t="s">
        <v>635</v>
      </c>
      <c r="BC39" s="2" t="s">
        <v>635</v>
      </c>
      <c r="BD39" s="2" t="s">
        <v>635</v>
      </c>
      <c r="BE39" s="2" t="s">
        <v>635</v>
      </c>
      <c r="BF39" s="2" t="s">
        <v>635</v>
      </c>
      <c r="BG39" s="2" t="s">
        <v>635</v>
      </c>
      <c r="BH39" s="2" t="s">
        <v>635</v>
      </c>
      <c r="BI39" s="2" t="s">
        <v>635</v>
      </c>
      <c r="BJ39" s="2" t="s">
        <v>635</v>
      </c>
      <c r="BK39" s="2" t="s">
        <v>635</v>
      </c>
      <c r="BL39" s="2" t="s">
        <v>635</v>
      </c>
      <c r="BM39" s="2" t="s">
        <v>635</v>
      </c>
      <c r="BN39" s="2" t="s">
        <v>635</v>
      </c>
      <c r="BO39" s="2" t="s">
        <v>635</v>
      </c>
      <c r="BP39" s="2" t="s">
        <v>635</v>
      </c>
      <c r="BQ39" s="2" t="s">
        <v>635</v>
      </c>
      <c r="BR39" s="2" t="s">
        <v>635</v>
      </c>
      <c r="BS39" s="2" t="s">
        <v>635</v>
      </c>
      <c r="BT39" s="2" t="s">
        <v>635</v>
      </c>
      <c r="BU39" s="2" t="s">
        <v>635</v>
      </c>
      <c r="BV39" s="2" t="s">
        <v>635</v>
      </c>
      <c r="BW39" s="2" t="s">
        <v>635</v>
      </c>
      <c r="BX39" s="2" t="s">
        <v>635</v>
      </c>
      <c r="BY39" s="2" t="s">
        <v>635</v>
      </c>
      <c r="BZ39" s="2" t="s">
        <v>635</v>
      </c>
      <c r="CA39" s="2" t="s">
        <v>635</v>
      </c>
      <c r="CB39" s="2" t="s">
        <v>635</v>
      </c>
      <c r="CC39" s="2" t="s">
        <v>635</v>
      </c>
      <c r="CD39" s="2" t="s">
        <v>635</v>
      </c>
    </row>
    <row r="40" spans="1:82" x14ac:dyDescent="0.25">
      <c r="A40" s="2" t="s">
        <v>385</v>
      </c>
      <c r="B40" s="2" t="s">
        <v>386</v>
      </c>
      <c r="C40" s="2" t="s">
        <v>635</v>
      </c>
      <c r="D40" s="2" t="s">
        <v>635</v>
      </c>
      <c r="E40" s="2" t="s">
        <v>346</v>
      </c>
      <c r="F40" s="2" t="s">
        <v>329</v>
      </c>
      <c r="G40" s="2" t="s">
        <v>330</v>
      </c>
      <c r="H40" s="2" t="s">
        <v>635</v>
      </c>
      <c r="I40" s="2" t="s">
        <v>18</v>
      </c>
      <c r="J40" s="2" t="s">
        <v>635</v>
      </c>
      <c r="K40" s="2" t="s">
        <v>18</v>
      </c>
      <c r="L40" s="2"/>
      <c r="M40" s="2" t="s">
        <v>635</v>
      </c>
      <c r="N40" s="2" t="s">
        <v>916</v>
      </c>
      <c r="O40" s="2" t="s">
        <v>834</v>
      </c>
      <c r="P40" s="2" t="s">
        <v>635</v>
      </c>
      <c r="Q40" s="2" t="s">
        <v>635</v>
      </c>
      <c r="S40" s="2" t="s">
        <v>635</v>
      </c>
      <c r="T40" s="2" t="s">
        <v>635</v>
      </c>
      <c r="U40" s="2" t="s">
        <v>35</v>
      </c>
      <c r="V40" s="2" t="s">
        <v>635</v>
      </c>
      <c r="W40" s="2" t="s">
        <v>917</v>
      </c>
      <c r="X40" s="2" t="s">
        <v>635</v>
      </c>
      <c r="Y40" s="2" t="s">
        <v>635</v>
      </c>
      <c r="Z40" s="2"/>
      <c r="AA40" s="2" t="s">
        <v>635</v>
      </c>
      <c r="AB40" s="2" t="s">
        <v>635</v>
      </c>
      <c r="AD40" s="2" t="s">
        <v>635</v>
      </c>
      <c r="AE40" s="2" t="s">
        <v>635</v>
      </c>
      <c r="AG40" s="2" t="s">
        <v>635</v>
      </c>
      <c r="AH40" s="2" t="s">
        <v>635</v>
      </c>
      <c r="AJ40" s="2"/>
      <c r="AL40" s="2"/>
      <c r="AN40" s="2" t="s">
        <v>635</v>
      </c>
      <c r="AO40" s="2"/>
      <c r="AP40" s="2"/>
      <c r="AQ40" s="2" t="s">
        <v>635</v>
      </c>
      <c r="AR40" s="2" t="s">
        <v>635</v>
      </c>
      <c r="AS40" s="2" t="s">
        <v>635</v>
      </c>
      <c r="AT40" s="2" t="s">
        <v>635</v>
      </c>
      <c r="AU40" s="2" t="s">
        <v>635</v>
      </c>
      <c r="AV40" s="2" t="s">
        <v>635</v>
      </c>
      <c r="AW40" s="2" t="s">
        <v>635</v>
      </c>
      <c r="AX40" s="2" t="s">
        <v>635</v>
      </c>
      <c r="AY40" s="2" t="s">
        <v>635</v>
      </c>
      <c r="AZ40" s="2" t="s">
        <v>635</v>
      </c>
      <c r="BA40" s="2" t="s">
        <v>635</v>
      </c>
      <c r="BB40" s="2" t="s">
        <v>635</v>
      </c>
      <c r="BC40" s="2" t="s">
        <v>635</v>
      </c>
      <c r="BD40" s="2" t="s">
        <v>635</v>
      </c>
      <c r="BE40" s="2" t="s">
        <v>635</v>
      </c>
      <c r="BF40" s="2" t="s">
        <v>635</v>
      </c>
      <c r="BG40" s="2" t="s">
        <v>635</v>
      </c>
      <c r="BH40" s="2" t="s">
        <v>635</v>
      </c>
      <c r="BI40" s="2" t="s">
        <v>635</v>
      </c>
      <c r="BJ40" s="2" t="s">
        <v>635</v>
      </c>
      <c r="BK40" s="2" t="s">
        <v>635</v>
      </c>
      <c r="BL40" s="2" t="s">
        <v>635</v>
      </c>
      <c r="BM40" s="2" t="s">
        <v>635</v>
      </c>
      <c r="BN40" s="2" t="s">
        <v>635</v>
      </c>
      <c r="BO40" s="2" t="s">
        <v>635</v>
      </c>
      <c r="BP40" s="2" t="s">
        <v>635</v>
      </c>
      <c r="BQ40" s="2" t="s">
        <v>635</v>
      </c>
      <c r="BR40" s="2" t="s">
        <v>635</v>
      </c>
      <c r="BS40" s="2" t="s">
        <v>635</v>
      </c>
      <c r="BT40" s="2" t="s">
        <v>635</v>
      </c>
      <c r="BU40" s="2" t="s">
        <v>635</v>
      </c>
      <c r="BV40" s="2" t="s">
        <v>635</v>
      </c>
      <c r="BW40" s="2" t="s">
        <v>635</v>
      </c>
      <c r="BX40" s="2" t="s">
        <v>635</v>
      </c>
      <c r="BY40" s="2" t="s">
        <v>635</v>
      </c>
      <c r="BZ40" s="2" t="s">
        <v>635</v>
      </c>
      <c r="CA40" s="2" t="s">
        <v>635</v>
      </c>
      <c r="CB40" s="2" t="s">
        <v>635</v>
      </c>
      <c r="CC40" s="2" t="s">
        <v>635</v>
      </c>
      <c r="CD40" s="2" t="s">
        <v>635</v>
      </c>
    </row>
    <row r="41" spans="1:82" x14ac:dyDescent="0.25">
      <c r="A41" s="2" t="s">
        <v>918</v>
      </c>
      <c r="B41" s="2" t="s">
        <v>635</v>
      </c>
      <c r="C41" s="2" t="s">
        <v>869</v>
      </c>
      <c r="D41" s="2" t="s">
        <v>635</v>
      </c>
      <c r="E41" s="2" t="s">
        <v>635</v>
      </c>
      <c r="F41" s="2" t="s">
        <v>635</v>
      </c>
      <c r="G41" s="2" t="s">
        <v>678</v>
      </c>
      <c r="H41" s="2" t="s">
        <v>678</v>
      </c>
      <c r="I41" s="2" t="s">
        <v>635</v>
      </c>
      <c r="J41" s="2" t="s">
        <v>827</v>
      </c>
      <c r="K41" s="2" t="s">
        <v>635</v>
      </c>
      <c r="L41" s="2">
        <v>0</v>
      </c>
      <c r="M41" s="2" t="s">
        <v>827</v>
      </c>
      <c r="N41" s="2" t="s">
        <v>827</v>
      </c>
      <c r="O41" s="2" t="s">
        <v>827</v>
      </c>
      <c r="P41" s="2" t="s">
        <v>635</v>
      </c>
      <c r="Q41" s="2" t="s">
        <v>827</v>
      </c>
      <c r="R41">
        <v>0</v>
      </c>
      <c r="S41" s="2" t="s">
        <v>827</v>
      </c>
      <c r="T41" s="2" t="s">
        <v>827</v>
      </c>
      <c r="U41" s="2" t="s">
        <v>635</v>
      </c>
      <c r="V41" s="2" t="s">
        <v>234</v>
      </c>
      <c r="W41" s="2" t="s">
        <v>11</v>
      </c>
      <c r="X41" s="2" t="s">
        <v>331</v>
      </c>
      <c r="Y41" s="2" t="s">
        <v>635</v>
      </c>
      <c r="Z41" s="2"/>
      <c r="AA41" s="2" t="s">
        <v>635</v>
      </c>
      <c r="AB41" s="2" t="s">
        <v>116</v>
      </c>
      <c r="AC41">
        <v>30</v>
      </c>
      <c r="AD41" s="2" t="s">
        <v>230</v>
      </c>
      <c r="AE41" s="2" t="s">
        <v>643</v>
      </c>
      <c r="AG41" s="2" t="s">
        <v>635</v>
      </c>
      <c r="AH41" s="2" t="s">
        <v>387</v>
      </c>
      <c r="AJ41" s="2">
        <v>2</v>
      </c>
      <c r="AL41" s="2"/>
      <c r="AN41" s="2" t="s">
        <v>388</v>
      </c>
      <c r="AO41" s="2"/>
      <c r="AP41" s="2"/>
      <c r="AQ41" s="2" t="s">
        <v>14</v>
      </c>
      <c r="AR41" s="2" t="s">
        <v>635</v>
      </c>
      <c r="AS41" s="2" t="s">
        <v>635</v>
      </c>
      <c r="AT41" s="2" t="s">
        <v>635</v>
      </c>
      <c r="AU41" s="2" t="s">
        <v>231</v>
      </c>
      <c r="AV41" s="2" t="s">
        <v>635</v>
      </c>
      <c r="AW41" s="2" t="s">
        <v>635</v>
      </c>
      <c r="AX41" s="2" t="s">
        <v>919</v>
      </c>
      <c r="AY41" s="2" t="s">
        <v>635</v>
      </c>
      <c r="AZ41" s="2" t="s">
        <v>232</v>
      </c>
      <c r="BA41" s="2" t="s">
        <v>635</v>
      </c>
      <c r="BB41" s="2" t="s">
        <v>235</v>
      </c>
      <c r="BC41" s="2" t="s">
        <v>865</v>
      </c>
      <c r="BD41" s="2" t="s">
        <v>233</v>
      </c>
      <c r="BE41" s="2" t="s">
        <v>6</v>
      </c>
      <c r="BF41" s="2" t="s">
        <v>236</v>
      </c>
      <c r="BG41" s="2" t="s">
        <v>635</v>
      </c>
      <c r="BH41" s="2" t="s">
        <v>635</v>
      </c>
      <c r="BI41" s="2" t="s">
        <v>635</v>
      </c>
      <c r="BJ41" s="2" t="s">
        <v>635</v>
      </c>
      <c r="BK41" s="2" t="s">
        <v>635</v>
      </c>
      <c r="BL41" s="2" t="s">
        <v>635</v>
      </c>
      <c r="BM41" s="2" t="s">
        <v>635</v>
      </c>
      <c r="BN41" s="2" t="s">
        <v>635</v>
      </c>
      <c r="BO41" s="2" t="s">
        <v>635</v>
      </c>
      <c r="BP41" s="2" t="s">
        <v>635</v>
      </c>
      <c r="BQ41" s="2" t="s">
        <v>635</v>
      </c>
      <c r="BR41" s="2" t="s">
        <v>635</v>
      </c>
      <c r="BS41" s="2" t="s">
        <v>635</v>
      </c>
      <c r="BT41" s="2" t="s">
        <v>635</v>
      </c>
      <c r="BU41" s="2" t="s">
        <v>635</v>
      </c>
      <c r="BV41" s="2" t="s">
        <v>635</v>
      </c>
      <c r="BW41" s="2" t="s">
        <v>635</v>
      </c>
      <c r="BX41" s="2" t="s">
        <v>635</v>
      </c>
      <c r="BY41" s="2" t="s">
        <v>635</v>
      </c>
      <c r="BZ41" s="2" t="s">
        <v>635</v>
      </c>
      <c r="CA41" s="2" t="s">
        <v>635</v>
      </c>
      <c r="CB41" s="2" t="s">
        <v>635</v>
      </c>
      <c r="CC41" s="2" t="s">
        <v>635</v>
      </c>
      <c r="CD41" s="2" t="s">
        <v>635</v>
      </c>
    </row>
    <row r="42" spans="1:82" x14ac:dyDescent="0.25">
      <c r="A42" s="2" t="s">
        <v>389</v>
      </c>
      <c r="B42" s="2" t="s">
        <v>390</v>
      </c>
      <c r="C42" s="2" t="s">
        <v>635</v>
      </c>
      <c r="D42" s="2" t="s">
        <v>635</v>
      </c>
      <c r="E42" s="2" t="s">
        <v>346</v>
      </c>
      <c r="F42" s="2" t="s">
        <v>329</v>
      </c>
      <c r="G42" s="2" t="s">
        <v>330</v>
      </c>
      <c r="H42" s="2" t="s">
        <v>635</v>
      </c>
      <c r="I42" s="2" t="s">
        <v>64</v>
      </c>
      <c r="J42" s="2" t="s">
        <v>635</v>
      </c>
      <c r="K42" s="2" t="s">
        <v>64</v>
      </c>
      <c r="L42" s="2"/>
      <c r="M42" s="2" t="s">
        <v>635</v>
      </c>
      <c r="N42" s="2" t="s">
        <v>920</v>
      </c>
      <c r="O42" s="2" t="s">
        <v>921</v>
      </c>
      <c r="P42" s="2" t="s">
        <v>635</v>
      </c>
      <c r="Q42" s="2" t="s">
        <v>635</v>
      </c>
      <c r="S42" s="2" t="s">
        <v>635</v>
      </c>
      <c r="T42" s="2" t="s">
        <v>635</v>
      </c>
      <c r="U42" s="2" t="s">
        <v>35</v>
      </c>
      <c r="V42" s="2" t="s">
        <v>635</v>
      </c>
      <c r="W42" s="2" t="s">
        <v>391</v>
      </c>
      <c r="X42" s="2" t="s">
        <v>635</v>
      </c>
      <c r="Y42" s="2" t="s">
        <v>869</v>
      </c>
      <c r="Z42" s="2"/>
      <c r="AA42" s="2" t="s">
        <v>635</v>
      </c>
      <c r="AB42" s="2" t="s">
        <v>635</v>
      </c>
      <c r="AC42">
        <v>1</v>
      </c>
      <c r="AD42" s="2" t="s">
        <v>678</v>
      </c>
      <c r="AE42" s="2" t="s">
        <v>635</v>
      </c>
      <c r="AF42">
        <v>0</v>
      </c>
      <c r="AG42" s="2" t="s">
        <v>635</v>
      </c>
      <c r="AH42" s="2" t="s">
        <v>827</v>
      </c>
      <c r="AI42">
        <v>0</v>
      </c>
      <c r="AJ42" s="2">
        <v>0</v>
      </c>
      <c r="AK42">
        <v>0</v>
      </c>
      <c r="AL42" s="2"/>
      <c r="AM42">
        <v>0</v>
      </c>
      <c r="AN42" s="2" t="s">
        <v>827</v>
      </c>
      <c r="AO42" s="2">
        <v>0</v>
      </c>
      <c r="AP42" s="2">
        <v>0</v>
      </c>
      <c r="AQ42" s="2" t="s">
        <v>635</v>
      </c>
      <c r="AR42" s="2" t="s">
        <v>252</v>
      </c>
      <c r="AS42" s="2" t="s">
        <v>11</v>
      </c>
      <c r="AT42" s="2" t="s">
        <v>331</v>
      </c>
      <c r="AU42" s="2" t="s">
        <v>635</v>
      </c>
      <c r="AV42" s="2" t="s">
        <v>635</v>
      </c>
      <c r="AW42" s="2" t="s">
        <v>635</v>
      </c>
      <c r="AX42" s="2" t="s">
        <v>251</v>
      </c>
      <c r="AY42" s="2" t="s">
        <v>828</v>
      </c>
      <c r="AZ42" s="2" t="s">
        <v>249</v>
      </c>
      <c r="BA42" s="2" t="s">
        <v>644</v>
      </c>
      <c r="BB42" s="2" t="s">
        <v>635</v>
      </c>
      <c r="BC42" s="2" t="s">
        <v>635</v>
      </c>
      <c r="BD42" s="2" t="s">
        <v>392</v>
      </c>
      <c r="BE42" s="2" t="s">
        <v>635</v>
      </c>
      <c r="BF42" s="2" t="s">
        <v>635</v>
      </c>
      <c r="BG42" s="2" t="s">
        <v>635</v>
      </c>
      <c r="BH42" s="2" t="s">
        <v>635</v>
      </c>
      <c r="BI42" s="2" t="s">
        <v>635</v>
      </c>
      <c r="BJ42" s="2" t="s">
        <v>250</v>
      </c>
      <c r="BK42" s="2" t="s">
        <v>635</v>
      </c>
      <c r="BL42" s="2" t="s">
        <v>635</v>
      </c>
      <c r="BM42" s="2" t="s">
        <v>14</v>
      </c>
      <c r="BN42" s="2" t="s">
        <v>635</v>
      </c>
      <c r="BO42" s="2" t="s">
        <v>635</v>
      </c>
      <c r="BP42" s="2" t="s">
        <v>635</v>
      </c>
      <c r="BQ42" s="2" t="s">
        <v>250</v>
      </c>
      <c r="BR42" s="2" t="s">
        <v>635</v>
      </c>
      <c r="BS42" s="2" t="s">
        <v>635</v>
      </c>
      <c r="BT42" s="2" t="s">
        <v>922</v>
      </c>
      <c r="BU42" s="2" t="s">
        <v>635</v>
      </c>
      <c r="BV42" s="2" t="s">
        <v>635</v>
      </c>
      <c r="BW42" s="2" t="s">
        <v>635</v>
      </c>
      <c r="BX42" s="2" t="s">
        <v>253</v>
      </c>
      <c r="BY42" s="2" t="s">
        <v>635</v>
      </c>
      <c r="BZ42" s="2" t="s">
        <v>136</v>
      </c>
      <c r="CA42" s="2" t="s">
        <v>136</v>
      </c>
      <c r="CB42" s="2" t="s">
        <v>254</v>
      </c>
      <c r="CC42" s="2" t="s">
        <v>635</v>
      </c>
      <c r="CD42" s="2" t="s">
        <v>923</v>
      </c>
    </row>
    <row r="43" spans="1:82" x14ac:dyDescent="0.25">
      <c r="A43" s="2" t="s">
        <v>344</v>
      </c>
      <c r="B43" s="2" t="s">
        <v>345</v>
      </c>
      <c r="C43" s="2" t="s">
        <v>635</v>
      </c>
      <c r="D43" s="2" t="s">
        <v>635</v>
      </c>
      <c r="E43" s="2" t="s">
        <v>346</v>
      </c>
      <c r="F43" s="2" t="s">
        <v>329</v>
      </c>
      <c r="G43" s="2" t="s">
        <v>330</v>
      </c>
      <c r="H43" s="2" t="s">
        <v>347</v>
      </c>
      <c r="I43" s="2" t="s">
        <v>64</v>
      </c>
      <c r="J43" s="2" t="s">
        <v>635</v>
      </c>
      <c r="K43" s="2" t="s">
        <v>64</v>
      </c>
      <c r="L43" s="2"/>
      <c r="M43" s="2" t="s">
        <v>635</v>
      </c>
      <c r="N43" s="2" t="s">
        <v>924</v>
      </c>
      <c r="O43" s="2" t="s">
        <v>925</v>
      </c>
      <c r="P43" s="2" t="s">
        <v>926</v>
      </c>
      <c r="Q43" s="2" t="s">
        <v>635</v>
      </c>
      <c r="R43">
        <v>70</v>
      </c>
      <c r="S43" s="2" t="s">
        <v>393</v>
      </c>
      <c r="T43" s="2" t="s">
        <v>635</v>
      </c>
      <c r="U43" s="2" t="s">
        <v>35</v>
      </c>
      <c r="V43" s="2" t="s">
        <v>635</v>
      </c>
      <c r="W43" s="2" t="s">
        <v>394</v>
      </c>
      <c r="X43" s="2" t="s">
        <v>350</v>
      </c>
      <c r="Y43" s="2" t="s">
        <v>826</v>
      </c>
      <c r="Z43" s="2"/>
      <c r="AA43" s="2" t="s">
        <v>635</v>
      </c>
      <c r="AB43" s="2" t="s">
        <v>635</v>
      </c>
      <c r="AC43">
        <v>1</v>
      </c>
      <c r="AD43" s="2" t="s">
        <v>678</v>
      </c>
      <c r="AE43" s="2" t="s">
        <v>635</v>
      </c>
      <c r="AF43">
        <v>0</v>
      </c>
      <c r="AG43" s="2" t="s">
        <v>635</v>
      </c>
      <c r="AH43" s="2" t="s">
        <v>827</v>
      </c>
      <c r="AI43">
        <v>0</v>
      </c>
      <c r="AJ43" s="2">
        <v>0</v>
      </c>
      <c r="AK43">
        <v>0</v>
      </c>
      <c r="AL43" s="2"/>
      <c r="AM43">
        <v>0</v>
      </c>
      <c r="AN43" s="2" t="s">
        <v>827</v>
      </c>
      <c r="AO43" s="2">
        <v>0</v>
      </c>
      <c r="AP43" s="2">
        <v>0</v>
      </c>
      <c r="AQ43" s="2" t="s">
        <v>635</v>
      </c>
      <c r="AR43" s="2" t="s">
        <v>395</v>
      </c>
      <c r="AS43" s="2" t="s">
        <v>11</v>
      </c>
      <c r="AT43" s="2" t="s">
        <v>351</v>
      </c>
      <c r="AU43" s="2" t="s">
        <v>884</v>
      </c>
      <c r="AV43" s="2" t="s">
        <v>635</v>
      </c>
      <c r="AW43" s="2" t="s">
        <v>635</v>
      </c>
      <c r="AX43" s="2" t="s">
        <v>222</v>
      </c>
      <c r="AY43" s="2" t="s">
        <v>926</v>
      </c>
      <c r="AZ43" s="2" t="s">
        <v>396</v>
      </c>
      <c r="BA43" s="2" t="s">
        <v>803</v>
      </c>
      <c r="BB43" s="2" t="s">
        <v>635</v>
      </c>
      <c r="BC43" s="2" t="s">
        <v>635</v>
      </c>
      <c r="BD43" s="2" t="s">
        <v>927</v>
      </c>
      <c r="BE43" s="2" t="s">
        <v>635</v>
      </c>
      <c r="BF43" s="2" t="s">
        <v>635</v>
      </c>
      <c r="BG43" s="2" t="s">
        <v>635</v>
      </c>
      <c r="BH43" s="2" t="s">
        <v>635</v>
      </c>
      <c r="BI43" s="2" t="s">
        <v>635</v>
      </c>
      <c r="BJ43" s="2" t="s">
        <v>635</v>
      </c>
      <c r="BK43" s="2" t="s">
        <v>635</v>
      </c>
      <c r="BL43" s="2" t="s">
        <v>635</v>
      </c>
      <c r="BM43" s="2" t="s">
        <v>635</v>
      </c>
      <c r="BN43" s="2" t="s">
        <v>635</v>
      </c>
      <c r="BO43" s="2" t="s">
        <v>635</v>
      </c>
      <c r="BP43" s="2" t="s">
        <v>635</v>
      </c>
      <c r="BQ43" s="2" t="s">
        <v>635</v>
      </c>
      <c r="BR43" s="2" t="s">
        <v>635</v>
      </c>
      <c r="BS43" s="2" t="s">
        <v>635</v>
      </c>
      <c r="BT43" s="2" t="s">
        <v>635</v>
      </c>
      <c r="BU43" s="2" t="s">
        <v>635</v>
      </c>
      <c r="BV43" s="2" t="s">
        <v>635</v>
      </c>
      <c r="BW43" s="2" t="s">
        <v>635</v>
      </c>
      <c r="BX43" s="2" t="s">
        <v>635</v>
      </c>
      <c r="BY43" s="2" t="s">
        <v>635</v>
      </c>
      <c r="BZ43" s="2" t="s">
        <v>635</v>
      </c>
      <c r="CA43" s="2" t="s">
        <v>635</v>
      </c>
      <c r="CB43" s="2" t="s">
        <v>635</v>
      </c>
      <c r="CC43" s="2" t="s">
        <v>635</v>
      </c>
      <c r="CD43" s="2" t="s">
        <v>635</v>
      </c>
    </row>
    <row r="44" spans="1:82" x14ac:dyDescent="0.25">
      <c r="A44" s="2" t="s">
        <v>928</v>
      </c>
      <c r="B44" s="2" t="s">
        <v>635</v>
      </c>
      <c r="C44" s="2" t="s">
        <v>635</v>
      </c>
      <c r="D44" s="2" t="s">
        <v>635</v>
      </c>
      <c r="E44" s="2" t="s">
        <v>635</v>
      </c>
      <c r="F44" s="2" t="s">
        <v>635</v>
      </c>
      <c r="G44" s="2" t="s">
        <v>635</v>
      </c>
      <c r="H44" s="2" t="s">
        <v>635</v>
      </c>
      <c r="I44" s="2" t="s">
        <v>635</v>
      </c>
      <c r="J44" s="2" t="s">
        <v>635</v>
      </c>
      <c r="K44" s="2" t="s">
        <v>635</v>
      </c>
      <c r="L44" s="2"/>
      <c r="M44" s="2" t="s">
        <v>635</v>
      </c>
      <c r="N44" s="2" t="s">
        <v>635</v>
      </c>
      <c r="O44" s="2" t="s">
        <v>635</v>
      </c>
      <c r="P44" s="2" t="s">
        <v>635</v>
      </c>
      <c r="Q44" s="2" t="s">
        <v>635</v>
      </c>
      <c r="S44" s="2" t="s">
        <v>635</v>
      </c>
      <c r="T44" s="2" t="s">
        <v>635</v>
      </c>
      <c r="U44" s="2" t="s">
        <v>635</v>
      </c>
      <c r="V44" s="2" t="s">
        <v>635</v>
      </c>
      <c r="W44" s="2" t="s">
        <v>635</v>
      </c>
      <c r="X44" s="2" t="s">
        <v>635</v>
      </c>
      <c r="Y44" s="2" t="s">
        <v>635</v>
      </c>
      <c r="Z44" s="2"/>
      <c r="AA44" s="2" t="s">
        <v>635</v>
      </c>
      <c r="AB44" s="2" t="s">
        <v>635</v>
      </c>
      <c r="AD44" s="2" t="s">
        <v>635</v>
      </c>
      <c r="AE44" s="2" t="s">
        <v>635</v>
      </c>
      <c r="AG44" s="2" t="s">
        <v>635</v>
      </c>
      <c r="AH44" s="2" t="s">
        <v>635</v>
      </c>
      <c r="AJ44" s="2"/>
      <c r="AL44" s="2"/>
      <c r="AN44" s="2" t="s">
        <v>635</v>
      </c>
      <c r="AO44" s="2"/>
      <c r="AP44" s="2"/>
      <c r="AQ44" s="2" t="s">
        <v>635</v>
      </c>
      <c r="AR44" s="2" t="s">
        <v>635</v>
      </c>
      <c r="AS44" s="2" t="s">
        <v>635</v>
      </c>
      <c r="AT44" s="2" t="s">
        <v>635</v>
      </c>
      <c r="AU44" s="2" t="s">
        <v>635</v>
      </c>
      <c r="AV44" s="2" t="s">
        <v>635</v>
      </c>
      <c r="AW44" s="2" t="s">
        <v>635</v>
      </c>
      <c r="AX44" s="2" t="s">
        <v>635</v>
      </c>
      <c r="AY44" s="2" t="s">
        <v>635</v>
      </c>
      <c r="AZ44" s="2" t="s">
        <v>635</v>
      </c>
      <c r="BA44" s="2" t="s">
        <v>635</v>
      </c>
      <c r="BB44" s="2" t="s">
        <v>635</v>
      </c>
      <c r="BC44" s="2" t="s">
        <v>635</v>
      </c>
      <c r="BD44" s="2" t="s">
        <v>635</v>
      </c>
      <c r="BE44" s="2" t="s">
        <v>635</v>
      </c>
      <c r="BF44" s="2" t="s">
        <v>635</v>
      </c>
      <c r="BG44" s="2" t="s">
        <v>635</v>
      </c>
      <c r="BH44" s="2" t="s">
        <v>635</v>
      </c>
      <c r="BI44" s="2" t="s">
        <v>635</v>
      </c>
      <c r="BJ44" s="2" t="s">
        <v>635</v>
      </c>
      <c r="BK44" s="2" t="s">
        <v>635</v>
      </c>
      <c r="BL44" s="2" t="s">
        <v>635</v>
      </c>
      <c r="BM44" s="2" t="s">
        <v>635</v>
      </c>
      <c r="BN44" s="2" t="s">
        <v>635</v>
      </c>
      <c r="BO44" s="2" t="s">
        <v>635</v>
      </c>
      <c r="BP44" s="2" t="s">
        <v>635</v>
      </c>
      <c r="BQ44" s="2" t="s">
        <v>635</v>
      </c>
      <c r="BR44" s="2" t="s">
        <v>635</v>
      </c>
      <c r="BS44" s="2" t="s">
        <v>635</v>
      </c>
      <c r="BT44" s="2" t="s">
        <v>635</v>
      </c>
      <c r="BU44" s="2" t="s">
        <v>635</v>
      </c>
      <c r="BV44" s="2" t="s">
        <v>635</v>
      </c>
      <c r="BW44" s="2" t="s">
        <v>635</v>
      </c>
      <c r="BX44" s="2" t="s">
        <v>635</v>
      </c>
      <c r="BY44" s="2" t="s">
        <v>635</v>
      </c>
      <c r="BZ44" s="2" t="s">
        <v>635</v>
      </c>
      <c r="CA44" s="2" t="s">
        <v>635</v>
      </c>
      <c r="CB44" s="2" t="s">
        <v>635</v>
      </c>
      <c r="CC44" s="2" t="s">
        <v>635</v>
      </c>
      <c r="CD44" s="2" t="s">
        <v>635</v>
      </c>
    </row>
    <row r="45" spans="1:82" x14ac:dyDescent="0.25">
      <c r="A45" s="2" t="s">
        <v>929</v>
      </c>
      <c r="B45" s="2" t="s">
        <v>913</v>
      </c>
      <c r="C45" s="2" t="s">
        <v>675</v>
      </c>
      <c r="D45" s="2" t="s">
        <v>635</v>
      </c>
      <c r="E45" s="2" t="s">
        <v>635</v>
      </c>
      <c r="F45" s="2" t="s">
        <v>635</v>
      </c>
      <c r="G45" s="2" t="s">
        <v>353</v>
      </c>
      <c r="H45" s="2" t="s">
        <v>635</v>
      </c>
      <c r="I45" s="2" t="s">
        <v>635</v>
      </c>
      <c r="J45" s="2" t="s">
        <v>52</v>
      </c>
      <c r="K45" s="2" t="s">
        <v>635</v>
      </c>
      <c r="L45" s="2"/>
      <c r="M45" s="2" t="s">
        <v>333</v>
      </c>
      <c r="N45" s="2" t="s">
        <v>192</v>
      </c>
      <c r="O45" s="2" t="s">
        <v>57</v>
      </c>
      <c r="P45" s="2" t="s">
        <v>635</v>
      </c>
      <c r="Q45" s="2" t="s">
        <v>914</v>
      </c>
      <c r="S45" s="2" t="s">
        <v>194</v>
      </c>
      <c r="T45" s="2" t="s">
        <v>46</v>
      </c>
      <c r="U45" s="2" t="s">
        <v>930</v>
      </c>
      <c r="V45" s="2" t="s">
        <v>635</v>
      </c>
      <c r="W45" s="2" t="s">
        <v>635</v>
      </c>
      <c r="X45" s="2" t="s">
        <v>635</v>
      </c>
      <c r="Y45" s="2" t="s">
        <v>635</v>
      </c>
      <c r="Z45" s="2"/>
      <c r="AA45" s="2" t="s">
        <v>635</v>
      </c>
      <c r="AB45" s="2" t="s">
        <v>635</v>
      </c>
      <c r="AD45" s="2" t="s">
        <v>635</v>
      </c>
      <c r="AE45" s="2" t="s">
        <v>635</v>
      </c>
      <c r="AG45" s="2" t="s">
        <v>635</v>
      </c>
      <c r="AH45" s="2" t="s">
        <v>635</v>
      </c>
      <c r="AJ45" s="2"/>
      <c r="AL45" s="2"/>
      <c r="AN45" s="2" t="s">
        <v>635</v>
      </c>
      <c r="AO45" s="2"/>
      <c r="AP45" s="2"/>
      <c r="AQ45" s="2" t="s">
        <v>635</v>
      </c>
      <c r="AR45" s="2" t="s">
        <v>635</v>
      </c>
      <c r="AS45" s="2" t="s">
        <v>635</v>
      </c>
      <c r="AT45" s="2" t="s">
        <v>635</v>
      </c>
      <c r="AU45" s="2" t="s">
        <v>635</v>
      </c>
      <c r="AV45" s="2" t="s">
        <v>635</v>
      </c>
      <c r="AW45" s="2" t="s">
        <v>635</v>
      </c>
      <c r="AX45" s="2" t="s">
        <v>635</v>
      </c>
      <c r="AY45" s="2" t="s">
        <v>635</v>
      </c>
      <c r="AZ45" s="2" t="s">
        <v>635</v>
      </c>
      <c r="BA45" s="2" t="s">
        <v>635</v>
      </c>
      <c r="BB45" s="2" t="s">
        <v>635</v>
      </c>
      <c r="BC45" s="2" t="s">
        <v>635</v>
      </c>
      <c r="BD45" s="2" t="s">
        <v>635</v>
      </c>
      <c r="BE45" s="2" t="s">
        <v>635</v>
      </c>
      <c r="BF45" s="2" t="s">
        <v>635</v>
      </c>
      <c r="BG45" s="2" t="s">
        <v>635</v>
      </c>
      <c r="BH45" s="2" t="s">
        <v>635</v>
      </c>
      <c r="BI45" s="2" t="s">
        <v>635</v>
      </c>
      <c r="BJ45" s="2" t="s">
        <v>635</v>
      </c>
      <c r="BK45" s="2" t="s">
        <v>635</v>
      </c>
      <c r="BL45" s="2" t="s">
        <v>635</v>
      </c>
      <c r="BM45" s="2" t="s">
        <v>635</v>
      </c>
      <c r="BN45" s="2" t="s">
        <v>635</v>
      </c>
      <c r="BO45" s="2" t="s">
        <v>635</v>
      </c>
      <c r="BP45" s="2" t="s">
        <v>635</v>
      </c>
      <c r="BQ45" s="2" t="s">
        <v>635</v>
      </c>
      <c r="BR45" s="2" t="s">
        <v>635</v>
      </c>
      <c r="BS45" s="2" t="s">
        <v>635</v>
      </c>
      <c r="BT45" s="2" t="s">
        <v>635</v>
      </c>
      <c r="BU45" s="2" t="s">
        <v>635</v>
      </c>
      <c r="BV45" s="2" t="s">
        <v>635</v>
      </c>
      <c r="BW45" s="2" t="s">
        <v>635</v>
      </c>
      <c r="BX45" s="2" t="s">
        <v>635</v>
      </c>
      <c r="BY45" s="2" t="s">
        <v>635</v>
      </c>
      <c r="BZ45" s="2" t="s">
        <v>635</v>
      </c>
      <c r="CA45" s="2" t="s">
        <v>635</v>
      </c>
      <c r="CB45" s="2" t="s">
        <v>635</v>
      </c>
      <c r="CC45" s="2" t="s">
        <v>635</v>
      </c>
      <c r="CD45" s="2" t="s">
        <v>635</v>
      </c>
    </row>
    <row r="46" spans="1:82" x14ac:dyDescent="0.25">
      <c r="A46" s="2" t="s">
        <v>928</v>
      </c>
      <c r="B46" s="2" t="s">
        <v>635</v>
      </c>
      <c r="C46" s="2" t="s">
        <v>635</v>
      </c>
      <c r="D46" s="2" t="s">
        <v>635</v>
      </c>
      <c r="E46" s="2" t="s">
        <v>635</v>
      </c>
      <c r="F46" s="2" t="s">
        <v>635</v>
      </c>
      <c r="G46" s="2" t="s">
        <v>635</v>
      </c>
      <c r="H46" s="2" t="s">
        <v>635</v>
      </c>
      <c r="I46" s="2" t="s">
        <v>635</v>
      </c>
      <c r="J46" s="2" t="s">
        <v>635</v>
      </c>
      <c r="K46" s="2" t="s">
        <v>635</v>
      </c>
      <c r="L46" s="2"/>
      <c r="M46" s="2" t="s">
        <v>635</v>
      </c>
      <c r="N46" s="2" t="s">
        <v>635</v>
      </c>
      <c r="O46" s="2" t="s">
        <v>635</v>
      </c>
      <c r="P46" s="2" t="s">
        <v>635</v>
      </c>
      <c r="Q46" s="2" t="s">
        <v>635</v>
      </c>
      <c r="S46" s="2" t="s">
        <v>635</v>
      </c>
      <c r="T46" s="2" t="s">
        <v>635</v>
      </c>
      <c r="U46" s="2" t="s">
        <v>635</v>
      </c>
      <c r="V46" s="2" t="s">
        <v>635</v>
      </c>
      <c r="W46" s="2" t="s">
        <v>635</v>
      </c>
      <c r="X46" s="2" t="s">
        <v>635</v>
      </c>
      <c r="Y46" s="2" t="s">
        <v>635</v>
      </c>
      <c r="Z46" s="2"/>
      <c r="AA46" s="2" t="s">
        <v>635</v>
      </c>
      <c r="AB46" s="2" t="s">
        <v>635</v>
      </c>
      <c r="AD46" s="2" t="s">
        <v>635</v>
      </c>
      <c r="AE46" s="2" t="s">
        <v>635</v>
      </c>
      <c r="AG46" s="2" t="s">
        <v>635</v>
      </c>
      <c r="AH46" s="2" t="s">
        <v>635</v>
      </c>
      <c r="AJ46" s="2"/>
      <c r="AL46" s="2"/>
      <c r="AN46" s="2" t="s">
        <v>635</v>
      </c>
      <c r="AO46" s="2"/>
      <c r="AP46" s="2"/>
      <c r="AQ46" s="2" t="s">
        <v>635</v>
      </c>
      <c r="AR46" s="2" t="s">
        <v>635</v>
      </c>
      <c r="AS46" s="2" t="s">
        <v>635</v>
      </c>
      <c r="AT46" s="2" t="s">
        <v>635</v>
      </c>
      <c r="AU46" s="2" t="s">
        <v>635</v>
      </c>
      <c r="AV46" s="2" t="s">
        <v>635</v>
      </c>
      <c r="AW46" s="2" t="s">
        <v>635</v>
      </c>
      <c r="AX46" s="2" t="s">
        <v>635</v>
      </c>
      <c r="AY46" s="2" t="s">
        <v>635</v>
      </c>
      <c r="AZ46" s="2" t="s">
        <v>635</v>
      </c>
      <c r="BA46" s="2" t="s">
        <v>635</v>
      </c>
      <c r="BB46" s="2" t="s">
        <v>635</v>
      </c>
      <c r="BC46" s="2" t="s">
        <v>635</v>
      </c>
      <c r="BD46" s="2" t="s">
        <v>635</v>
      </c>
      <c r="BE46" s="2" t="s">
        <v>635</v>
      </c>
      <c r="BF46" s="2" t="s">
        <v>635</v>
      </c>
      <c r="BG46" s="2" t="s">
        <v>635</v>
      </c>
      <c r="BH46" s="2" t="s">
        <v>635</v>
      </c>
      <c r="BI46" s="2" t="s">
        <v>635</v>
      </c>
      <c r="BJ46" s="2" t="s">
        <v>635</v>
      </c>
      <c r="BK46" s="2" t="s">
        <v>635</v>
      </c>
      <c r="BL46" s="2" t="s">
        <v>635</v>
      </c>
      <c r="BM46" s="2" t="s">
        <v>635</v>
      </c>
      <c r="BN46" s="2" t="s">
        <v>635</v>
      </c>
      <c r="BO46" s="2" t="s">
        <v>635</v>
      </c>
      <c r="BP46" s="2" t="s">
        <v>635</v>
      </c>
      <c r="BQ46" s="2" t="s">
        <v>635</v>
      </c>
      <c r="BR46" s="2" t="s">
        <v>635</v>
      </c>
      <c r="BS46" s="2" t="s">
        <v>635</v>
      </c>
      <c r="BT46" s="2" t="s">
        <v>635</v>
      </c>
      <c r="BU46" s="2" t="s">
        <v>635</v>
      </c>
      <c r="BV46" s="2" t="s">
        <v>635</v>
      </c>
      <c r="BW46" s="2" t="s">
        <v>635</v>
      </c>
      <c r="BX46" s="2" t="s">
        <v>635</v>
      </c>
      <c r="BY46" s="2" t="s">
        <v>635</v>
      </c>
      <c r="BZ46" s="2" t="s">
        <v>635</v>
      </c>
      <c r="CA46" s="2" t="s">
        <v>635</v>
      </c>
      <c r="CB46" s="2" t="s">
        <v>635</v>
      </c>
      <c r="CC46" s="2" t="s">
        <v>635</v>
      </c>
      <c r="CD46" s="2" t="s">
        <v>635</v>
      </c>
    </row>
    <row r="47" spans="1:82" x14ac:dyDescent="0.25">
      <c r="A47" s="2" t="s">
        <v>929</v>
      </c>
      <c r="B47" s="2" t="s">
        <v>666</v>
      </c>
      <c r="C47" s="2" t="s">
        <v>195</v>
      </c>
      <c r="D47" s="2" t="s">
        <v>6</v>
      </c>
      <c r="E47" s="2" t="s">
        <v>397</v>
      </c>
      <c r="F47" s="2" t="s">
        <v>635</v>
      </c>
      <c r="G47" s="2" t="s">
        <v>635</v>
      </c>
      <c r="H47" s="2" t="s">
        <v>635</v>
      </c>
      <c r="I47" s="2" t="s">
        <v>635</v>
      </c>
      <c r="J47" s="2" t="s">
        <v>635</v>
      </c>
      <c r="K47" s="2" t="s">
        <v>635</v>
      </c>
      <c r="L47" s="2"/>
      <c r="M47" s="2" t="s">
        <v>635</v>
      </c>
      <c r="N47" s="2" t="s">
        <v>635</v>
      </c>
      <c r="O47" s="2" t="s">
        <v>635</v>
      </c>
      <c r="P47" s="2" t="s">
        <v>635</v>
      </c>
      <c r="Q47" s="2" t="s">
        <v>635</v>
      </c>
      <c r="S47" s="2" t="s">
        <v>635</v>
      </c>
      <c r="T47" s="2" t="s">
        <v>635</v>
      </c>
      <c r="U47" s="2" t="s">
        <v>635</v>
      </c>
      <c r="V47" s="2" t="s">
        <v>635</v>
      </c>
      <c r="W47" s="2" t="s">
        <v>635</v>
      </c>
      <c r="X47" s="2" t="s">
        <v>635</v>
      </c>
      <c r="Y47" s="2" t="s">
        <v>635</v>
      </c>
      <c r="Z47" s="2"/>
      <c r="AA47" s="2" t="s">
        <v>635</v>
      </c>
      <c r="AB47" s="2" t="s">
        <v>635</v>
      </c>
      <c r="AD47" s="2" t="s">
        <v>635</v>
      </c>
      <c r="AE47" s="2" t="s">
        <v>635</v>
      </c>
      <c r="AG47" s="2" t="s">
        <v>635</v>
      </c>
      <c r="AH47" s="2" t="s">
        <v>635</v>
      </c>
      <c r="AJ47" s="2"/>
      <c r="AL47" s="2"/>
      <c r="AN47" s="2" t="s">
        <v>635</v>
      </c>
      <c r="AO47" s="2"/>
      <c r="AP47" s="2"/>
      <c r="AQ47" s="2" t="s">
        <v>635</v>
      </c>
      <c r="AR47" s="2" t="s">
        <v>635</v>
      </c>
      <c r="AS47" s="2" t="s">
        <v>635</v>
      </c>
      <c r="AT47" s="2" t="s">
        <v>635</v>
      </c>
      <c r="AU47" s="2" t="s">
        <v>635</v>
      </c>
      <c r="AV47" s="2" t="s">
        <v>635</v>
      </c>
      <c r="AW47" s="2" t="s">
        <v>635</v>
      </c>
      <c r="AX47" s="2" t="s">
        <v>635</v>
      </c>
      <c r="AY47" s="2" t="s">
        <v>635</v>
      </c>
      <c r="AZ47" s="2" t="s">
        <v>635</v>
      </c>
      <c r="BA47" s="2" t="s">
        <v>635</v>
      </c>
      <c r="BB47" s="2" t="s">
        <v>635</v>
      </c>
      <c r="BC47" s="2" t="s">
        <v>635</v>
      </c>
      <c r="BD47" s="2" t="s">
        <v>635</v>
      </c>
      <c r="BE47" s="2" t="s">
        <v>635</v>
      </c>
      <c r="BF47" s="2" t="s">
        <v>635</v>
      </c>
      <c r="BG47" s="2" t="s">
        <v>635</v>
      </c>
      <c r="BH47" s="2" t="s">
        <v>635</v>
      </c>
      <c r="BI47" s="2" t="s">
        <v>635</v>
      </c>
      <c r="BJ47" s="2" t="s">
        <v>635</v>
      </c>
      <c r="BK47" s="2" t="s">
        <v>635</v>
      </c>
      <c r="BL47" s="2" t="s">
        <v>635</v>
      </c>
      <c r="BM47" s="2" t="s">
        <v>635</v>
      </c>
      <c r="BN47" s="2" t="s">
        <v>635</v>
      </c>
      <c r="BO47" s="2" t="s">
        <v>635</v>
      </c>
      <c r="BP47" s="2" t="s">
        <v>635</v>
      </c>
      <c r="BQ47" s="2" t="s">
        <v>635</v>
      </c>
      <c r="BR47" s="2" t="s">
        <v>635</v>
      </c>
      <c r="BS47" s="2" t="s">
        <v>635</v>
      </c>
      <c r="BT47" s="2" t="s">
        <v>635</v>
      </c>
      <c r="BU47" s="2" t="s">
        <v>635</v>
      </c>
      <c r="BV47" s="2" t="s">
        <v>635</v>
      </c>
      <c r="BW47" s="2" t="s">
        <v>635</v>
      </c>
      <c r="BX47" s="2" t="s">
        <v>635</v>
      </c>
      <c r="BY47" s="2" t="s">
        <v>635</v>
      </c>
      <c r="BZ47" s="2" t="s">
        <v>635</v>
      </c>
      <c r="CA47" s="2" t="s">
        <v>635</v>
      </c>
      <c r="CB47" s="2" t="s">
        <v>635</v>
      </c>
      <c r="CC47" s="2" t="s">
        <v>635</v>
      </c>
      <c r="CD47" s="2" t="s">
        <v>635</v>
      </c>
    </row>
    <row r="48" spans="1:82" x14ac:dyDescent="0.25">
      <c r="A48" s="2" t="s">
        <v>398</v>
      </c>
      <c r="B48" s="2" t="s">
        <v>399</v>
      </c>
      <c r="C48" s="2" t="s">
        <v>635</v>
      </c>
      <c r="D48" s="2" t="s">
        <v>635</v>
      </c>
      <c r="E48" s="2" t="s">
        <v>336</v>
      </c>
      <c r="F48" s="2" t="s">
        <v>635</v>
      </c>
      <c r="G48" s="2" t="s">
        <v>330</v>
      </c>
      <c r="H48" s="2" t="s">
        <v>635</v>
      </c>
      <c r="I48" s="2" t="s">
        <v>18</v>
      </c>
      <c r="J48" s="2" t="s">
        <v>635</v>
      </c>
      <c r="K48" s="2" t="s">
        <v>18</v>
      </c>
      <c r="L48" s="2"/>
      <c r="M48" s="2" t="s">
        <v>635</v>
      </c>
      <c r="N48" s="2" t="s">
        <v>931</v>
      </c>
      <c r="O48" s="2" t="s">
        <v>853</v>
      </c>
      <c r="P48" s="2" t="s">
        <v>635</v>
      </c>
      <c r="Q48" s="2" t="s">
        <v>635</v>
      </c>
      <c r="S48" s="2" t="s">
        <v>635</v>
      </c>
      <c r="T48" s="2" t="s">
        <v>635</v>
      </c>
      <c r="U48" s="2" t="s">
        <v>51</v>
      </c>
      <c r="V48" s="2" t="s">
        <v>635</v>
      </c>
      <c r="W48" s="2" t="s">
        <v>635</v>
      </c>
      <c r="X48" s="2" t="s">
        <v>635</v>
      </c>
      <c r="Y48" s="2" t="s">
        <v>826</v>
      </c>
      <c r="Z48" s="2"/>
      <c r="AA48" s="2" t="s">
        <v>635</v>
      </c>
      <c r="AB48" s="2" t="s">
        <v>635</v>
      </c>
      <c r="AC48">
        <v>1</v>
      </c>
      <c r="AD48" s="2" t="s">
        <v>827</v>
      </c>
      <c r="AE48" s="2" t="s">
        <v>678</v>
      </c>
      <c r="AF48">
        <v>0</v>
      </c>
      <c r="AG48" s="2" t="s">
        <v>635</v>
      </c>
      <c r="AH48" s="2" t="s">
        <v>827</v>
      </c>
      <c r="AI48">
        <v>0</v>
      </c>
      <c r="AJ48" s="2">
        <v>0</v>
      </c>
      <c r="AK48">
        <v>1</v>
      </c>
      <c r="AL48" s="2"/>
      <c r="AM48">
        <v>1</v>
      </c>
      <c r="AN48" s="2" t="s">
        <v>827</v>
      </c>
      <c r="AO48" s="2">
        <v>0</v>
      </c>
      <c r="AP48" s="2">
        <v>0</v>
      </c>
      <c r="AQ48" s="2" t="s">
        <v>635</v>
      </c>
      <c r="AR48" s="2" t="s">
        <v>119</v>
      </c>
      <c r="AS48" s="2" t="s">
        <v>11</v>
      </c>
      <c r="AT48" s="2" t="s">
        <v>331</v>
      </c>
      <c r="AU48" s="2" t="s">
        <v>635</v>
      </c>
      <c r="AV48" s="2" t="s">
        <v>635</v>
      </c>
      <c r="AW48" s="2" t="s">
        <v>635</v>
      </c>
      <c r="AX48" s="2" t="s">
        <v>116</v>
      </c>
      <c r="AY48" s="2" t="s">
        <v>885</v>
      </c>
      <c r="AZ48" s="2" t="s">
        <v>114</v>
      </c>
      <c r="BA48" s="2" t="s">
        <v>400</v>
      </c>
      <c r="BB48" s="2" t="s">
        <v>635</v>
      </c>
      <c r="BC48" s="2" t="s">
        <v>635</v>
      </c>
      <c r="BD48" s="2" t="s">
        <v>635</v>
      </c>
      <c r="BE48" s="2" t="s">
        <v>635</v>
      </c>
      <c r="BF48" s="2" t="s">
        <v>865</v>
      </c>
      <c r="BG48" s="2" t="s">
        <v>635</v>
      </c>
      <c r="BH48" s="2" t="s">
        <v>635</v>
      </c>
      <c r="BI48" s="2" t="s">
        <v>635</v>
      </c>
      <c r="BJ48" s="2" t="s">
        <v>932</v>
      </c>
      <c r="BK48" s="2" t="s">
        <v>635</v>
      </c>
      <c r="BL48" s="2" t="s">
        <v>401</v>
      </c>
      <c r="BM48" s="2" t="s">
        <v>52</v>
      </c>
      <c r="BN48" s="2" t="s">
        <v>635</v>
      </c>
      <c r="BO48" s="2" t="s">
        <v>635</v>
      </c>
      <c r="BP48" s="2" t="s">
        <v>333</v>
      </c>
      <c r="BQ48" s="2" t="s">
        <v>115</v>
      </c>
      <c r="BR48" s="2" t="s">
        <v>635</v>
      </c>
      <c r="BS48" s="2" t="s">
        <v>635</v>
      </c>
      <c r="BT48" s="2" t="s">
        <v>838</v>
      </c>
      <c r="BU48" s="2" t="s">
        <v>635</v>
      </c>
      <c r="BV48" s="2" t="s">
        <v>117</v>
      </c>
      <c r="BW48" s="2" t="s">
        <v>635</v>
      </c>
      <c r="BX48" s="2" t="s">
        <v>933</v>
      </c>
      <c r="BY48" s="2" t="s">
        <v>635</v>
      </c>
      <c r="BZ48" s="2" t="s">
        <v>635</v>
      </c>
      <c r="CA48" s="2" t="s">
        <v>635</v>
      </c>
      <c r="CB48" s="2" t="s">
        <v>635</v>
      </c>
      <c r="CC48" s="2" t="s">
        <v>635</v>
      </c>
      <c r="CD48" s="2" t="s">
        <v>635</v>
      </c>
    </row>
    <row r="49" spans="1:82" x14ac:dyDescent="0.25">
      <c r="A49" s="2" t="s">
        <v>934</v>
      </c>
      <c r="B49" s="2" t="s">
        <v>635</v>
      </c>
      <c r="C49" s="2" t="s">
        <v>635</v>
      </c>
      <c r="D49" s="2" t="s">
        <v>635</v>
      </c>
      <c r="E49" s="2" t="s">
        <v>635</v>
      </c>
      <c r="F49" s="2" t="s">
        <v>635</v>
      </c>
      <c r="G49" s="2" t="s">
        <v>635</v>
      </c>
      <c r="H49" s="2" t="s">
        <v>635</v>
      </c>
      <c r="I49" s="2" t="s">
        <v>635</v>
      </c>
      <c r="J49" s="2" t="s">
        <v>635</v>
      </c>
      <c r="K49" s="2" t="s">
        <v>635</v>
      </c>
      <c r="L49" s="2"/>
      <c r="M49" s="2" t="s">
        <v>635</v>
      </c>
      <c r="N49" s="2" t="s">
        <v>635</v>
      </c>
      <c r="O49" s="2" t="s">
        <v>635</v>
      </c>
      <c r="P49" s="2" t="s">
        <v>635</v>
      </c>
      <c r="Q49" s="2" t="s">
        <v>635</v>
      </c>
      <c r="S49" s="2" t="s">
        <v>635</v>
      </c>
      <c r="T49" s="2" t="s">
        <v>635</v>
      </c>
      <c r="U49" s="2" t="s">
        <v>635</v>
      </c>
      <c r="V49" s="2" t="s">
        <v>635</v>
      </c>
      <c r="W49" s="2" t="s">
        <v>635</v>
      </c>
      <c r="X49" s="2" t="s">
        <v>635</v>
      </c>
      <c r="Y49" s="2" t="s">
        <v>635</v>
      </c>
      <c r="Z49" s="2"/>
      <c r="AA49" s="2" t="s">
        <v>635</v>
      </c>
      <c r="AB49" s="2" t="s">
        <v>635</v>
      </c>
      <c r="AD49" s="2" t="s">
        <v>635</v>
      </c>
      <c r="AE49" s="2" t="s">
        <v>635</v>
      </c>
      <c r="AG49" s="2" t="s">
        <v>635</v>
      </c>
      <c r="AH49" s="2" t="s">
        <v>635</v>
      </c>
      <c r="AJ49" s="2"/>
      <c r="AL49" s="2"/>
      <c r="AN49" s="2" t="s">
        <v>635</v>
      </c>
      <c r="AO49" s="2"/>
      <c r="AP49" s="2"/>
      <c r="AQ49" s="2" t="s">
        <v>635</v>
      </c>
      <c r="AR49" s="2" t="s">
        <v>635</v>
      </c>
      <c r="AS49" s="2" t="s">
        <v>635</v>
      </c>
      <c r="AT49" s="2" t="s">
        <v>635</v>
      </c>
      <c r="AU49" s="2" t="s">
        <v>635</v>
      </c>
      <c r="AV49" s="2" t="s">
        <v>635</v>
      </c>
      <c r="AW49" s="2" t="s">
        <v>635</v>
      </c>
      <c r="AX49" s="2" t="s">
        <v>635</v>
      </c>
      <c r="AY49" s="2" t="s">
        <v>635</v>
      </c>
      <c r="AZ49" s="2" t="s">
        <v>635</v>
      </c>
      <c r="BA49" s="2" t="s">
        <v>635</v>
      </c>
      <c r="BB49" s="2" t="s">
        <v>635</v>
      </c>
      <c r="BC49" s="2" t="s">
        <v>635</v>
      </c>
      <c r="BD49" s="2" t="s">
        <v>635</v>
      </c>
      <c r="BE49" s="2" t="s">
        <v>635</v>
      </c>
      <c r="BF49" s="2" t="s">
        <v>635</v>
      </c>
      <c r="BG49" s="2" t="s">
        <v>635</v>
      </c>
      <c r="BH49" s="2" t="s">
        <v>635</v>
      </c>
      <c r="BI49" s="2" t="s">
        <v>635</v>
      </c>
      <c r="BJ49" s="2" t="s">
        <v>635</v>
      </c>
      <c r="BK49" s="2" t="s">
        <v>635</v>
      </c>
      <c r="BL49" s="2" t="s">
        <v>635</v>
      </c>
      <c r="BM49" s="2" t="s">
        <v>635</v>
      </c>
      <c r="BN49" s="2" t="s">
        <v>635</v>
      </c>
      <c r="BO49" s="2" t="s">
        <v>635</v>
      </c>
      <c r="BP49" s="2" t="s">
        <v>635</v>
      </c>
      <c r="BQ49" s="2" t="s">
        <v>635</v>
      </c>
      <c r="BR49" s="2" t="s">
        <v>635</v>
      </c>
      <c r="BS49" s="2" t="s">
        <v>635</v>
      </c>
      <c r="BT49" s="2" t="s">
        <v>635</v>
      </c>
      <c r="BU49" s="2" t="s">
        <v>635</v>
      </c>
      <c r="BV49" s="2" t="s">
        <v>635</v>
      </c>
      <c r="BW49" s="2" t="s">
        <v>635</v>
      </c>
      <c r="BX49" s="2" t="s">
        <v>635</v>
      </c>
      <c r="BY49" s="2" t="s">
        <v>635</v>
      </c>
      <c r="BZ49" s="2" t="s">
        <v>635</v>
      </c>
      <c r="CA49" s="2" t="s">
        <v>635</v>
      </c>
      <c r="CB49" s="2" t="s">
        <v>635</v>
      </c>
      <c r="CC49" s="2" t="s">
        <v>635</v>
      </c>
      <c r="CD49" s="2" t="s">
        <v>635</v>
      </c>
    </row>
    <row r="50" spans="1:82" x14ac:dyDescent="0.25">
      <c r="A50" s="2" t="s">
        <v>935</v>
      </c>
      <c r="B50" s="2" t="s">
        <v>635</v>
      </c>
      <c r="C50" s="2" t="s">
        <v>635</v>
      </c>
      <c r="D50" s="2" t="s">
        <v>635</v>
      </c>
      <c r="E50" s="2" t="s">
        <v>635</v>
      </c>
      <c r="F50" s="2" t="s">
        <v>635</v>
      </c>
      <c r="G50" s="2" t="s">
        <v>635</v>
      </c>
      <c r="H50" s="2" t="s">
        <v>635</v>
      </c>
      <c r="I50" s="2" t="s">
        <v>635</v>
      </c>
      <c r="J50" s="2" t="s">
        <v>635</v>
      </c>
      <c r="K50" s="2" t="s">
        <v>635</v>
      </c>
      <c r="L50" s="2"/>
      <c r="M50" s="2" t="s">
        <v>635</v>
      </c>
      <c r="N50" s="2" t="s">
        <v>635</v>
      </c>
      <c r="O50" s="2" t="s">
        <v>635</v>
      </c>
      <c r="P50" s="2" t="s">
        <v>635</v>
      </c>
      <c r="Q50" s="2" t="s">
        <v>635</v>
      </c>
      <c r="S50" s="2" t="s">
        <v>635</v>
      </c>
      <c r="T50" s="2" t="s">
        <v>635</v>
      </c>
      <c r="U50" s="2" t="s">
        <v>635</v>
      </c>
      <c r="V50" s="2" t="s">
        <v>635</v>
      </c>
      <c r="W50" s="2" t="s">
        <v>635</v>
      </c>
      <c r="X50" s="2" t="s">
        <v>635</v>
      </c>
      <c r="Y50" s="2" t="s">
        <v>635</v>
      </c>
      <c r="Z50" s="2"/>
      <c r="AA50" s="2" t="s">
        <v>635</v>
      </c>
      <c r="AB50" s="2" t="s">
        <v>635</v>
      </c>
      <c r="AD50" s="2" t="s">
        <v>635</v>
      </c>
      <c r="AE50" s="2" t="s">
        <v>635</v>
      </c>
      <c r="AG50" s="2" t="s">
        <v>635</v>
      </c>
      <c r="AH50" s="2" t="s">
        <v>635</v>
      </c>
      <c r="AJ50" s="2"/>
      <c r="AL50" s="2"/>
      <c r="AN50" s="2" t="s">
        <v>635</v>
      </c>
      <c r="AO50" s="2"/>
      <c r="AP50" s="2"/>
      <c r="AQ50" s="2" t="s">
        <v>635</v>
      </c>
      <c r="AR50" s="2" t="s">
        <v>635</v>
      </c>
      <c r="AS50" s="2" t="s">
        <v>635</v>
      </c>
      <c r="AT50" s="2" t="s">
        <v>635</v>
      </c>
      <c r="AU50" s="2" t="s">
        <v>635</v>
      </c>
      <c r="AV50" s="2" t="s">
        <v>635</v>
      </c>
      <c r="AW50" s="2" t="s">
        <v>635</v>
      </c>
      <c r="AX50" s="2" t="s">
        <v>635</v>
      </c>
      <c r="AY50" s="2" t="s">
        <v>635</v>
      </c>
      <c r="AZ50" s="2" t="s">
        <v>635</v>
      </c>
      <c r="BA50" s="2" t="s">
        <v>635</v>
      </c>
      <c r="BB50" s="2" t="s">
        <v>635</v>
      </c>
      <c r="BC50" s="2" t="s">
        <v>635</v>
      </c>
      <c r="BD50" s="2" t="s">
        <v>635</v>
      </c>
      <c r="BE50" s="2" t="s">
        <v>635</v>
      </c>
      <c r="BF50" s="2" t="s">
        <v>635</v>
      </c>
      <c r="BG50" s="2" t="s">
        <v>635</v>
      </c>
      <c r="BH50" s="2" t="s">
        <v>635</v>
      </c>
      <c r="BI50" s="2" t="s">
        <v>635</v>
      </c>
      <c r="BJ50" s="2" t="s">
        <v>635</v>
      </c>
      <c r="BK50" s="2" t="s">
        <v>635</v>
      </c>
      <c r="BL50" s="2" t="s">
        <v>635</v>
      </c>
      <c r="BM50" s="2" t="s">
        <v>635</v>
      </c>
      <c r="BN50" s="2" t="s">
        <v>635</v>
      </c>
      <c r="BO50" s="2" t="s">
        <v>635</v>
      </c>
      <c r="BP50" s="2" t="s">
        <v>635</v>
      </c>
      <c r="BQ50" s="2" t="s">
        <v>635</v>
      </c>
      <c r="BR50" s="2" t="s">
        <v>635</v>
      </c>
      <c r="BS50" s="2" t="s">
        <v>635</v>
      </c>
      <c r="BT50" s="2" t="s">
        <v>635</v>
      </c>
      <c r="BU50" s="2" t="s">
        <v>635</v>
      </c>
      <c r="BV50" s="2" t="s">
        <v>635</v>
      </c>
      <c r="BW50" s="2" t="s">
        <v>635</v>
      </c>
      <c r="BX50" s="2" t="s">
        <v>635</v>
      </c>
      <c r="BY50" s="2" t="s">
        <v>635</v>
      </c>
      <c r="BZ50" s="2" t="s">
        <v>635</v>
      </c>
      <c r="CA50" s="2" t="s">
        <v>635</v>
      </c>
      <c r="CB50" s="2" t="s">
        <v>635</v>
      </c>
      <c r="CC50" s="2" t="s">
        <v>635</v>
      </c>
      <c r="CD50" s="2" t="s">
        <v>635</v>
      </c>
    </row>
    <row r="51" spans="1:82" x14ac:dyDescent="0.25">
      <c r="A51" s="2" t="s">
        <v>936</v>
      </c>
      <c r="B51" s="2" t="s">
        <v>671</v>
      </c>
      <c r="C51" s="2" t="s">
        <v>118</v>
      </c>
      <c r="D51" s="2" t="s">
        <v>6</v>
      </c>
      <c r="E51" s="2" t="s">
        <v>120</v>
      </c>
      <c r="F51" s="2" t="s">
        <v>937</v>
      </c>
      <c r="G51" s="2" t="s">
        <v>635</v>
      </c>
      <c r="H51" s="2" t="s">
        <v>635</v>
      </c>
      <c r="I51" s="2" t="s">
        <v>635</v>
      </c>
      <c r="J51" s="2" t="s">
        <v>635</v>
      </c>
      <c r="K51" s="2" t="s">
        <v>635</v>
      </c>
      <c r="L51" s="2"/>
      <c r="M51" s="2" t="s">
        <v>635</v>
      </c>
      <c r="N51" s="2" t="s">
        <v>635</v>
      </c>
      <c r="O51" s="2" t="s">
        <v>635</v>
      </c>
      <c r="P51" s="2" t="s">
        <v>635</v>
      </c>
      <c r="Q51" s="2" t="s">
        <v>635</v>
      </c>
      <c r="S51" s="2" t="s">
        <v>635</v>
      </c>
      <c r="T51" s="2" t="s">
        <v>635</v>
      </c>
      <c r="U51" s="2" t="s">
        <v>635</v>
      </c>
      <c r="V51" s="2" t="s">
        <v>635</v>
      </c>
      <c r="W51" s="2" t="s">
        <v>635</v>
      </c>
      <c r="X51" s="2" t="s">
        <v>635</v>
      </c>
      <c r="Y51" s="2" t="s">
        <v>635</v>
      </c>
      <c r="Z51" s="2"/>
      <c r="AA51" s="2" t="s">
        <v>635</v>
      </c>
      <c r="AB51" s="2" t="s">
        <v>635</v>
      </c>
      <c r="AD51" s="2" t="s">
        <v>635</v>
      </c>
      <c r="AE51" s="2" t="s">
        <v>635</v>
      </c>
      <c r="AG51" s="2" t="s">
        <v>635</v>
      </c>
      <c r="AH51" s="2" t="s">
        <v>635</v>
      </c>
      <c r="AJ51" s="2"/>
      <c r="AL51" s="2"/>
      <c r="AN51" s="2" t="s">
        <v>635</v>
      </c>
      <c r="AO51" s="2"/>
      <c r="AP51" s="2"/>
      <c r="AQ51" s="2" t="s">
        <v>635</v>
      </c>
      <c r="AR51" s="2" t="s">
        <v>635</v>
      </c>
      <c r="AS51" s="2" t="s">
        <v>635</v>
      </c>
      <c r="AT51" s="2" t="s">
        <v>635</v>
      </c>
      <c r="AU51" s="2" t="s">
        <v>635</v>
      </c>
      <c r="AV51" s="2" t="s">
        <v>635</v>
      </c>
      <c r="AW51" s="2" t="s">
        <v>635</v>
      </c>
      <c r="AX51" s="2" t="s">
        <v>635</v>
      </c>
      <c r="AY51" s="2" t="s">
        <v>635</v>
      </c>
      <c r="AZ51" s="2" t="s">
        <v>635</v>
      </c>
      <c r="BA51" s="2" t="s">
        <v>635</v>
      </c>
      <c r="BB51" s="2" t="s">
        <v>635</v>
      </c>
      <c r="BC51" s="2" t="s">
        <v>635</v>
      </c>
      <c r="BD51" s="2" t="s">
        <v>635</v>
      </c>
      <c r="BE51" s="2" t="s">
        <v>635</v>
      </c>
      <c r="BF51" s="2" t="s">
        <v>635</v>
      </c>
      <c r="BG51" s="2" t="s">
        <v>635</v>
      </c>
      <c r="BH51" s="2" t="s">
        <v>635</v>
      </c>
      <c r="BI51" s="2" t="s">
        <v>635</v>
      </c>
      <c r="BJ51" s="2" t="s">
        <v>635</v>
      </c>
      <c r="BK51" s="2" t="s">
        <v>635</v>
      </c>
      <c r="BL51" s="2" t="s">
        <v>635</v>
      </c>
      <c r="BM51" s="2" t="s">
        <v>635</v>
      </c>
      <c r="BN51" s="2" t="s">
        <v>635</v>
      </c>
      <c r="BO51" s="2" t="s">
        <v>635</v>
      </c>
      <c r="BP51" s="2" t="s">
        <v>635</v>
      </c>
      <c r="BQ51" s="2" t="s">
        <v>635</v>
      </c>
      <c r="BR51" s="2" t="s">
        <v>635</v>
      </c>
      <c r="BS51" s="2" t="s">
        <v>635</v>
      </c>
      <c r="BT51" s="2" t="s">
        <v>635</v>
      </c>
      <c r="BU51" s="2" t="s">
        <v>635</v>
      </c>
      <c r="BV51" s="2" t="s">
        <v>635</v>
      </c>
      <c r="BW51" s="2" t="s">
        <v>635</v>
      </c>
      <c r="BX51" s="2" t="s">
        <v>635</v>
      </c>
      <c r="BY51" s="2" t="s">
        <v>635</v>
      </c>
      <c r="BZ51" s="2" t="s">
        <v>635</v>
      </c>
      <c r="CA51" s="2" t="s">
        <v>635</v>
      </c>
      <c r="CB51" s="2" t="s">
        <v>635</v>
      </c>
      <c r="CC51" s="2" t="s">
        <v>635</v>
      </c>
      <c r="CD51" s="2" t="s">
        <v>635</v>
      </c>
    </row>
    <row r="52" spans="1:82" x14ac:dyDescent="0.25">
      <c r="A52" s="2" t="s">
        <v>376</v>
      </c>
      <c r="B52" s="2" t="s">
        <v>377</v>
      </c>
      <c r="C52" s="2" t="s">
        <v>635</v>
      </c>
      <c r="D52" s="2" t="s">
        <v>635</v>
      </c>
      <c r="E52" s="2" t="s">
        <v>336</v>
      </c>
      <c r="F52" s="2" t="s">
        <v>329</v>
      </c>
      <c r="G52" s="2" t="s">
        <v>330</v>
      </c>
      <c r="H52" s="2" t="s">
        <v>635</v>
      </c>
      <c r="I52" s="2" t="s">
        <v>635</v>
      </c>
      <c r="J52" s="2" t="s">
        <v>635</v>
      </c>
      <c r="K52" s="2" t="s">
        <v>635</v>
      </c>
      <c r="L52" s="2"/>
      <c r="M52" s="2" t="s">
        <v>635</v>
      </c>
      <c r="N52" s="2" t="s">
        <v>938</v>
      </c>
      <c r="O52" s="2" t="s">
        <v>939</v>
      </c>
      <c r="P52" s="2" t="s">
        <v>635</v>
      </c>
      <c r="Q52" s="2" t="s">
        <v>635</v>
      </c>
      <c r="S52" s="2" t="s">
        <v>635</v>
      </c>
      <c r="T52" s="2" t="s">
        <v>635</v>
      </c>
      <c r="U52" s="2" t="s">
        <v>13</v>
      </c>
      <c r="V52" s="2" t="s">
        <v>635</v>
      </c>
      <c r="W52" s="2" t="s">
        <v>635</v>
      </c>
      <c r="X52" s="2" t="s">
        <v>635</v>
      </c>
      <c r="Y52" s="2" t="s">
        <v>940</v>
      </c>
      <c r="Z52" s="2"/>
      <c r="AA52" s="2" t="s">
        <v>635</v>
      </c>
      <c r="AB52" s="2" t="s">
        <v>635</v>
      </c>
      <c r="AC52">
        <v>0</v>
      </c>
      <c r="AD52" s="2" t="s">
        <v>678</v>
      </c>
      <c r="AE52" s="2" t="s">
        <v>635</v>
      </c>
      <c r="AF52">
        <v>0</v>
      </c>
      <c r="AG52" s="2" t="s">
        <v>635</v>
      </c>
      <c r="AH52" s="2" t="s">
        <v>827</v>
      </c>
      <c r="AI52">
        <v>0</v>
      </c>
      <c r="AJ52" s="2">
        <v>0</v>
      </c>
      <c r="AK52">
        <v>0</v>
      </c>
      <c r="AL52" s="2"/>
      <c r="AM52">
        <v>0</v>
      </c>
      <c r="AN52" s="2" t="s">
        <v>827</v>
      </c>
      <c r="AO52" s="2">
        <v>0</v>
      </c>
      <c r="AP52" s="2">
        <v>0</v>
      </c>
      <c r="AQ52" s="2" t="s">
        <v>635</v>
      </c>
      <c r="AR52" s="2" t="s">
        <v>635</v>
      </c>
      <c r="AS52" s="2" t="s">
        <v>11</v>
      </c>
      <c r="AT52" s="2" t="s">
        <v>331</v>
      </c>
      <c r="AU52" s="2" t="s">
        <v>635</v>
      </c>
      <c r="AV52" s="2" t="s">
        <v>635</v>
      </c>
      <c r="AW52" s="2" t="s">
        <v>635</v>
      </c>
      <c r="AX52" s="2" t="s">
        <v>277</v>
      </c>
      <c r="AY52" s="2" t="s">
        <v>854</v>
      </c>
      <c r="AZ52" s="2" t="s">
        <v>297</v>
      </c>
      <c r="BA52" s="2" t="s">
        <v>645</v>
      </c>
      <c r="BB52" s="2" t="s">
        <v>635</v>
      </c>
      <c r="BC52" s="2" t="s">
        <v>635</v>
      </c>
      <c r="BD52" s="2" t="s">
        <v>813</v>
      </c>
      <c r="BE52" s="2" t="s">
        <v>635</v>
      </c>
      <c r="BF52" s="2" t="s">
        <v>635</v>
      </c>
      <c r="BG52" s="2" t="s">
        <v>635</v>
      </c>
      <c r="BH52" s="2" t="s">
        <v>635</v>
      </c>
      <c r="BI52" s="2" t="s">
        <v>635</v>
      </c>
      <c r="BJ52" s="2" t="s">
        <v>402</v>
      </c>
      <c r="BK52" s="2" t="s">
        <v>635</v>
      </c>
      <c r="BL52" s="2" t="s">
        <v>635</v>
      </c>
      <c r="BM52" s="2" t="s">
        <v>52</v>
      </c>
      <c r="BN52" s="2" t="s">
        <v>635</v>
      </c>
      <c r="BO52" s="2" t="s">
        <v>635</v>
      </c>
      <c r="BP52" s="2" t="s">
        <v>635</v>
      </c>
      <c r="BQ52" s="2" t="s">
        <v>298</v>
      </c>
      <c r="BR52" s="2" t="s">
        <v>635</v>
      </c>
      <c r="BS52" s="2" t="s">
        <v>635</v>
      </c>
      <c r="BT52" s="2" t="s">
        <v>941</v>
      </c>
      <c r="BU52" s="2" t="s">
        <v>635</v>
      </c>
      <c r="BV52" s="2" t="s">
        <v>635</v>
      </c>
      <c r="BW52" s="2" t="s">
        <v>635</v>
      </c>
      <c r="BX52" s="2" t="s">
        <v>814</v>
      </c>
      <c r="BY52" s="2" t="s">
        <v>635</v>
      </c>
      <c r="BZ52" s="2" t="s">
        <v>189</v>
      </c>
      <c r="CA52" s="2" t="s">
        <v>189</v>
      </c>
      <c r="CB52" s="2" t="s">
        <v>299</v>
      </c>
      <c r="CC52" s="2" t="s">
        <v>635</v>
      </c>
      <c r="CD52" s="2" t="s">
        <v>635</v>
      </c>
    </row>
    <row r="53" spans="1:82" x14ac:dyDescent="0.25">
      <c r="A53" s="2" t="s">
        <v>403</v>
      </c>
      <c r="B53" s="2" t="s">
        <v>404</v>
      </c>
      <c r="C53" s="2" t="s">
        <v>635</v>
      </c>
      <c r="D53" s="2" t="s">
        <v>635</v>
      </c>
      <c r="E53" s="2" t="s">
        <v>328</v>
      </c>
      <c r="F53" s="2" t="s">
        <v>329</v>
      </c>
      <c r="G53" s="2" t="s">
        <v>330</v>
      </c>
      <c r="H53" s="2" t="s">
        <v>635</v>
      </c>
      <c r="I53" s="2" t="s">
        <v>158</v>
      </c>
      <c r="J53" s="2" t="s">
        <v>635</v>
      </c>
      <c r="K53" s="2" t="s">
        <v>158</v>
      </c>
      <c r="L53" s="2"/>
      <c r="M53" s="2" t="s">
        <v>635</v>
      </c>
      <c r="N53" s="2" t="s">
        <v>942</v>
      </c>
      <c r="O53" s="2" t="s">
        <v>943</v>
      </c>
      <c r="P53" s="2" t="s">
        <v>635</v>
      </c>
      <c r="Q53" s="2" t="s">
        <v>635</v>
      </c>
      <c r="S53" s="2" t="s">
        <v>635</v>
      </c>
      <c r="T53" s="2" t="s">
        <v>635</v>
      </c>
      <c r="U53" s="2" t="s">
        <v>35</v>
      </c>
      <c r="V53" s="2" t="s">
        <v>635</v>
      </c>
      <c r="W53" s="2" t="s">
        <v>944</v>
      </c>
      <c r="X53" s="2" t="s">
        <v>635</v>
      </c>
      <c r="Y53" s="2" t="s">
        <v>635</v>
      </c>
      <c r="Z53" s="2"/>
      <c r="AA53" s="2" t="s">
        <v>635</v>
      </c>
      <c r="AB53" s="2" t="s">
        <v>635</v>
      </c>
      <c r="AD53" s="2" t="s">
        <v>635</v>
      </c>
      <c r="AE53" s="2" t="s">
        <v>635</v>
      </c>
      <c r="AG53" s="2" t="s">
        <v>635</v>
      </c>
      <c r="AH53" s="2" t="s">
        <v>635</v>
      </c>
      <c r="AJ53" s="2"/>
      <c r="AL53" s="2"/>
      <c r="AN53" s="2" t="s">
        <v>635</v>
      </c>
      <c r="AO53" s="2"/>
      <c r="AP53" s="2"/>
      <c r="AQ53" s="2" t="s">
        <v>635</v>
      </c>
      <c r="AR53" s="2" t="s">
        <v>635</v>
      </c>
      <c r="AS53" s="2" t="s">
        <v>635</v>
      </c>
      <c r="AT53" s="2" t="s">
        <v>635</v>
      </c>
      <c r="AU53" s="2" t="s">
        <v>635</v>
      </c>
      <c r="AV53" s="2" t="s">
        <v>635</v>
      </c>
      <c r="AW53" s="2" t="s">
        <v>635</v>
      </c>
      <c r="AX53" s="2" t="s">
        <v>635</v>
      </c>
      <c r="AY53" s="2" t="s">
        <v>635</v>
      </c>
      <c r="AZ53" s="2" t="s">
        <v>635</v>
      </c>
      <c r="BA53" s="2" t="s">
        <v>635</v>
      </c>
      <c r="BB53" s="2" t="s">
        <v>635</v>
      </c>
      <c r="BC53" s="2" t="s">
        <v>635</v>
      </c>
      <c r="BD53" s="2" t="s">
        <v>635</v>
      </c>
      <c r="BE53" s="2" t="s">
        <v>635</v>
      </c>
      <c r="BF53" s="2" t="s">
        <v>635</v>
      </c>
      <c r="BG53" s="2" t="s">
        <v>635</v>
      </c>
      <c r="BH53" s="2" t="s">
        <v>635</v>
      </c>
      <c r="BI53" s="2" t="s">
        <v>635</v>
      </c>
      <c r="BJ53" s="2" t="s">
        <v>635</v>
      </c>
      <c r="BK53" s="2" t="s">
        <v>635</v>
      </c>
      <c r="BL53" s="2" t="s">
        <v>635</v>
      </c>
      <c r="BM53" s="2" t="s">
        <v>635</v>
      </c>
      <c r="BN53" s="2" t="s">
        <v>635</v>
      </c>
      <c r="BO53" s="2" t="s">
        <v>635</v>
      </c>
      <c r="BP53" s="2" t="s">
        <v>635</v>
      </c>
      <c r="BQ53" s="2" t="s">
        <v>635</v>
      </c>
      <c r="BR53" s="2" t="s">
        <v>635</v>
      </c>
      <c r="BS53" s="2" t="s">
        <v>635</v>
      </c>
      <c r="BT53" s="2" t="s">
        <v>635</v>
      </c>
      <c r="BU53" s="2" t="s">
        <v>635</v>
      </c>
      <c r="BV53" s="2" t="s">
        <v>635</v>
      </c>
      <c r="BW53" s="2" t="s">
        <v>635</v>
      </c>
      <c r="BX53" s="2" t="s">
        <v>635</v>
      </c>
      <c r="BY53" s="2" t="s">
        <v>635</v>
      </c>
      <c r="BZ53" s="2" t="s">
        <v>635</v>
      </c>
      <c r="CA53" s="2" t="s">
        <v>635</v>
      </c>
      <c r="CB53" s="2" t="s">
        <v>635</v>
      </c>
      <c r="CC53" s="2" t="s">
        <v>635</v>
      </c>
      <c r="CD53" s="2" t="s">
        <v>635</v>
      </c>
    </row>
    <row r="54" spans="1:82" x14ac:dyDescent="0.25">
      <c r="A54" s="2" t="s">
        <v>945</v>
      </c>
      <c r="B54" s="2" t="s">
        <v>635</v>
      </c>
      <c r="C54" s="2" t="s">
        <v>826</v>
      </c>
      <c r="D54" s="2" t="s">
        <v>635</v>
      </c>
      <c r="E54" s="2" t="s">
        <v>635</v>
      </c>
      <c r="F54" s="2" t="s">
        <v>635</v>
      </c>
      <c r="G54" s="2" t="s">
        <v>678</v>
      </c>
      <c r="H54" s="2" t="s">
        <v>678</v>
      </c>
      <c r="I54" s="2" t="s">
        <v>635</v>
      </c>
      <c r="J54" s="2" t="s">
        <v>827</v>
      </c>
      <c r="K54" s="2" t="s">
        <v>635</v>
      </c>
      <c r="L54" s="2">
        <v>0</v>
      </c>
      <c r="M54" s="2" t="s">
        <v>827</v>
      </c>
      <c r="N54" s="2" t="s">
        <v>827</v>
      </c>
      <c r="O54" s="2" t="s">
        <v>827</v>
      </c>
      <c r="P54" s="2" t="s">
        <v>635</v>
      </c>
      <c r="Q54" s="2" t="s">
        <v>827</v>
      </c>
      <c r="R54">
        <v>0</v>
      </c>
      <c r="S54" s="2" t="s">
        <v>827</v>
      </c>
      <c r="T54" s="2" t="s">
        <v>827</v>
      </c>
      <c r="U54" s="2" t="s">
        <v>635</v>
      </c>
      <c r="V54" s="2" t="s">
        <v>635</v>
      </c>
      <c r="W54" s="2" t="s">
        <v>11</v>
      </c>
      <c r="X54" s="2" t="s">
        <v>331</v>
      </c>
      <c r="Y54" s="2" t="s">
        <v>635</v>
      </c>
      <c r="Z54" s="2"/>
      <c r="AA54" s="2" t="s">
        <v>635</v>
      </c>
      <c r="AB54" s="2" t="s">
        <v>157</v>
      </c>
      <c r="AC54">
        <v>30</v>
      </c>
      <c r="AD54" s="2" t="s">
        <v>155</v>
      </c>
      <c r="AE54" s="2" t="s">
        <v>646</v>
      </c>
      <c r="AG54" s="2" t="s">
        <v>635</v>
      </c>
      <c r="AH54" s="2" t="s">
        <v>159</v>
      </c>
      <c r="AJ54" s="2"/>
      <c r="AL54" s="2"/>
      <c r="AN54" s="2" t="s">
        <v>156</v>
      </c>
      <c r="AO54" s="2"/>
      <c r="AP54" s="2"/>
      <c r="AQ54" s="2" t="s">
        <v>14</v>
      </c>
      <c r="AR54" s="2" t="s">
        <v>635</v>
      </c>
      <c r="AS54" s="2" t="s">
        <v>635</v>
      </c>
      <c r="AT54" s="2" t="s">
        <v>635</v>
      </c>
      <c r="AU54" s="2" t="s">
        <v>156</v>
      </c>
      <c r="AV54" s="2" t="s">
        <v>635</v>
      </c>
      <c r="AW54" s="2" t="s">
        <v>635</v>
      </c>
      <c r="AX54" s="2" t="s">
        <v>946</v>
      </c>
      <c r="AY54" s="2" t="s">
        <v>635</v>
      </c>
      <c r="AZ54" s="2" t="s">
        <v>635</v>
      </c>
      <c r="BA54" s="2" t="s">
        <v>635</v>
      </c>
      <c r="BB54" s="2" t="s">
        <v>159</v>
      </c>
      <c r="BC54" s="2" t="s">
        <v>635</v>
      </c>
      <c r="BD54" s="2" t="s">
        <v>136</v>
      </c>
      <c r="BE54" s="2" t="s">
        <v>136</v>
      </c>
      <c r="BF54" s="2" t="s">
        <v>160</v>
      </c>
      <c r="BG54" s="2" t="s">
        <v>635</v>
      </c>
      <c r="BH54" s="2" t="s">
        <v>635</v>
      </c>
      <c r="BI54" s="2" t="s">
        <v>635</v>
      </c>
      <c r="BJ54" s="2" t="s">
        <v>635</v>
      </c>
      <c r="BK54" s="2" t="s">
        <v>635</v>
      </c>
      <c r="BL54" s="2" t="s">
        <v>635</v>
      </c>
      <c r="BM54" s="2" t="s">
        <v>635</v>
      </c>
      <c r="BN54" s="2" t="s">
        <v>635</v>
      </c>
      <c r="BO54" s="2" t="s">
        <v>635</v>
      </c>
      <c r="BP54" s="2" t="s">
        <v>635</v>
      </c>
      <c r="BQ54" s="2" t="s">
        <v>635</v>
      </c>
      <c r="BR54" s="2" t="s">
        <v>635</v>
      </c>
      <c r="BS54" s="2" t="s">
        <v>635</v>
      </c>
      <c r="BT54" s="2" t="s">
        <v>635</v>
      </c>
      <c r="BU54" s="2" t="s">
        <v>635</v>
      </c>
      <c r="BV54" s="2" t="s">
        <v>635</v>
      </c>
      <c r="BW54" s="2" t="s">
        <v>635</v>
      </c>
      <c r="BX54" s="2" t="s">
        <v>635</v>
      </c>
      <c r="BY54" s="2" t="s">
        <v>635</v>
      </c>
      <c r="BZ54" s="2" t="s">
        <v>635</v>
      </c>
      <c r="CA54" s="2" t="s">
        <v>635</v>
      </c>
      <c r="CB54" s="2" t="s">
        <v>635</v>
      </c>
      <c r="CC54" s="2" t="s">
        <v>635</v>
      </c>
      <c r="CD54" s="2" t="s">
        <v>635</v>
      </c>
    </row>
    <row r="55" spans="1:82" x14ac:dyDescent="0.25">
      <c r="A55" s="2" t="s">
        <v>947</v>
      </c>
      <c r="B55" s="2" t="s">
        <v>948</v>
      </c>
      <c r="C55" s="2" t="s">
        <v>635</v>
      </c>
      <c r="D55" s="2" t="s">
        <v>635</v>
      </c>
      <c r="E55" s="2" t="s">
        <v>346</v>
      </c>
      <c r="F55" s="2" t="s">
        <v>329</v>
      </c>
      <c r="G55" s="2" t="s">
        <v>330</v>
      </c>
      <c r="H55" s="2" t="s">
        <v>635</v>
      </c>
      <c r="I55" s="2" t="s">
        <v>175</v>
      </c>
      <c r="J55" s="2" t="s">
        <v>635</v>
      </c>
      <c r="K55" s="2" t="s">
        <v>175</v>
      </c>
      <c r="L55" s="2"/>
      <c r="M55" s="2" t="s">
        <v>635</v>
      </c>
      <c r="N55" s="2" t="s">
        <v>949</v>
      </c>
      <c r="O55" s="2" t="s">
        <v>853</v>
      </c>
      <c r="P55" s="2" t="s">
        <v>854</v>
      </c>
      <c r="Q55" s="2" t="s">
        <v>635</v>
      </c>
      <c r="R55">
        <v>40</v>
      </c>
      <c r="S55" s="2" t="s">
        <v>950</v>
      </c>
      <c r="T55" s="2" t="s">
        <v>635</v>
      </c>
      <c r="U55" s="2" t="s">
        <v>35</v>
      </c>
      <c r="V55" s="2" t="s">
        <v>635</v>
      </c>
      <c r="W55" s="2" t="s">
        <v>635</v>
      </c>
      <c r="X55" s="2" t="s">
        <v>635</v>
      </c>
      <c r="Y55" s="2" t="s">
        <v>826</v>
      </c>
      <c r="Z55" s="2"/>
      <c r="AA55" s="2" t="s">
        <v>635</v>
      </c>
      <c r="AB55" s="2" t="s">
        <v>635</v>
      </c>
      <c r="AC55">
        <v>1</v>
      </c>
      <c r="AD55" s="2" t="s">
        <v>678</v>
      </c>
      <c r="AE55" s="2" t="s">
        <v>635</v>
      </c>
      <c r="AF55">
        <v>0</v>
      </c>
      <c r="AG55" s="2" t="s">
        <v>635</v>
      </c>
      <c r="AH55" s="2" t="s">
        <v>827</v>
      </c>
      <c r="AI55">
        <v>0</v>
      </c>
      <c r="AJ55" s="2">
        <v>0</v>
      </c>
      <c r="AK55">
        <v>0</v>
      </c>
      <c r="AL55" s="2"/>
      <c r="AM55">
        <v>0</v>
      </c>
      <c r="AN55" s="2" t="s">
        <v>827</v>
      </c>
      <c r="AO55" s="2">
        <v>0</v>
      </c>
      <c r="AP55" s="2">
        <v>0</v>
      </c>
      <c r="AQ55" s="2" t="s">
        <v>635</v>
      </c>
      <c r="AR55" s="2" t="s">
        <v>951</v>
      </c>
      <c r="AS55" s="2" t="s">
        <v>11</v>
      </c>
      <c r="AT55" s="2" t="s">
        <v>952</v>
      </c>
      <c r="AU55" s="2" t="s">
        <v>635</v>
      </c>
      <c r="AV55" s="2" t="s">
        <v>635</v>
      </c>
      <c r="AW55" s="2" t="s">
        <v>635</v>
      </c>
      <c r="AX55" s="2" t="s">
        <v>267</v>
      </c>
      <c r="AY55" s="2" t="s">
        <v>926</v>
      </c>
      <c r="AZ55" s="2" t="s">
        <v>953</v>
      </c>
      <c r="BA55" s="2" t="s">
        <v>954</v>
      </c>
      <c r="BB55" s="2" t="s">
        <v>635</v>
      </c>
      <c r="BC55" s="2" t="s">
        <v>635</v>
      </c>
      <c r="BD55" s="2" t="s">
        <v>955</v>
      </c>
      <c r="BE55" s="2" t="s">
        <v>635</v>
      </c>
      <c r="BF55" s="2" t="s">
        <v>635</v>
      </c>
      <c r="BG55" s="2" t="s">
        <v>635</v>
      </c>
      <c r="BH55" s="2" t="s">
        <v>635</v>
      </c>
      <c r="BI55" s="2" t="s">
        <v>635</v>
      </c>
      <c r="BJ55" s="2" t="s">
        <v>635</v>
      </c>
      <c r="BK55" s="2" t="s">
        <v>635</v>
      </c>
      <c r="BL55" s="2" t="s">
        <v>635</v>
      </c>
      <c r="BM55" s="2" t="s">
        <v>635</v>
      </c>
      <c r="BN55" s="2" t="s">
        <v>635</v>
      </c>
      <c r="BO55" s="2" t="s">
        <v>635</v>
      </c>
      <c r="BP55" s="2" t="s">
        <v>635</v>
      </c>
      <c r="BQ55" s="2" t="s">
        <v>635</v>
      </c>
      <c r="BR55" s="2" t="s">
        <v>635</v>
      </c>
      <c r="BS55" s="2" t="s">
        <v>635</v>
      </c>
      <c r="BT55" s="2" t="s">
        <v>635</v>
      </c>
      <c r="BU55" s="2" t="s">
        <v>635</v>
      </c>
      <c r="BV55" s="2" t="s">
        <v>635</v>
      </c>
      <c r="BW55" s="2" t="s">
        <v>635</v>
      </c>
      <c r="BX55" s="2" t="s">
        <v>635</v>
      </c>
      <c r="BY55" s="2" t="s">
        <v>635</v>
      </c>
      <c r="BZ55" s="2" t="s">
        <v>635</v>
      </c>
      <c r="CA55" s="2" t="s">
        <v>635</v>
      </c>
      <c r="CB55" s="2" t="s">
        <v>635</v>
      </c>
      <c r="CC55" s="2" t="s">
        <v>635</v>
      </c>
      <c r="CD55" s="2" t="s">
        <v>635</v>
      </c>
    </row>
    <row r="56" spans="1:82" x14ac:dyDescent="0.25">
      <c r="A56" s="2" t="s">
        <v>956</v>
      </c>
      <c r="B56" s="2" t="s">
        <v>957</v>
      </c>
      <c r="C56" s="2" t="s">
        <v>635</v>
      </c>
      <c r="D56" s="2" t="s">
        <v>635</v>
      </c>
      <c r="E56" s="2" t="s">
        <v>635</v>
      </c>
      <c r="F56" s="2" t="s">
        <v>635</v>
      </c>
      <c r="G56" s="2" t="s">
        <v>958</v>
      </c>
      <c r="H56" s="2" t="s">
        <v>635</v>
      </c>
      <c r="I56" s="2" t="s">
        <v>635</v>
      </c>
      <c r="J56" s="2" t="s">
        <v>52</v>
      </c>
      <c r="K56" s="2" t="s">
        <v>635</v>
      </c>
      <c r="L56" s="2"/>
      <c r="M56" s="2" t="s">
        <v>333</v>
      </c>
      <c r="N56" s="2" t="s">
        <v>959</v>
      </c>
      <c r="O56" s="2" t="s">
        <v>354</v>
      </c>
      <c r="P56" s="2" t="s">
        <v>635</v>
      </c>
      <c r="Q56" s="2" t="s">
        <v>838</v>
      </c>
      <c r="S56" s="2" t="s">
        <v>635</v>
      </c>
      <c r="T56" s="2" t="s">
        <v>635</v>
      </c>
      <c r="U56" s="2" t="s">
        <v>960</v>
      </c>
      <c r="V56" s="2" t="s">
        <v>635</v>
      </c>
      <c r="W56" s="2" t="s">
        <v>635</v>
      </c>
      <c r="X56" s="2" t="s">
        <v>635</v>
      </c>
      <c r="Y56" s="2" t="s">
        <v>635</v>
      </c>
      <c r="Z56" s="2"/>
      <c r="AA56" s="2" t="s">
        <v>635</v>
      </c>
      <c r="AB56" s="2" t="s">
        <v>635</v>
      </c>
      <c r="AD56" s="2" t="s">
        <v>635</v>
      </c>
      <c r="AE56" s="2" t="s">
        <v>635</v>
      </c>
      <c r="AG56" s="2" t="s">
        <v>635</v>
      </c>
      <c r="AH56" s="2" t="s">
        <v>635</v>
      </c>
      <c r="AJ56" s="2"/>
      <c r="AL56" s="2"/>
      <c r="AN56" s="2" t="s">
        <v>635</v>
      </c>
      <c r="AO56" s="2"/>
      <c r="AP56" s="2"/>
      <c r="AQ56" s="2" t="s">
        <v>635</v>
      </c>
      <c r="AR56" s="2" t="s">
        <v>635</v>
      </c>
      <c r="AS56" s="2" t="s">
        <v>635</v>
      </c>
      <c r="AT56" s="2" t="s">
        <v>635</v>
      </c>
      <c r="AU56" s="2" t="s">
        <v>635</v>
      </c>
      <c r="AV56" s="2" t="s">
        <v>635</v>
      </c>
      <c r="AW56" s="2" t="s">
        <v>635</v>
      </c>
      <c r="AX56" s="2" t="s">
        <v>635</v>
      </c>
      <c r="AY56" s="2" t="s">
        <v>635</v>
      </c>
      <c r="AZ56" s="2" t="s">
        <v>635</v>
      </c>
      <c r="BA56" s="2" t="s">
        <v>635</v>
      </c>
      <c r="BB56" s="2" t="s">
        <v>635</v>
      </c>
      <c r="BC56" s="2" t="s">
        <v>635</v>
      </c>
      <c r="BD56" s="2" t="s">
        <v>635</v>
      </c>
      <c r="BE56" s="2" t="s">
        <v>635</v>
      </c>
      <c r="BF56" s="2" t="s">
        <v>635</v>
      </c>
      <c r="BG56" s="2" t="s">
        <v>635</v>
      </c>
      <c r="BH56" s="2" t="s">
        <v>635</v>
      </c>
      <c r="BI56" s="2" t="s">
        <v>635</v>
      </c>
      <c r="BJ56" s="2" t="s">
        <v>635</v>
      </c>
      <c r="BK56" s="2" t="s">
        <v>635</v>
      </c>
      <c r="BL56" s="2" t="s">
        <v>635</v>
      </c>
      <c r="BM56" s="2" t="s">
        <v>635</v>
      </c>
      <c r="BN56" s="2" t="s">
        <v>635</v>
      </c>
      <c r="BO56" s="2" t="s">
        <v>635</v>
      </c>
      <c r="BP56" s="2" t="s">
        <v>635</v>
      </c>
      <c r="BQ56" s="2" t="s">
        <v>635</v>
      </c>
      <c r="BR56" s="2" t="s">
        <v>635</v>
      </c>
      <c r="BS56" s="2" t="s">
        <v>635</v>
      </c>
      <c r="BT56" s="2" t="s">
        <v>635</v>
      </c>
      <c r="BU56" s="2" t="s">
        <v>635</v>
      </c>
      <c r="BV56" s="2" t="s">
        <v>635</v>
      </c>
      <c r="BW56" s="2" t="s">
        <v>635</v>
      </c>
      <c r="BX56" s="2" t="s">
        <v>635</v>
      </c>
      <c r="BY56" s="2" t="s">
        <v>635</v>
      </c>
      <c r="BZ56" s="2" t="s">
        <v>635</v>
      </c>
      <c r="CA56" s="2" t="s">
        <v>635</v>
      </c>
      <c r="CB56" s="2" t="s">
        <v>635</v>
      </c>
      <c r="CC56" s="2" t="s">
        <v>635</v>
      </c>
      <c r="CD56" s="2" t="s">
        <v>635</v>
      </c>
    </row>
    <row r="57" spans="1:82" x14ac:dyDescent="0.25">
      <c r="A57" s="2" t="s">
        <v>956</v>
      </c>
      <c r="B57" s="2" t="s">
        <v>635</v>
      </c>
      <c r="C57" s="2" t="s">
        <v>99</v>
      </c>
      <c r="D57" s="2" t="s">
        <v>99</v>
      </c>
      <c r="E57" s="2" t="s">
        <v>961</v>
      </c>
      <c r="F57" s="2" t="s">
        <v>635</v>
      </c>
      <c r="G57" s="2" t="s">
        <v>635</v>
      </c>
      <c r="H57" s="2" t="s">
        <v>635</v>
      </c>
      <c r="I57" s="2" t="s">
        <v>635</v>
      </c>
      <c r="J57" s="2" t="s">
        <v>635</v>
      </c>
      <c r="K57" s="2" t="s">
        <v>635</v>
      </c>
      <c r="L57" s="2"/>
      <c r="M57" s="2" t="s">
        <v>635</v>
      </c>
      <c r="N57" s="2" t="s">
        <v>635</v>
      </c>
      <c r="O57" s="2" t="s">
        <v>635</v>
      </c>
      <c r="P57" s="2" t="s">
        <v>635</v>
      </c>
      <c r="Q57" s="2" t="s">
        <v>635</v>
      </c>
      <c r="S57" s="2" t="s">
        <v>635</v>
      </c>
      <c r="T57" s="2" t="s">
        <v>635</v>
      </c>
      <c r="U57" s="2" t="s">
        <v>635</v>
      </c>
      <c r="V57" s="2" t="s">
        <v>635</v>
      </c>
      <c r="W57" s="2" t="s">
        <v>635</v>
      </c>
      <c r="X57" s="2" t="s">
        <v>635</v>
      </c>
      <c r="Y57" s="2" t="s">
        <v>635</v>
      </c>
      <c r="Z57" s="2"/>
      <c r="AA57" s="2" t="s">
        <v>635</v>
      </c>
      <c r="AB57" s="2" t="s">
        <v>635</v>
      </c>
      <c r="AD57" s="2" t="s">
        <v>635</v>
      </c>
      <c r="AE57" s="2" t="s">
        <v>635</v>
      </c>
      <c r="AG57" s="2" t="s">
        <v>635</v>
      </c>
      <c r="AH57" s="2" t="s">
        <v>635</v>
      </c>
      <c r="AJ57" s="2"/>
      <c r="AL57" s="2"/>
      <c r="AN57" s="2" t="s">
        <v>635</v>
      </c>
      <c r="AO57" s="2"/>
      <c r="AP57" s="2"/>
      <c r="AQ57" s="2" t="s">
        <v>635</v>
      </c>
      <c r="AR57" s="2" t="s">
        <v>635</v>
      </c>
      <c r="AS57" s="2" t="s">
        <v>635</v>
      </c>
      <c r="AT57" s="2" t="s">
        <v>635</v>
      </c>
      <c r="AU57" s="2" t="s">
        <v>635</v>
      </c>
      <c r="AV57" s="2" t="s">
        <v>635</v>
      </c>
      <c r="AW57" s="2" t="s">
        <v>635</v>
      </c>
      <c r="AX57" s="2" t="s">
        <v>635</v>
      </c>
      <c r="AY57" s="2" t="s">
        <v>635</v>
      </c>
      <c r="AZ57" s="2" t="s">
        <v>635</v>
      </c>
      <c r="BA57" s="2" t="s">
        <v>635</v>
      </c>
      <c r="BB57" s="2" t="s">
        <v>635</v>
      </c>
      <c r="BC57" s="2" t="s">
        <v>635</v>
      </c>
      <c r="BD57" s="2" t="s">
        <v>635</v>
      </c>
      <c r="BE57" s="2" t="s">
        <v>635</v>
      </c>
      <c r="BF57" s="2" t="s">
        <v>635</v>
      </c>
      <c r="BG57" s="2" t="s">
        <v>635</v>
      </c>
      <c r="BH57" s="2" t="s">
        <v>635</v>
      </c>
      <c r="BI57" s="2" t="s">
        <v>635</v>
      </c>
      <c r="BJ57" s="2" t="s">
        <v>635</v>
      </c>
      <c r="BK57" s="2" t="s">
        <v>635</v>
      </c>
      <c r="BL57" s="2" t="s">
        <v>635</v>
      </c>
      <c r="BM57" s="2" t="s">
        <v>635</v>
      </c>
      <c r="BN57" s="2" t="s">
        <v>635</v>
      </c>
      <c r="BO57" s="2" t="s">
        <v>635</v>
      </c>
      <c r="BP57" s="2" t="s">
        <v>635</v>
      </c>
      <c r="BQ57" s="2" t="s">
        <v>635</v>
      </c>
      <c r="BR57" s="2" t="s">
        <v>635</v>
      </c>
      <c r="BS57" s="2" t="s">
        <v>635</v>
      </c>
      <c r="BT57" s="2" t="s">
        <v>635</v>
      </c>
      <c r="BU57" s="2" t="s">
        <v>635</v>
      </c>
      <c r="BV57" s="2" t="s">
        <v>635</v>
      </c>
      <c r="BW57" s="2" t="s">
        <v>635</v>
      </c>
      <c r="BX57" s="2" t="s">
        <v>635</v>
      </c>
      <c r="BY57" s="2" t="s">
        <v>635</v>
      </c>
      <c r="BZ57" s="2" t="s">
        <v>635</v>
      </c>
      <c r="CA57" s="2" t="s">
        <v>635</v>
      </c>
      <c r="CB57" s="2" t="s">
        <v>635</v>
      </c>
      <c r="CC57" s="2" t="s">
        <v>635</v>
      </c>
      <c r="CD57" s="2" t="s">
        <v>635</v>
      </c>
    </row>
    <row r="58" spans="1:82" x14ac:dyDescent="0.25">
      <c r="A58" s="2" t="s">
        <v>405</v>
      </c>
      <c r="B58" s="2" t="s">
        <v>406</v>
      </c>
      <c r="C58" s="2" t="s">
        <v>635</v>
      </c>
      <c r="D58" s="2" t="s">
        <v>635</v>
      </c>
      <c r="E58" s="2" t="s">
        <v>336</v>
      </c>
      <c r="F58" s="2" t="s">
        <v>329</v>
      </c>
      <c r="G58" s="2" t="s">
        <v>407</v>
      </c>
      <c r="H58" s="2" t="s">
        <v>635</v>
      </c>
      <c r="I58" s="2" t="s">
        <v>64</v>
      </c>
      <c r="J58" s="2" t="s">
        <v>635</v>
      </c>
      <c r="K58" s="2" t="s">
        <v>64</v>
      </c>
      <c r="L58" s="2"/>
      <c r="M58" s="2" t="s">
        <v>635</v>
      </c>
      <c r="N58" s="2" t="s">
        <v>962</v>
      </c>
      <c r="O58" s="2" t="s">
        <v>963</v>
      </c>
      <c r="P58" s="2" t="s">
        <v>635</v>
      </c>
      <c r="Q58" s="2" t="s">
        <v>635</v>
      </c>
      <c r="S58" s="2" t="s">
        <v>635</v>
      </c>
      <c r="T58" s="2" t="s">
        <v>635</v>
      </c>
      <c r="U58" s="2" t="s">
        <v>13</v>
      </c>
      <c r="V58" s="2" t="s">
        <v>635</v>
      </c>
      <c r="W58" s="2" t="s">
        <v>635</v>
      </c>
      <c r="X58" s="2" t="s">
        <v>635</v>
      </c>
      <c r="Y58" s="2" t="s">
        <v>940</v>
      </c>
      <c r="Z58" s="2"/>
      <c r="AA58" s="2" t="s">
        <v>635</v>
      </c>
      <c r="AB58" s="2" t="s">
        <v>635</v>
      </c>
      <c r="AC58">
        <v>0</v>
      </c>
      <c r="AD58" s="2" t="s">
        <v>678</v>
      </c>
      <c r="AE58" s="2" t="s">
        <v>635</v>
      </c>
      <c r="AF58">
        <v>0</v>
      </c>
      <c r="AG58" s="2" t="s">
        <v>635</v>
      </c>
      <c r="AH58" s="2" t="s">
        <v>827</v>
      </c>
      <c r="AI58">
        <v>0</v>
      </c>
      <c r="AJ58" s="2">
        <v>0</v>
      </c>
      <c r="AK58">
        <v>0</v>
      </c>
      <c r="AL58" s="2"/>
      <c r="AM58">
        <v>1</v>
      </c>
      <c r="AN58" s="2" t="s">
        <v>827</v>
      </c>
      <c r="AO58" s="2">
        <v>0</v>
      </c>
      <c r="AP58" s="2">
        <v>0</v>
      </c>
      <c r="AQ58" s="2" t="s">
        <v>635</v>
      </c>
      <c r="AR58" s="2" t="s">
        <v>635</v>
      </c>
      <c r="AS58" s="2" t="s">
        <v>11</v>
      </c>
      <c r="AT58" s="2" t="s">
        <v>331</v>
      </c>
      <c r="AU58" s="2" t="s">
        <v>635</v>
      </c>
      <c r="AV58" s="2" t="s">
        <v>635</v>
      </c>
      <c r="AW58" s="2" t="s">
        <v>635</v>
      </c>
      <c r="AX58" s="2" t="s">
        <v>193</v>
      </c>
      <c r="AY58" s="2" t="s">
        <v>854</v>
      </c>
      <c r="AZ58" s="2" t="s">
        <v>306</v>
      </c>
      <c r="BA58" s="2" t="s">
        <v>647</v>
      </c>
      <c r="BB58" s="2" t="s">
        <v>635</v>
      </c>
      <c r="BC58" s="2" t="s">
        <v>635</v>
      </c>
      <c r="BD58" s="2" t="s">
        <v>408</v>
      </c>
      <c r="BE58" s="2" t="s">
        <v>635</v>
      </c>
      <c r="BF58" s="2" t="s">
        <v>635</v>
      </c>
      <c r="BG58" s="2" t="s">
        <v>635</v>
      </c>
      <c r="BH58" s="2" t="s">
        <v>635</v>
      </c>
      <c r="BI58" s="2" t="s">
        <v>635</v>
      </c>
      <c r="BJ58" s="2" t="s">
        <v>409</v>
      </c>
      <c r="BK58" s="2" t="s">
        <v>635</v>
      </c>
      <c r="BL58" s="2" t="s">
        <v>635</v>
      </c>
      <c r="BM58" s="2" t="s">
        <v>104</v>
      </c>
      <c r="BN58" s="2" t="s">
        <v>635</v>
      </c>
      <c r="BO58" s="2" t="s">
        <v>635</v>
      </c>
      <c r="BP58" s="2" t="s">
        <v>635</v>
      </c>
      <c r="BQ58" s="2" t="s">
        <v>307</v>
      </c>
      <c r="BR58" s="2" t="s">
        <v>635</v>
      </c>
      <c r="BS58" s="2" t="s">
        <v>635</v>
      </c>
      <c r="BT58" s="2" t="s">
        <v>964</v>
      </c>
      <c r="BU58" s="2" t="s">
        <v>635</v>
      </c>
      <c r="BV58" s="2" t="s">
        <v>635</v>
      </c>
      <c r="BW58" s="2" t="s">
        <v>635</v>
      </c>
      <c r="BX58" s="2" t="s">
        <v>308</v>
      </c>
      <c r="BY58" s="2" t="s">
        <v>635</v>
      </c>
      <c r="BZ58" s="2" t="s">
        <v>99</v>
      </c>
      <c r="CA58" s="2" t="s">
        <v>99</v>
      </c>
      <c r="CB58" s="2" t="s">
        <v>309</v>
      </c>
      <c r="CC58" s="2" t="s">
        <v>635</v>
      </c>
      <c r="CD58" s="2" t="s">
        <v>635</v>
      </c>
    </row>
    <row r="59" spans="1:82" x14ac:dyDescent="0.25">
      <c r="A59" s="2" t="s">
        <v>410</v>
      </c>
      <c r="B59" s="2" t="s">
        <v>411</v>
      </c>
      <c r="C59" s="2" t="s">
        <v>635</v>
      </c>
      <c r="D59" s="2" t="s">
        <v>635</v>
      </c>
      <c r="E59" s="2" t="s">
        <v>412</v>
      </c>
      <c r="F59" s="2" t="s">
        <v>635</v>
      </c>
      <c r="G59" s="2" t="s">
        <v>330</v>
      </c>
      <c r="H59" s="2" t="s">
        <v>635</v>
      </c>
      <c r="I59" s="2" t="s">
        <v>18</v>
      </c>
      <c r="J59" s="2" t="s">
        <v>635</v>
      </c>
      <c r="K59" s="2" t="s">
        <v>18</v>
      </c>
      <c r="L59" s="2"/>
      <c r="M59" s="2" t="s">
        <v>635</v>
      </c>
      <c r="N59" s="2" t="s">
        <v>965</v>
      </c>
      <c r="O59" s="2" t="s">
        <v>881</v>
      </c>
      <c r="P59" s="2" t="s">
        <v>635</v>
      </c>
      <c r="Q59" s="2" t="s">
        <v>635</v>
      </c>
      <c r="S59" s="2" t="s">
        <v>635</v>
      </c>
      <c r="T59" s="2" t="s">
        <v>635</v>
      </c>
      <c r="U59" s="2" t="s">
        <v>13</v>
      </c>
      <c r="V59" s="2" t="s">
        <v>635</v>
      </c>
      <c r="W59" s="2" t="s">
        <v>635</v>
      </c>
      <c r="X59" s="2" t="s">
        <v>635</v>
      </c>
      <c r="Y59" s="2" t="s">
        <v>826</v>
      </c>
      <c r="Z59" s="2"/>
      <c r="AA59" s="2" t="s">
        <v>635</v>
      </c>
      <c r="AB59" s="2" t="s">
        <v>635</v>
      </c>
      <c r="AC59">
        <v>0</v>
      </c>
      <c r="AD59" s="2" t="s">
        <v>678</v>
      </c>
      <c r="AE59" s="2" t="s">
        <v>635</v>
      </c>
      <c r="AF59">
        <v>0</v>
      </c>
      <c r="AG59" s="2" t="s">
        <v>635</v>
      </c>
      <c r="AH59" s="2" t="s">
        <v>827</v>
      </c>
      <c r="AI59">
        <v>0</v>
      </c>
      <c r="AJ59" s="2">
        <v>0</v>
      </c>
      <c r="AK59">
        <v>0</v>
      </c>
      <c r="AL59" s="2"/>
      <c r="AM59">
        <v>1</v>
      </c>
      <c r="AN59" s="2" t="s">
        <v>827</v>
      </c>
      <c r="AO59" s="2">
        <v>0</v>
      </c>
      <c r="AP59" s="2">
        <v>0</v>
      </c>
      <c r="AQ59" s="2" t="s">
        <v>635</v>
      </c>
      <c r="AR59" s="2" t="s">
        <v>21</v>
      </c>
      <c r="AS59" s="2" t="s">
        <v>11</v>
      </c>
      <c r="AT59" s="2" t="s">
        <v>331</v>
      </c>
      <c r="AU59" s="2" t="s">
        <v>635</v>
      </c>
      <c r="AV59" s="2" t="s">
        <v>635</v>
      </c>
      <c r="AW59" s="2" t="s">
        <v>635</v>
      </c>
      <c r="AX59" s="2" t="s">
        <v>17</v>
      </c>
      <c r="AY59" s="2" t="s">
        <v>966</v>
      </c>
      <c r="AZ59" s="2" t="s">
        <v>15</v>
      </c>
      <c r="BA59" s="2" t="s">
        <v>648</v>
      </c>
      <c r="BB59" s="2" t="s">
        <v>635</v>
      </c>
      <c r="BC59" s="2" t="s">
        <v>635</v>
      </c>
      <c r="BD59" s="2" t="s">
        <v>967</v>
      </c>
      <c r="BE59" s="2" t="s">
        <v>635</v>
      </c>
      <c r="BF59" s="2" t="s">
        <v>635</v>
      </c>
      <c r="BG59" s="2" t="s">
        <v>635</v>
      </c>
      <c r="BH59" s="2" t="s">
        <v>635</v>
      </c>
      <c r="BI59" s="2" t="s">
        <v>635</v>
      </c>
      <c r="BJ59" s="2" t="s">
        <v>635</v>
      </c>
      <c r="BK59" s="2" t="s">
        <v>635</v>
      </c>
      <c r="BL59" s="2" t="s">
        <v>635</v>
      </c>
      <c r="BM59" s="2" t="s">
        <v>635</v>
      </c>
      <c r="BN59" s="2" t="s">
        <v>635</v>
      </c>
      <c r="BO59" s="2" t="s">
        <v>635</v>
      </c>
      <c r="BP59" s="2" t="s">
        <v>635</v>
      </c>
      <c r="BQ59" s="2" t="s">
        <v>635</v>
      </c>
      <c r="BR59" s="2" t="s">
        <v>635</v>
      </c>
      <c r="BS59" s="2" t="s">
        <v>635</v>
      </c>
      <c r="BT59" s="2" t="s">
        <v>635</v>
      </c>
      <c r="BU59" s="2" t="s">
        <v>635</v>
      </c>
      <c r="BV59" s="2" t="s">
        <v>635</v>
      </c>
      <c r="BW59" s="2" t="s">
        <v>635</v>
      </c>
      <c r="BX59" s="2" t="s">
        <v>635</v>
      </c>
      <c r="BY59" s="2" t="s">
        <v>635</v>
      </c>
      <c r="BZ59" s="2" t="s">
        <v>635</v>
      </c>
      <c r="CA59" s="2" t="s">
        <v>635</v>
      </c>
      <c r="CB59" s="2" t="s">
        <v>635</v>
      </c>
      <c r="CC59" s="2" t="s">
        <v>635</v>
      </c>
      <c r="CD59" s="2" t="s">
        <v>635</v>
      </c>
    </row>
    <row r="60" spans="1:82" x14ac:dyDescent="0.25">
      <c r="A60" s="2" t="s">
        <v>968</v>
      </c>
      <c r="B60" s="2" t="s">
        <v>635</v>
      </c>
      <c r="C60" s="2" t="s">
        <v>635</v>
      </c>
      <c r="D60" s="2" t="s">
        <v>635</v>
      </c>
      <c r="E60" s="2" t="s">
        <v>635</v>
      </c>
      <c r="F60" s="2" t="s">
        <v>635</v>
      </c>
      <c r="G60" s="2" t="s">
        <v>635</v>
      </c>
      <c r="H60" s="2" t="s">
        <v>635</v>
      </c>
      <c r="I60" s="2" t="s">
        <v>635</v>
      </c>
      <c r="J60" s="2" t="s">
        <v>635</v>
      </c>
      <c r="K60" s="2" t="s">
        <v>635</v>
      </c>
      <c r="L60" s="2"/>
      <c r="M60" s="2" t="s">
        <v>635</v>
      </c>
      <c r="N60" s="2" t="s">
        <v>635</v>
      </c>
      <c r="O60" s="2" t="s">
        <v>635</v>
      </c>
      <c r="P60" s="2" t="s">
        <v>635</v>
      </c>
      <c r="Q60" s="2" t="s">
        <v>635</v>
      </c>
      <c r="S60" s="2" t="s">
        <v>635</v>
      </c>
      <c r="T60" s="2" t="s">
        <v>635</v>
      </c>
      <c r="U60" s="2" t="s">
        <v>635</v>
      </c>
      <c r="V60" s="2" t="s">
        <v>635</v>
      </c>
      <c r="W60" s="2" t="s">
        <v>635</v>
      </c>
      <c r="X60" s="2" t="s">
        <v>635</v>
      </c>
      <c r="Y60" s="2" t="s">
        <v>635</v>
      </c>
      <c r="Z60" s="2"/>
      <c r="AA60" s="2" t="s">
        <v>635</v>
      </c>
      <c r="AB60" s="2" t="s">
        <v>635</v>
      </c>
      <c r="AD60" s="2" t="s">
        <v>635</v>
      </c>
      <c r="AE60" s="2" t="s">
        <v>635</v>
      </c>
      <c r="AG60" s="2" t="s">
        <v>635</v>
      </c>
      <c r="AH60" s="2" t="s">
        <v>635</v>
      </c>
      <c r="AJ60" s="2"/>
      <c r="AL60" s="2"/>
      <c r="AN60" s="2" t="s">
        <v>635</v>
      </c>
      <c r="AO60" s="2"/>
      <c r="AP60" s="2"/>
      <c r="AQ60" s="2" t="s">
        <v>635</v>
      </c>
      <c r="AR60" s="2" t="s">
        <v>635</v>
      </c>
      <c r="AS60" s="2" t="s">
        <v>635</v>
      </c>
      <c r="AT60" s="2" t="s">
        <v>635</v>
      </c>
      <c r="AU60" s="2" t="s">
        <v>635</v>
      </c>
      <c r="AV60" s="2" t="s">
        <v>635</v>
      </c>
      <c r="AW60" s="2" t="s">
        <v>635</v>
      </c>
      <c r="AX60" s="2" t="s">
        <v>635</v>
      </c>
      <c r="AY60" s="2" t="s">
        <v>635</v>
      </c>
      <c r="AZ60" s="2" t="s">
        <v>635</v>
      </c>
      <c r="BA60" s="2" t="s">
        <v>635</v>
      </c>
      <c r="BB60" s="2" t="s">
        <v>635</v>
      </c>
      <c r="BC60" s="2" t="s">
        <v>635</v>
      </c>
      <c r="BD60" s="2" t="s">
        <v>635</v>
      </c>
      <c r="BE60" s="2" t="s">
        <v>635</v>
      </c>
      <c r="BF60" s="2" t="s">
        <v>635</v>
      </c>
      <c r="BG60" s="2" t="s">
        <v>635</v>
      </c>
      <c r="BH60" s="2" t="s">
        <v>635</v>
      </c>
      <c r="BI60" s="2" t="s">
        <v>635</v>
      </c>
      <c r="BJ60" s="2" t="s">
        <v>635</v>
      </c>
      <c r="BK60" s="2" t="s">
        <v>635</v>
      </c>
      <c r="BL60" s="2" t="s">
        <v>635</v>
      </c>
      <c r="BM60" s="2" t="s">
        <v>635</v>
      </c>
      <c r="BN60" s="2" t="s">
        <v>635</v>
      </c>
      <c r="BO60" s="2" t="s">
        <v>635</v>
      </c>
      <c r="BP60" s="2" t="s">
        <v>635</v>
      </c>
      <c r="BQ60" s="2" t="s">
        <v>635</v>
      </c>
      <c r="BR60" s="2" t="s">
        <v>635</v>
      </c>
      <c r="BS60" s="2" t="s">
        <v>635</v>
      </c>
      <c r="BT60" s="2" t="s">
        <v>635</v>
      </c>
      <c r="BU60" s="2" t="s">
        <v>635</v>
      </c>
      <c r="BV60" s="2" t="s">
        <v>635</v>
      </c>
      <c r="BW60" s="2" t="s">
        <v>635</v>
      </c>
      <c r="BX60" s="2" t="s">
        <v>635</v>
      </c>
      <c r="BY60" s="2" t="s">
        <v>635</v>
      </c>
      <c r="BZ60" s="2" t="s">
        <v>635</v>
      </c>
      <c r="CA60" s="2" t="s">
        <v>635</v>
      </c>
      <c r="CB60" s="2" t="s">
        <v>635</v>
      </c>
      <c r="CC60" s="2" t="s">
        <v>635</v>
      </c>
      <c r="CD60" s="2" t="s">
        <v>635</v>
      </c>
    </row>
    <row r="61" spans="1:82" x14ac:dyDescent="0.25">
      <c r="A61" s="2" t="s">
        <v>969</v>
      </c>
      <c r="B61" s="2" t="s">
        <v>635</v>
      </c>
      <c r="C61" s="2" t="s">
        <v>675</v>
      </c>
      <c r="D61" s="2" t="s">
        <v>635</v>
      </c>
      <c r="E61" s="2" t="s">
        <v>635</v>
      </c>
      <c r="F61" s="2" t="s">
        <v>635</v>
      </c>
      <c r="G61" s="2" t="s">
        <v>802</v>
      </c>
      <c r="H61" s="2" t="s">
        <v>635</v>
      </c>
      <c r="I61" s="2" t="s">
        <v>635</v>
      </c>
      <c r="J61" s="2" t="s">
        <v>23</v>
      </c>
      <c r="K61" s="2" t="s">
        <v>635</v>
      </c>
      <c r="L61" s="2"/>
      <c r="M61" s="2" t="s">
        <v>333</v>
      </c>
      <c r="N61" s="2" t="s">
        <v>16</v>
      </c>
      <c r="O61" s="2" t="s">
        <v>635</v>
      </c>
      <c r="P61" s="2" t="s">
        <v>635</v>
      </c>
      <c r="Q61" s="2" t="s">
        <v>970</v>
      </c>
      <c r="S61" s="2" t="s">
        <v>19</v>
      </c>
      <c r="T61" s="2" t="s">
        <v>635</v>
      </c>
      <c r="U61" s="2" t="s">
        <v>967</v>
      </c>
      <c r="V61" s="2" t="s">
        <v>635</v>
      </c>
      <c r="W61" s="2" t="s">
        <v>635</v>
      </c>
      <c r="X61" s="2" t="s">
        <v>635</v>
      </c>
      <c r="Y61" s="2" t="s">
        <v>635</v>
      </c>
      <c r="Z61" s="2"/>
      <c r="AA61" s="2" t="s">
        <v>635</v>
      </c>
      <c r="AB61" s="2" t="s">
        <v>635</v>
      </c>
      <c r="AD61" s="2" t="s">
        <v>635</v>
      </c>
      <c r="AE61" s="2" t="s">
        <v>635</v>
      </c>
      <c r="AG61" s="2" t="s">
        <v>635</v>
      </c>
      <c r="AH61" s="2" t="s">
        <v>635</v>
      </c>
      <c r="AJ61" s="2"/>
      <c r="AL61" s="2"/>
      <c r="AN61" s="2" t="s">
        <v>635</v>
      </c>
      <c r="AO61" s="2"/>
      <c r="AP61" s="2"/>
      <c r="AQ61" s="2" t="s">
        <v>635</v>
      </c>
      <c r="AR61" s="2" t="s">
        <v>635</v>
      </c>
      <c r="AS61" s="2" t="s">
        <v>635</v>
      </c>
      <c r="AT61" s="2" t="s">
        <v>635</v>
      </c>
      <c r="AU61" s="2" t="s">
        <v>635</v>
      </c>
      <c r="AV61" s="2" t="s">
        <v>635</v>
      </c>
      <c r="AW61" s="2" t="s">
        <v>635</v>
      </c>
      <c r="AX61" s="2" t="s">
        <v>635</v>
      </c>
      <c r="AY61" s="2" t="s">
        <v>635</v>
      </c>
      <c r="AZ61" s="2" t="s">
        <v>635</v>
      </c>
      <c r="BA61" s="2" t="s">
        <v>635</v>
      </c>
      <c r="BB61" s="2" t="s">
        <v>635</v>
      </c>
      <c r="BC61" s="2" t="s">
        <v>635</v>
      </c>
      <c r="BD61" s="2" t="s">
        <v>635</v>
      </c>
      <c r="BE61" s="2" t="s">
        <v>635</v>
      </c>
      <c r="BF61" s="2" t="s">
        <v>635</v>
      </c>
      <c r="BG61" s="2" t="s">
        <v>635</v>
      </c>
      <c r="BH61" s="2" t="s">
        <v>635</v>
      </c>
      <c r="BI61" s="2" t="s">
        <v>635</v>
      </c>
      <c r="BJ61" s="2" t="s">
        <v>635</v>
      </c>
      <c r="BK61" s="2" t="s">
        <v>635</v>
      </c>
      <c r="BL61" s="2" t="s">
        <v>635</v>
      </c>
      <c r="BM61" s="2" t="s">
        <v>635</v>
      </c>
      <c r="BN61" s="2" t="s">
        <v>635</v>
      </c>
      <c r="BO61" s="2" t="s">
        <v>635</v>
      </c>
      <c r="BP61" s="2" t="s">
        <v>635</v>
      </c>
      <c r="BQ61" s="2" t="s">
        <v>635</v>
      </c>
      <c r="BR61" s="2" t="s">
        <v>635</v>
      </c>
      <c r="BS61" s="2" t="s">
        <v>635</v>
      </c>
      <c r="BT61" s="2" t="s">
        <v>635</v>
      </c>
      <c r="BU61" s="2" t="s">
        <v>635</v>
      </c>
      <c r="BV61" s="2" t="s">
        <v>635</v>
      </c>
      <c r="BW61" s="2" t="s">
        <v>635</v>
      </c>
      <c r="BX61" s="2" t="s">
        <v>635</v>
      </c>
      <c r="BY61" s="2" t="s">
        <v>635</v>
      </c>
      <c r="BZ61" s="2" t="s">
        <v>635</v>
      </c>
      <c r="CA61" s="2" t="s">
        <v>635</v>
      </c>
      <c r="CB61" s="2" t="s">
        <v>635</v>
      </c>
      <c r="CC61" s="2" t="s">
        <v>635</v>
      </c>
      <c r="CD61" s="2" t="s">
        <v>635</v>
      </c>
    </row>
    <row r="62" spans="1:82" x14ac:dyDescent="0.25">
      <c r="A62" s="2" t="s">
        <v>968</v>
      </c>
      <c r="B62" s="2" t="s">
        <v>635</v>
      </c>
      <c r="C62" s="2" t="s">
        <v>635</v>
      </c>
      <c r="D62" s="2" t="s">
        <v>635</v>
      </c>
      <c r="E62" s="2" t="s">
        <v>635</v>
      </c>
      <c r="F62" s="2" t="s">
        <v>635</v>
      </c>
      <c r="G62" s="2" t="s">
        <v>635</v>
      </c>
      <c r="H62" s="2" t="s">
        <v>635</v>
      </c>
      <c r="I62" s="2" t="s">
        <v>635</v>
      </c>
      <c r="J62" s="2" t="s">
        <v>635</v>
      </c>
      <c r="K62" s="2" t="s">
        <v>635</v>
      </c>
      <c r="L62" s="2"/>
      <c r="M62" s="2" t="s">
        <v>635</v>
      </c>
      <c r="N62" s="2" t="s">
        <v>635</v>
      </c>
      <c r="O62" s="2" t="s">
        <v>635</v>
      </c>
      <c r="P62" s="2" t="s">
        <v>635</v>
      </c>
      <c r="Q62" s="2" t="s">
        <v>635</v>
      </c>
      <c r="S62" s="2" t="s">
        <v>635</v>
      </c>
      <c r="T62" s="2" t="s">
        <v>635</v>
      </c>
      <c r="U62" s="2" t="s">
        <v>635</v>
      </c>
      <c r="V62" s="2" t="s">
        <v>635</v>
      </c>
      <c r="W62" s="2" t="s">
        <v>635</v>
      </c>
      <c r="X62" s="2" t="s">
        <v>635</v>
      </c>
      <c r="Y62" s="2" t="s">
        <v>635</v>
      </c>
      <c r="Z62" s="2"/>
      <c r="AA62" s="2" t="s">
        <v>635</v>
      </c>
      <c r="AB62" s="2" t="s">
        <v>635</v>
      </c>
      <c r="AD62" s="2" t="s">
        <v>635</v>
      </c>
      <c r="AE62" s="2" t="s">
        <v>635</v>
      </c>
      <c r="AG62" s="2" t="s">
        <v>635</v>
      </c>
      <c r="AH62" s="2" t="s">
        <v>635</v>
      </c>
      <c r="AJ62" s="2"/>
      <c r="AL62" s="2"/>
      <c r="AN62" s="2" t="s">
        <v>635</v>
      </c>
      <c r="AO62" s="2"/>
      <c r="AP62" s="2"/>
      <c r="AQ62" s="2" t="s">
        <v>635</v>
      </c>
      <c r="AR62" s="2" t="s">
        <v>635</v>
      </c>
      <c r="AS62" s="2" t="s">
        <v>635</v>
      </c>
      <c r="AT62" s="2" t="s">
        <v>635</v>
      </c>
      <c r="AU62" s="2" t="s">
        <v>635</v>
      </c>
      <c r="AV62" s="2" t="s">
        <v>635</v>
      </c>
      <c r="AW62" s="2" t="s">
        <v>635</v>
      </c>
      <c r="AX62" s="2" t="s">
        <v>635</v>
      </c>
      <c r="AY62" s="2" t="s">
        <v>635</v>
      </c>
      <c r="AZ62" s="2" t="s">
        <v>635</v>
      </c>
      <c r="BA62" s="2" t="s">
        <v>635</v>
      </c>
      <c r="BB62" s="2" t="s">
        <v>635</v>
      </c>
      <c r="BC62" s="2" t="s">
        <v>635</v>
      </c>
      <c r="BD62" s="2" t="s">
        <v>635</v>
      </c>
      <c r="BE62" s="2" t="s">
        <v>635</v>
      </c>
      <c r="BF62" s="2" t="s">
        <v>635</v>
      </c>
      <c r="BG62" s="2" t="s">
        <v>635</v>
      </c>
      <c r="BH62" s="2" t="s">
        <v>635</v>
      </c>
      <c r="BI62" s="2" t="s">
        <v>635</v>
      </c>
      <c r="BJ62" s="2" t="s">
        <v>635</v>
      </c>
      <c r="BK62" s="2" t="s">
        <v>635</v>
      </c>
      <c r="BL62" s="2" t="s">
        <v>635</v>
      </c>
      <c r="BM62" s="2" t="s">
        <v>635</v>
      </c>
      <c r="BN62" s="2" t="s">
        <v>635</v>
      </c>
      <c r="BO62" s="2" t="s">
        <v>635</v>
      </c>
      <c r="BP62" s="2" t="s">
        <v>635</v>
      </c>
      <c r="BQ62" s="2" t="s">
        <v>635</v>
      </c>
      <c r="BR62" s="2" t="s">
        <v>635</v>
      </c>
      <c r="BS62" s="2" t="s">
        <v>635</v>
      </c>
      <c r="BT62" s="2" t="s">
        <v>635</v>
      </c>
      <c r="BU62" s="2" t="s">
        <v>635</v>
      </c>
      <c r="BV62" s="2" t="s">
        <v>635</v>
      </c>
      <c r="BW62" s="2" t="s">
        <v>635</v>
      </c>
      <c r="BX62" s="2" t="s">
        <v>635</v>
      </c>
      <c r="BY62" s="2" t="s">
        <v>635</v>
      </c>
      <c r="BZ62" s="2" t="s">
        <v>635</v>
      </c>
      <c r="CA62" s="2" t="s">
        <v>635</v>
      </c>
      <c r="CB62" s="2" t="s">
        <v>635</v>
      </c>
      <c r="CC62" s="2" t="s">
        <v>635</v>
      </c>
      <c r="CD62" s="2" t="s">
        <v>635</v>
      </c>
    </row>
    <row r="63" spans="1:82" x14ac:dyDescent="0.25">
      <c r="A63" s="2" t="s">
        <v>971</v>
      </c>
      <c r="B63" s="2" t="s">
        <v>666</v>
      </c>
      <c r="C63" s="2" t="s">
        <v>20</v>
      </c>
      <c r="D63" s="2" t="s">
        <v>6</v>
      </c>
      <c r="E63" s="2" t="s">
        <v>22</v>
      </c>
      <c r="F63" s="2" t="s">
        <v>635</v>
      </c>
      <c r="G63" s="2" t="s">
        <v>635</v>
      </c>
      <c r="H63" s="2" t="s">
        <v>635</v>
      </c>
      <c r="I63" s="2" t="s">
        <v>635</v>
      </c>
      <c r="J63" s="2" t="s">
        <v>635</v>
      </c>
      <c r="K63" s="2" t="s">
        <v>635</v>
      </c>
      <c r="L63" s="2"/>
      <c r="M63" s="2" t="s">
        <v>635</v>
      </c>
      <c r="N63" s="2" t="s">
        <v>635</v>
      </c>
      <c r="O63" s="2" t="s">
        <v>635</v>
      </c>
      <c r="P63" s="2" t="s">
        <v>635</v>
      </c>
      <c r="Q63" s="2" t="s">
        <v>635</v>
      </c>
      <c r="S63" s="2" t="s">
        <v>635</v>
      </c>
      <c r="T63" s="2" t="s">
        <v>635</v>
      </c>
      <c r="U63" s="2" t="s">
        <v>635</v>
      </c>
      <c r="V63" s="2" t="s">
        <v>635</v>
      </c>
      <c r="W63" s="2" t="s">
        <v>635</v>
      </c>
      <c r="X63" s="2" t="s">
        <v>635</v>
      </c>
      <c r="Y63" s="2" t="s">
        <v>635</v>
      </c>
      <c r="Z63" s="2"/>
      <c r="AA63" s="2" t="s">
        <v>635</v>
      </c>
      <c r="AB63" s="2" t="s">
        <v>635</v>
      </c>
      <c r="AD63" s="2" t="s">
        <v>635</v>
      </c>
      <c r="AE63" s="2" t="s">
        <v>635</v>
      </c>
      <c r="AG63" s="2" t="s">
        <v>635</v>
      </c>
      <c r="AH63" s="2" t="s">
        <v>635</v>
      </c>
      <c r="AJ63" s="2"/>
      <c r="AL63" s="2"/>
      <c r="AN63" s="2" t="s">
        <v>635</v>
      </c>
      <c r="AO63" s="2"/>
      <c r="AP63" s="2"/>
      <c r="AQ63" s="2" t="s">
        <v>635</v>
      </c>
      <c r="AR63" s="2" t="s">
        <v>635</v>
      </c>
      <c r="AS63" s="2" t="s">
        <v>635</v>
      </c>
      <c r="AT63" s="2" t="s">
        <v>635</v>
      </c>
      <c r="AU63" s="2" t="s">
        <v>635</v>
      </c>
      <c r="AV63" s="2" t="s">
        <v>635</v>
      </c>
      <c r="AW63" s="2" t="s">
        <v>635</v>
      </c>
      <c r="AX63" s="2" t="s">
        <v>635</v>
      </c>
      <c r="AY63" s="2" t="s">
        <v>635</v>
      </c>
      <c r="AZ63" s="2" t="s">
        <v>635</v>
      </c>
      <c r="BA63" s="2" t="s">
        <v>635</v>
      </c>
      <c r="BB63" s="2" t="s">
        <v>635</v>
      </c>
      <c r="BC63" s="2" t="s">
        <v>635</v>
      </c>
      <c r="BD63" s="2" t="s">
        <v>635</v>
      </c>
      <c r="BE63" s="2" t="s">
        <v>635</v>
      </c>
      <c r="BF63" s="2" t="s">
        <v>635</v>
      </c>
      <c r="BG63" s="2" t="s">
        <v>635</v>
      </c>
      <c r="BH63" s="2" t="s">
        <v>635</v>
      </c>
      <c r="BI63" s="2" t="s">
        <v>635</v>
      </c>
      <c r="BJ63" s="2" t="s">
        <v>635</v>
      </c>
      <c r="BK63" s="2" t="s">
        <v>635</v>
      </c>
      <c r="BL63" s="2" t="s">
        <v>635</v>
      </c>
      <c r="BM63" s="2" t="s">
        <v>635</v>
      </c>
      <c r="BN63" s="2" t="s">
        <v>635</v>
      </c>
      <c r="BO63" s="2" t="s">
        <v>635</v>
      </c>
      <c r="BP63" s="2" t="s">
        <v>635</v>
      </c>
      <c r="BQ63" s="2" t="s">
        <v>635</v>
      </c>
      <c r="BR63" s="2" t="s">
        <v>635</v>
      </c>
      <c r="BS63" s="2" t="s">
        <v>635</v>
      </c>
      <c r="BT63" s="2" t="s">
        <v>635</v>
      </c>
      <c r="BU63" s="2" t="s">
        <v>635</v>
      </c>
      <c r="BV63" s="2" t="s">
        <v>635</v>
      </c>
      <c r="BW63" s="2" t="s">
        <v>635</v>
      </c>
      <c r="BX63" s="2" t="s">
        <v>635</v>
      </c>
      <c r="BY63" s="2" t="s">
        <v>635</v>
      </c>
      <c r="BZ63" s="2" t="s">
        <v>635</v>
      </c>
      <c r="CA63" s="2" t="s">
        <v>635</v>
      </c>
      <c r="CB63" s="2" t="s">
        <v>635</v>
      </c>
      <c r="CC63" s="2" t="s">
        <v>635</v>
      </c>
      <c r="CD63" s="2" t="s">
        <v>635</v>
      </c>
    </row>
    <row r="64" spans="1:82" x14ac:dyDescent="0.25">
      <c r="A64" s="2" t="s">
        <v>947</v>
      </c>
      <c r="B64" s="2" t="s">
        <v>948</v>
      </c>
      <c r="C64" s="2" t="s">
        <v>635</v>
      </c>
      <c r="D64" s="2" t="s">
        <v>635</v>
      </c>
      <c r="E64" s="2" t="s">
        <v>346</v>
      </c>
      <c r="F64" s="2" t="s">
        <v>329</v>
      </c>
      <c r="G64" s="2" t="s">
        <v>330</v>
      </c>
      <c r="H64" s="2" t="s">
        <v>635</v>
      </c>
      <c r="I64" s="2" t="s">
        <v>175</v>
      </c>
      <c r="J64" s="2" t="s">
        <v>635</v>
      </c>
      <c r="K64" s="2" t="s">
        <v>175</v>
      </c>
      <c r="L64" s="2"/>
      <c r="M64" s="2" t="s">
        <v>635</v>
      </c>
      <c r="N64" s="2" t="s">
        <v>949</v>
      </c>
      <c r="O64" s="2" t="s">
        <v>853</v>
      </c>
      <c r="P64" s="2" t="s">
        <v>885</v>
      </c>
      <c r="Q64" s="2" t="s">
        <v>635</v>
      </c>
      <c r="R64">
        <v>30</v>
      </c>
      <c r="S64" s="2" t="s">
        <v>972</v>
      </c>
      <c r="T64" s="2" t="s">
        <v>635</v>
      </c>
      <c r="U64" s="2" t="s">
        <v>35</v>
      </c>
      <c r="V64" s="2" t="s">
        <v>635</v>
      </c>
      <c r="W64" s="2" t="s">
        <v>635</v>
      </c>
      <c r="X64" s="2" t="s">
        <v>635</v>
      </c>
      <c r="Y64" s="2" t="s">
        <v>826</v>
      </c>
      <c r="Z64" s="2"/>
      <c r="AA64" s="2" t="s">
        <v>635</v>
      </c>
      <c r="AB64" s="2" t="s">
        <v>635</v>
      </c>
      <c r="AC64">
        <v>1</v>
      </c>
      <c r="AD64" s="2" t="s">
        <v>678</v>
      </c>
      <c r="AE64" s="2" t="s">
        <v>635</v>
      </c>
      <c r="AF64">
        <v>0</v>
      </c>
      <c r="AG64" s="2" t="s">
        <v>635</v>
      </c>
      <c r="AH64" s="2" t="s">
        <v>827</v>
      </c>
      <c r="AI64">
        <v>0</v>
      </c>
      <c r="AJ64" s="2">
        <v>0</v>
      </c>
      <c r="AK64">
        <v>0</v>
      </c>
      <c r="AL64" s="2"/>
      <c r="AM64">
        <v>0</v>
      </c>
      <c r="AN64" s="2" t="s">
        <v>827</v>
      </c>
      <c r="AO64" s="2">
        <v>0</v>
      </c>
      <c r="AP64" s="2">
        <v>0</v>
      </c>
      <c r="AQ64" s="2" t="s">
        <v>635</v>
      </c>
      <c r="AR64" s="2" t="s">
        <v>635</v>
      </c>
      <c r="AS64" s="2" t="s">
        <v>11</v>
      </c>
      <c r="AT64" s="2" t="s">
        <v>952</v>
      </c>
      <c r="AU64" s="2" t="s">
        <v>635</v>
      </c>
      <c r="AV64" s="2" t="s">
        <v>635</v>
      </c>
      <c r="AW64" s="2" t="s">
        <v>635</v>
      </c>
      <c r="AX64" s="2" t="s">
        <v>973</v>
      </c>
      <c r="AY64" s="2" t="s">
        <v>926</v>
      </c>
      <c r="AZ64" s="2" t="s">
        <v>953</v>
      </c>
      <c r="BA64" s="2" t="s">
        <v>954</v>
      </c>
      <c r="BB64" s="2" t="s">
        <v>635</v>
      </c>
      <c r="BC64" s="2" t="s">
        <v>635</v>
      </c>
      <c r="BD64" s="2" t="s">
        <v>955</v>
      </c>
      <c r="BE64" s="2" t="s">
        <v>635</v>
      </c>
      <c r="BF64" s="2" t="s">
        <v>635</v>
      </c>
      <c r="BG64" s="2" t="s">
        <v>635</v>
      </c>
      <c r="BH64" s="2" t="s">
        <v>635</v>
      </c>
      <c r="BI64" s="2" t="s">
        <v>635</v>
      </c>
      <c r="BJ64" s="2" t="s">
        <v>635</v>
      </c>
      <c r="BK64" s="2" t="s">
        <v>635</v>
      </c>
      <c r="BL64" s="2" t="s">
        <v>635</v>
      </c>
      <c r="BM64" s="2" t="s">
        <v>635</v>
      </c>
      <c r="BN64" s="2" t="s">
        <v>635</v>
      </c>
      <c r="BO64" s="2" t="s">
        <v>635</v>
      </c>
      <c r="BP64" s="2" t="s">
        <v>635</v>
      </c>
      <c r="BQ64" s="2" t="s">
        <v>635</v>
      </c>
      <c r="BR64" s="2" t="s">
        <v>635</v>
      </c>
      <c r="BS64" s="2" t="s">
        <v>635</v>
      </c>
      <c r="BT64" s="2" t="s">
        <v>635</v>
      </c>
      <c r="BU64" s="2" t="s">
        <v>635</v>
      </c>
      <c r="BV64" s="2" t="s">
        <v>635</v>
      </c>
      <c r="BW64" s="2" t="s">
        <v>635</v>
      </c>
      <c r="BX64" s="2" t="s">
        <v>635</v>
      </c>
      <c r="BY64" s="2" t="s">
        <v>635</v>
      </c>
      <c r="BZ64" s="2" t="s">
        <v>635</v>
      </c>
      <c r="CA64" s="2" t="s">
        <v>635</v>
      </c>
      <c r="CB64" s="2" t="s">
        <v>635</v>
      </c>
      <c r="CC64" s="2" t="s">
        <v>635</v>
      </c>
      <c r="CD64" s="2" t="s">
        <v>635</v>
      </c>
    </row>
    <row r="65" spans="1:82" x14ac:dyDescent="0.25">
      <c r="A65" s="2" t="s">
        <v>956</v>
      </c>
      <c r="B65" s="2" t="s">
        <v>961</v>
      </c>
      <c r="C65" s="2" t="s">
        <v>635</v>
      </c>
      <c r="D65" s="2" t="s">
        <v>635</v>
      </c>
      <c r="E65" s="2" t="s">
        <v>635</v>
      </c>
      <c r="F65" s="2" t="s">
        <v>635</v>
      </c>
      <c r="G65" s="2" t="s">
        <v>958</v>
      </c>
      <c r="H65" s="2" t="s">
        <v>635</v>
      </c>
      <c r="I65" s="2" t="s">
        <v>635</v>
      </c>
      <c r="J65" s="2" t="s">
        <v>52</v>
      </c>
      <c r="K65" s="2" t="s">
        <v>635</v>
      </c>
      <c r="L65" s="2"/>
      <c r="M65" s="2" t="s">
        <v>333</v>
      </c>
      <c r="N65" s="2" t="s">
        <v>959</v>
      </c>
      <c r="O65" s="2" t="s">
        <v>57</v>
      </c>
      <c r="P65" s="2" t="s">
        <v>635</v>
      </c>
      <c r="Q65" s="2" t="s">
        <v>974</v>
      </c>
      <c r="S65" s="2" t="s">
        <v>635</v>
      </c>
      <c r="T65" s="2" t="s">
        <v>635</v>
      </c>
      <c r="U65" s="2" t="s">
        <v>975</v>
      </c>
      <c r="V65" s="2" t="s">
        <v>635</v>
      </c>
      <c r="W65" s="2" t="s">
        <v>99</v>
      </c>
      <c r="X65" s="2" t="s">
        <v>99</v>
      </c>
      <c r="Y65" s="2" t="s">
        <v>957</v>
      </c>
      <c r="Z65" s="2"/>
      <c r="AA65" s="2" t="s">
        <v>635</v>
      </c>
      <c r="AB65" s="2" t="s">
        <v>635</v>
      </c>
      <c r="AD65" s="2" t="s">
        <v>635</v>
      </c>
      <c r="AE65" s="2" t="s">
        <v>635</v>
      </c>
      <c r="AG65" s="2" t="s">
        <v>635</v>
      </c>
      <c r="AH65" s="2" t="s">
        <v>635</v>
      </c>
      <c r="AJ65" s="2"/>
      <c r="AL65" s="2"/>
      <c r="AN65" s="2" t="s">
        <v>635</v>
      </c>
      <c r="AO65" s="2"/>
      <c r="AP65" s="2"/>
      <c r="AQ65" s="2" t="s">
        <v>635</v>
      </c>
      <c r="AR65" s="2" t="s">
        <v>635</v>
      </c>
      <c r="AS65" s="2" t="s">
        <v>635</v>
      </c>
      <c r="AT65" s="2" t="s">
        <v>635</v>
      </c>
      <c r="AU65" s="2" t="s">
        <v>635</v>
      </c>
      <c r="AV65" s="2" t="s">
        <v>635</v>
      </c>
      <c r="AW65" s="2" t="s">
        <v>635</v>
      </c>
      <c r="AX65" s="2" t="s">
        <v>635</v>
      </c>
      <c r="AY65" s="2" t="s">
        <v>635</v>
      </c>
      <c r="AZ65" s="2" t="s">
        <v>635</v>
      </c>
      <c r="BA65" s="2" t="s">
        <v>635</v>
      </c>
      <c r="BB65" s="2" t="s">
        <v>635</v>
      </c>
      <c r="BC65" s="2" t="s">
        <v>635</v>
      </c>
      <c r="BD65" s="2" t="s">
        <v>635</v>
      </c>
      <c r="BE65" s="2" t="s">
        <v>635</v>
      </c>
      <c r="BF65" s="2" t="s">
        <v>635</v>
      </c>
      <c r="BG65" s="2" t="s">
        <v>635</v>
      </c>
      <c r="BH65" s="2" t="s">
        <v>635</v>
      </c>
      <c r="BI65" s="2" t="s">
        <v>635</v>
      </c>
      <c r="BJ65" s="2" t="s">
        <v>635</v>
      </c>
      <c r="BK65" s="2" t="s">
        <v>635</v>
      </c>
      <c r="BL65" s="2" t="s">
        <v>635</v>
      </c>
      <c r="BM65" s="2" t="s">
        <v>635</v>
      </c>
      <c r="BN65" s="2" t="s">
        <v>635</v>
      </c>
      <c r="BO65" s="2" t="s">
        <v>635</v>
      </c>
      <c r="BP65" s="2" t="s">
        <v>635</v>
      </c>
      <c r="BQ65" s="2" t="s">
        <v>635</v>
      </c>
      <c r="BR65" s="2" t="s">
        <v>635</v>
      </c>
      <c r="BS65" s="2" t="s">
        <v>635</v>
      </c>
      <c r="BT65" s="2" t="s">
        <v>635</v>
      </c>
      <c r="BU65" s="2" t="s">
        <v>635</v>
      </c>
      <c r="BV65" s="2" t="s">
        <v>635</v>
      </c>
      <c r="BW65" s="2" t="s">
        <v>635</v>
      </c>
      <c r="BX65" s="2" t="s">
        <v>635</v>
      </c>
      <c r="BY65" s="2" t="s">
        <v>635</v>
      </c>
      <c r="BZ65" s="2" t="s">
        <v>635</v>
      </c>
      <c r="CA65" s="2" t="s">
        <v>635</v>
      </c>
      <c r="CB65" s="2" t="s">
        <v>635</v>
      </c>
      <c r="CC65" s="2" t="s">
        <v>635</v>
      </c>
      <c r="CD65" s="2" t="s">
        <v>635</v>
      </c>
    </row>
    <row r="66" spans="1:82" x14ac:dyDescent="0.25">
      <c r="A66" s="2" t="s">
        <v>413</v>
      </c>
      <c r="B66" s="2" t="s">
        <v>414</v>
      </c>
      <c r="C66" s="2" t="s">
        <v>635</v>
      </c>
      <c r="D66" s="2" t="s">
        <v>635</v>
      </c>
      <c r="E66" s="2" t="s">
        <v>336</v>
      </c>
      <c r="F66" s="2" t="s">
        <v>329</v>
      </c>
      <c r="G66" s="2" t="s">
        <v>330</v>
      </c>
      <c r="H66" s="2" t="s">
        <v>635</v>
      </c>
      <c r="I66" s="2" t="s">
        <v>18</v>
      </c>
      <c r="J66" s="2" t="s">
        <v>635</v>
      </c>
      <c r="K66" s="2" t="s">
        <v>18</v>
      </c>
      <c r="L66" s="2"/>
      <c r="M66" s="2" t="s">
        <v>635</v>
      </c>
      <c r="N66" s="2" t="s">
        <v>976</v>
      </c>
      <c r="O66" s="2" t="s">
        <v>963</v>
      </c>
      <c r="P66" s="2" t="s">
        <v>635</v>
      </c>
      <c r="Q66" s="2" t="s">
        <v>635</v>
      </c>
      <c r="S66" s="2" t="s">
        <v>635</v>
      </c>
      <c r="T66" s="2" t="s">
        <v>635</v>
      </c>
      <c r="U66" s="2" t="s">
        <v>13</v>
      </c>
      <c r="V66" s="2" t="s">
        <v>635</v>
      </c>
      <c r="W66" s="2" t="s">
        <v>635</v>
      </c>
      <c r="X66" s="2" t="s">
        <v>635</v>
      </c>
      <c r="Y66" s="2" t="s">
        <v>940</v>
      </c>
      <c r="Z66" s="2"/>
      <c r="AA66" s="2" t="s">
        <v>635</v>
      </c>
      <c r="AB66" s="2" t="s">
        <v>635</v>
      </c>
      <c r="AC66">
        <v>0</v>
      </c>
      <c r="AD66" s="2" t="s">
        <v>678</v>
      </c>
      <c r="AE66" s="2" t="s">
        <v>635</v>
      </c>
      <c r="AF66">
        <v>0</v>
      </c>
      <c r="AG66" s="2" t="s">
        <v>635</v>
      </c>
      <c r="AH66" s="2" t="s">
        <v>827</v>
      </c>
      <c r="AI66">
        <v>0</v>
      </c>
      <c r="AJ66" s="2">
        <v>0</v>
      </c>
      <c r="AK66">
        <v>0</v>
      </c>
      <c r="AL66" s="2"/>
      <c r="AM66">
        <v>0</v>
      </c>
      <c r="AN66" s="2" t="s">
        <v>827</v>
      </c>
      <c r="AO66" s="2">
        <v>0</v>
      </c>
      <c r="AP66" s="2">
        <v>0</v>
      </c>
      <c r="AQ66" s="2" t="s">
        <v>635</v>
      </c>
      <c r="AR66" s="2" t="s">
        <v>635</v>
      </c>
      <c r="AS66" s="2" t="s">
        <v>11</v>
      </c>
      <c r="AT66" s="2" t="s">
        <v>331</v>
      </c>
      <c r="AU66" s="2" t="s">
        <v>635</v>
      </c>
      <c r="AV66" s="2" t="s">
        <v>635</v>
      </c>
      <c r="AW66" s="2" t="s">
        <v>635</v>
      </c>
      <c r="AX66" s="2" t="s">
        <v>302</v>
      </c>
      <c r="AY66" s="2" t="s">
        <v>885</v>
      </c>
      <c r="AZ66" s="2" t="s">
        <v>300</v>
      </c>
      <c r="BA66" s="2" t="s">
        <v>649</v>
      </c>
      <c r="BB66" s="2" t="s">
        <v>635</v>
      </c>
      <c r="BC66" s="2" t="s">
        <v>635</v>
      </c>
      <c r="BD66" s="2" t="s">
        <v>977</v>
      </c>
      <c r="BE66" s="2" t="s">
        <v>635</v>
      </c>
      <c r="BF66" s="2" t="s">
        <v>635</v>
      </c>
      <c r="BG66" s="2" t="s">
        <v>635</v>
      </c>
      <c r="BH66" s="2" t="s">
        <v>635</v>
      </c>
      <c r="BI66" s="2" t="s">
        <v>635</v>
      </c>
      <c r="BJ66" s="2" t="s">
        <v>635</v>
      </c>
      <c r="BK66" s="2" t="s">
        <v>635</v>
      </c>
      <c r="BL66" s="2" t="s">
        <v>635</v>
      </c>
      <c r="BM66" s="2" t="s">
        <v>635</v>
      </c>
      <c r="BN66" s="2" t="s">
        <v>635</v>
      </c>
      <c r="BO66" s="2" t="s">
        <v>635</v>
      </c>
      <c r="BP66" s="2" t="s">
        <v>635</v>
      </c>
      <c r="BQ66" s="2" t="s">
        <v>635</v>
      </c>
      <c r="BR66" s="2" t="s">
        <v>635</v>
      </c>
      <c r="BS66" s="2" t="s">
        <v>635</v>
      </c>
      <c r="BT66" s="2" t="s">
        <v>635</v>
      </c>
      <c r="BU66" s="2" t="s">
        <v>635</v>
      </c>
      <c r="BV66" s="2" t="s">
        <v>635</v>
      </c>
      <c r="BW66" s="2" t="s">
        <v>635</v>
      </c>
      <c r="BX66" s="2" t="s">
        <v>635</v>
      </c>
      <c r="BY66" s="2" t="s">
        <v>635</v>
      </c>
      <c r="BZ66" s="2" t="s">
        <v>635</v>
      </c>
      <c r="CA66" s="2" t="s">
        <v>635</v>
      </c>
      <c r="CB66" s="2" t="s">
        <v>635</v>
      </c>
      <c r="CC66" s="2" t="s">
        <v>635</v>
      </c>
      <c r="CD66" s="2" t="s">
        <v>635</v>
      </c>
    </row>
    <row r="67" spans="1:82" x14ac:dyDescent="0.25">
      <c r="A67" s="2" t="s">
        <v>978</v>
      </c>
      <c r="B67" s="2" t="s">
        <v>635</v>
      </c>
      <c r="C67" s="2" t="s">
        <v>635</v>
      </c>
      <c r="D67" s="2" t="s">
        <v>635</v>
      </c>
      <c r="E67" s="2" t="s">
        <v>635</v>
      </c>
      <c r="F67" s="2" t="s">
        <v>635</v>
      </c>
      <c r="G67" s="2" t="s">
        <v>635</v>
      </c>
      <c r="H67" s="2" t="s">
        <v>635</v>
      </c>
      <c r="I67" s="2" t="s">
        <v>635</v>
      </c>
      <c r="J67" s="2" t="s">
        <v>635</v>
      </c>
      <c r="K67" s="2" t="s">
        <v>635</v>
      </c>
      <c r="L67" s="2"/>
      <c r="M67" s="2" t="s">
        <v>635</v>
      </c>
      <c r="N67" s="2" t="s">
        <v>635</v>
      </c>
      <c r="O67" s="2" t="s">
        <v>635</v>
      </c>
      <c r="P67" s="2" t="s">
        <v>635</v>
      </c>
      <c r="Q67" s="2" t="s">
        <v>635</v>
      </c>
      <c r="S67" s="2" t="s">
        <v>635</v>
      </c>
      <c r="T67" s="2" t="s">
        <v>635</v>
      </c>
      <c r="U67" s="2" t="s">
        <v>635</v>
      </c>
      <c r="V67" s="2" t="s">
        <v>635</v>
      </c>
      <c r="W67" s="2" t="s">
        <v>635</v>
      </c>
      <c r="X67" s="2" t="s">
        <v>635</v>
      </c>
      <c r="Y67" s="2" t="s">
        <v>635</v>
      </c>
      <c r="Z67" s="2"/>
      <c r="AA67" s="2" t="s">
        <v>635</v>
      </c>
      <c r="AB67" s="2" t="s">
        <v>635</v>
      </c>
      <c r="AD67" s="2" t="s">
        <v>635</v>
      </c>
      <c r="AE67" s="2" t="s">
        <v>635</v>
      </c>
      <c r="AG67" s="2" t="s">
        <v>635</v>
      </c>
      <c r="AH67" s="2" t="s">
        <v>635</v>
      </c>
      <c r="AJ67" s="2"/>
      <c r="AL67" s="2"/>
      <c r="AN67" s="2" t="s">
        <v>635</v>
      </c>
      <c r="AO67" s="2"/>
      <c r="AP67" s="2"/>
      <c r="AQ67" s="2" t="s">
        <v>635</v>
      </c>
      <c r="AR67" s="2" t="s">
        <v>635</v>
      </c>
      <c r="AS67" s="2" t="s">
        <v>635</v>
      </c>
      <c r="AT67" s="2" t="s">
        <v>635</v>
      </c>
      <c r="AU67" s="2" t="s">
        <v>635</v>
      </c>
      <c r="AV67" s="2" t="s">
        <v>635</v>
      </c>
      <c r="AW67" s="2" t="s">
        <v>635</v>
      </c>
      <c r="AX67" s="2" t="s">
        <v>635</v>
      </c>
      <c r="AY67" s="2" t="s">
        <v>635</v>
      </c>
      <c r="AZ67" s="2" t="s">
        <v>635</v>
      </c>
      <c r="BA67" s="2" t="s">
        <v>635</v>
      </c>
      <c r="BB67" s="2" t="s">
        <v>635</v>
      </c>
      <c r="BC67" s="2" t="s">
        <v>635</v>
      </c>
      <c r="BD67" s="2" t="s">
        <v>635</v>
      </c>
      <c r="BE67" s="2" t="s">
        <v>635</v>
      </c>
      <c r="BF67" s="2" t="s">
        <v>635</v>
      </c>
      <c r="BG67" s="2" t="s">
        <v>635</v>
      </c>
      <c r="BH67" s="2" t="s">
        <v>635</v>
      </c>
      <c r="BI67" s="2" t="s">
        <v>635</v>
      </c>
      <c r="BJ67" s="2" t="s">
        <v>635</v>
      </c>
      <c r="BK67" s="2" t="s">
        <v>635</v>
      </c>
      <c r="BL67" s="2" t="s">
        <v>635</v>
      </c>
      <c r="BM67" s="2" t="s">
        <v>635</v>
      </c>
      <c r="BN67" s="2" t="s">
        <v>635</v>
      </c>
      <c r="BO67" s="2" t="s">
        <v>635</v>
      </c>
      <c r="BP67" s="2" t="s">
        <v>635</v>
      </c>
      <c r="BQ67" s="2" t="s">
        <v>635</v>
      </c>
      <c r="BR67" s="2" t="s">
        <v>635</v>
      </c>
      <c r="BS67" s="2" t="s">
        <v>635</v>
      </c>
      <c r="BT67" s="2" t="s">
        <v>635</v>
      </c>
      <c r="BU67" s="2" t="s">
        <v>635</v>
      </c>
      <c r="BV67" s="2" t="s">
        <v>635</v>
      </c>
      <c r="BW67" s="2" t="s">
        <v>635</v>
      </c>
      <c r="BX67" s="2" t="s">
        <v>635</v>
      </c>
      <c r="BY67" s="2" t="s">
        <v>635</v>
      </c>
      <c r="BZ67" s="2" t="s">
        <v>635</v>
      </c>
      <c r="CA67" s="2" t="s">
        <v>635</v>
      </c>
      <c r="CB67" s="2" t="s">
        <v>635</v>
      </c>
      <c r="CC67" s="2" t="s">
        <v>635</v>
      </c>
      <c r="CD67" s="2" t="s">
        <v>635</v>
      </c>
    </row>
    <row r="68" spans="1:82" x14ac:dyDescent="0.25">
      <c r="A68" s="2" t="s">
        <v>979</v>
      </c>
      <c r="B68" s="2" t="s">
        <v>635</v>
      </c>
      <c r="C68" s="2" t="s">
        <v>865</v>
      </c>
      <c r="D68" s="2" t="s">
        <v>635</v>
      </c>
      <c r="E68" s="2" t="s">
        <v>635</v>
      </c>
      <c r="F68" s="2" t="s">
        <v>635</v>
      </c>
      <c r="G68" s="2" t="s">
        <v>415</v>
      </c>
      <c r="H68" s="2" t="s">
        <v>635</v>
      </c>
      <c r="I68" s="2" t="s">
        <v>635</v>
      </c>
      <c r="J68" s="2" t="s">
        <v>104</v>
      </c>
      <c r="K68" s="2" t="s">
        <v>635</v>
      </c>
      <c r="L68" s="2"/>
      <c r="M68" s="2" t="s">
        <v>635</v>
      </c>
      <c r="N68" s="2" t="s">
        <v>301</v>
      </c>
      <c r="O68" s="2" t="s">
        <v>635</v>
      </c>
      <c r="P68" s="2" t="s">
        <v>635</v>
      </c>
      <c r="Q68" s="2" t="s">
        <v>980</v>
      </c>
      <c r="S68" s="2" t="s">
        <v>303</v>
      </c>
      <c r="T68" s="2" t="s">
        <v>635</v>
      </c>
      <c r="U68" s="2" t="s">
        <v>981</v>
      </c>
      <c r="V68" s="2" t="s">
        <v>635</v>
      </c>
      <c r="W68" s="2" t="s">
        <v>635</v>
      </c>
      <c r="X68" s="2" t="s">
        <v>635</v>
      </c>
      <c r="Y68" s="2" t="s">
        <v>635</v>
      </c>
      <c r="Z68" s="2"/>
      <c r="AA68" s="2" t="s">
        <v>635</v>
      </c>
      <c r="AB68" s="2" t="s">
        <v>635</v>
      </c>
      <c r="AD68" s="2" t="s">
        <v>635</v>
      </c>
      <c r="AE68" s="2" t="s">
        <v>635</v>
      </c>
      <c r="AG68" s="2" t="s">
        <v>635</v>
      </c>
      <c r="AH68" s="2" t="s">
        <v>635</v>
      </c>
      <c r="AJ68" s="2"/>
      <c r="AL68" s="2"/>
      <c r="AN68" s="2" t="s">
        <v>635</v>
      </c>
      <c r="AO68" s="2"/>
      <c r="AP68" s="2"/>
      <c r="AQ68" s="2" t="s">
        <v>635</v>
      </c>
      <c r="AR68" s="2" t="s">
        <v>635</v>
      </c>
      <c r="AS68" s="2" t="s">
        <v>635</v>
      </c>
      <c r="AT68" s="2" t="s">
        <v>635</v>
      </c>
      <c r="AU68" s="2" t="s">
        <v>635</v>
      </c>
      <c r="AV68" s="2" t="s">
        <v>635</v>
      </c>
      <c r="AW68" s="2" t="s">
        <v>635</v>
      </c>
      <c r="AX68" s="2" t="s">
        <v>635</v>
      </c>
      <c r="AY68" s="2" t="s">
        <v>635</v>
      </c>
      <c r="AZ68" s="2" t="s">
        <v>635</v>
      </c>
      <c r="BA68" s="2" t="s">
        <v>635</v>
      </c>
      <c r="BB68" s="2" t="s">
        <v>635</v>
      </c>
      <c r="BC68" s="2" t="s">
        <v>635</v>
      </c>
      <c r="BD68" s="2" t="s">
        <v>635</v>
      </c>
      <c r="BE68" s="2" t="s">
        <v>635</v>
      </c>
      <c r="BF68" s="2" t="s">
        <v>635</v>
      </c>
      <c r="BG68" s="2" t="s">
        <v>635</v>
      </c>
      <c r="BH68" s="2" t="s">
        <v>635</v>
      </c>
      <c r="BI68" s="2" t="s">
        <v>635</v>
      </c>
      <c r="BJ68" s="2" t="s">
        <v>635</v>
      </c>
      <c r="BK68" s="2" t="s">
        <v>635</v>
      </c>
      <c r="BL68" s="2" t="s">
        <v>635</v>
      </c>
      <c r="BM68" s="2" t="s">
        <v>635</v>
      </c>
      <c r="BN68" s="2" t="s">
        <v>635</v>
      </c>
      <c r="BO68" s="2" t="s">
        <v>635</v>
      </c>
      <c r="BP68" s="2" t="s">
        <v>635</v>
      </c>
      <c r="BQ68" s="2" t="s">
        <v>635</v>
      </c>
      <c r="BR68" s="2" t="s">
        <v>635</v>
      </c>
      <c r="BS68" s="2" t="s">
        <v>635</v>
      </c>
      <c r="BT68" s="2" t="s">
        <v>635</v>
      </c>
      <c r="BU68" s="2" t="s">
        <v>635</v>
      </c>
      <c r="BV68" s="2" t="s">
        <v>635</v>
      </c>
      <c r="BW68" s="2" t="s">
        <v>635</v>
      </c>
      <c r="BX68" s="2" t="s">
        <v>635</v>
      </c>
      <c r="BY68" s="2" t="s">
        <v>635</v>
      </c>
      <c r="BZ68" s="2" t="s">
        <v>635</v>
      </c>
      <c r="CA68" s="2" t="s">
        <v>635</v>
      </c>
      <c r="CB68" s="2" t="s">
        <v>635</v>
      </c>
      <c r="CC68" s="2" t="s">
        <v>635</v>
      </c>
      <c r="CD68" s="2" t="s">
        <v>635</v>
      </c>
    </row>
    <row r="69" spans="1:82" x14ac:dyDescent="0.25">
      <c r="A69" s="2" t="s">
        <v>982</v>
      </c>
      <c r="B69" s="2" t="s">
        <v>635</v>
      </c>
      <c r="C69" s="2" t="s">
        <v>635</v>
      </c>
      <c r="D69" s="2" t="s">
        <v>635</v>
      </c>
      <c r="E69" s="2" t="s">
        <v>635</v>
      </c>
      <c r="F69" s="2" t="s">
        <v>635</v>
      </c>
      <c r="G69" s="2" t="s">
        <v>635</v>
      </c>
      <c r="H69" s="2" t="s">
        <v>635</v>
      </c>
      <c r="I69" s="2" t="s">
        <v>635</v>
      </c>
      <c r="J69" s="2" t="s">
        <v>635</v>
      </c>
      <c r="K69" s="2" t="s">
        <v>635</v>
      </c>
      <c r="L69" s="2"/>
      <c r="M69" s="2" t="s">
        <v>635</v>
      </c>
      <c r="N69" s="2" t="s">
        <v>635</v>
      </c>
      <c r="O69" s="2" t="s">
        <v>635</v>
      </c>
      <c r="P69" s="2" t="s">
        <v>635</v>
      </c>
      <c r="Q69" s="2" t="s">
        <v>635</v>
      </c>
      <c r="S69" s="2" t="s">
        <v>635</v>
      </c>
      <c r="T69" s="2" t="s">
        <v>635</v>
      </c>
      <c r="U69" s="2" t="s">
        <v>635</v>
      </c>
      <c r="V69" s="2" t="s">
        <v>635</v>
      </c>
      <c r="W69" s="2" t="s">
        <v>635</v>
      </c>
      <c r="X69" s="2" t="s">
        <v>635</v>
      </c>
      <c r="Y69" s="2" t="s">
        <v>635</v>
      </c>
      <c r="Z69" s="2"/>
      <c r="AA69" s="2" t="s">
        <v>635</v>
      </c>
      <c r="AB69" s="2" t="s">
        <v>635</v>
      </c>
      <c r="AD69" s="2" t="s">
        <v>635</v>
      </c>
      <c r="AE69" s="2" t="s">
        <v>635</v>
      </c>
      <c r="AG69" s="2" t="s">
        <v>635</v>
      </c>
      <c r="AH69" s="2" t="s">
        <v>635</v>
      </c>
      <c r="AJ69" s="2"/>
      <c r="AL69" s="2"/>
      <c r="AN69" s="2" t="s">
        <v>635</v>
      </c>
      <c r="AO69" s="2"/>
      <c r="AP69" s="2"/>
      <c r="AQ69" s="2" t="s">
        <v>635</v>
      </c>
      <c r="AR69" s="2" t="s">
        <v>635</v>
      </c>
      <c r="AS69" s="2" t="s">
        <v>635</v>
      </c>
      <c r="AT69" s="2" t="s">
        <v>635</v>
      </c>
      <c r="AU69" s="2" t="s">
        <v>635</v>
      </c>
      <c r="AV69" s="2" t="s">
        <v>635</v>
      </c>
      <c r="AW69" s="2" t="s">
        <v>635</v>
      </c>
      <c r="AX69" s="2" t="s">
        <v>635</v>
      </c>
      <c r="AY69" s="2" t="s">
        <v>635</v>
      </c>
      <c r="AZ69" s="2" t="s">
        <v>635</v>
      </c>
      <c r="BA69" s="2" t="s">
        <v>635</v>
      </c>
      <c r="BB69" s="2" t="s">
        <v>635</v>
      </c>
      <c r="BC69" s="2" t="s">
        <v>635</v>
      </c>
      <c r="BD69" s="2" t="s">
        <v>635</v>
      </c>
      <c r="BE69" s="2" t="s">
        <v>635</v>
      </c>
      <c r="BF69" s="2" t="s">
        <v>635</v>
      </c>
      <c r="BG69" s="2" t="s">
        <v>635</v>
      </c>
      <c r="BH69" s="2" t="s">
        <v>635</v>
      </c>
      <c r="BI69" s="2" t="s">
        <v>635</v>
      </c>
      <c r="BJ69" s="2" t="s">
        <v>635</v>
      </c>
      <c r="BK69" s="2" t="s">
        <v>635</v>
      </c>
      <c r="BL69" s="2" t="s">
        <v>635</v>
      </c>
      <c r="BM69" s="2" t="s">
        <v>635</v>
      </c>
      <c r="BN69" s="2" t="s">
        <v>635</v>
      </c>
      <c r="BO69" s="2" t="s">
        <v>635</v>
      </c>
      <c r="BP69" s="2" t="s">
        <v>635</v>
      </c>
      <c r="BQ69" s="2" t="s">
        <v>635</v>
      </c>
      <c r="BR69" s="2" t="s">
        <v>635</v>
      </c>
      <c r="BS69" s="2" t="s">
        <v>635</v>
      </c>
      <c r="BT69" s="2" t="s">
        <v>635</v>
      </c>
      <c r="BU69" s="2" t="s">
        <v>635</v>
      </c>
      <c r="BV69" s="2" t="s">
        <v>635</v>
      </c>
      <c r="BW69" s="2" t="s">
        <v>635</v>
      </c>
      <c r="BX69" s="2" t="s">
        <v>635</v>
      </c>
      <c r="BY69" s="2" t="s">
        <v>635</v>
      </c>
      <c r="BZ69" s="2" t="s">
        <v>635</v>
      </c>
      <c r="CA69" s="2" t="s">
        <v>635</v>
      </c>
      <c r="CB69" s="2" t="s">
        <v>635</v>
      </c>
      <c r="CC69" s="2" t="s">
        <v>635</v>
      </c>
      <c r="CD69" s="2" t="s">
        <v>635</v>
      </c>
    </row>
    <row r="70" spans="1:82" x14ac:dyDescent="0.25">
      <c r="A70" s="2" t="s">
        <v>983</v>
      </c>
      <c r="B70" s="2" t="s">
        <v>865</v>
      </c>
      <c r="C70" s="2" t="s">
        <v>304</v>
      </c>
      <c r="D70" s="2" t="s">
        <v>6</v>
      </c>
      <c r="E70" s="2" t="s">
        <v>305</v>
      </c>
      <c r="F70" s="2" t="s">
        <v>635</v>
      </c>
      <c r="G70" s="2" t="s">
        <v>635</v>
      </c>
      <c r="H70" s="2" t="s">
        <v>635</v>
      </c>
      <c r="I70" s="2" t="s">
        <v>635</v>
      </c>
      <c r="J70" s="2" t="s">
        <v>635</v>
      </c>
      <c r="K70" s="2" t="s">
        <v>635</v>
      </c>
      <c r="L70" s="2"/>
      <c r="M70" s="2" t="s">
        <v>635</v>
      </c>
      <c r="N70" s="2" t="s">
        <v>635</v>
      </c>
      <c r="O70" s="2" t="s">
        <v>635</v>
      </c>
      <c r="P70" s="2" t="s">
        <v>635</v>
      </c>
      <c r="Q70" s="2" t="s">
        <v>635</v>
      </c>
      <c r="S70" s="2" t="s">
        <v>635</v>
      </c>
      <c r="T70" s="2" t="s">
        <v>635</v>
      </c>
      <c r="U70" s="2" t="s">
        <v>635</v>
      </c>
      <c r="V70" s="2" t="s">
        <v>635</v>
      </c>
      <c r="W70" s="2" t="s">
        <v>635</v>
      </c>
      <c r="X70" s="2" t="s">
        <v>635</v>
      </c>
      <c r="Y70" s="2" t="s">
        <v>635</v>
      </c>
      <c r="Z70" s="2"/>
      <c r="AA70" s="2" t="s">
        <v>635</v>
      </c>
      <c r="AB70" s="2" t="s">
        <v>635</v>
      </c>
      <c r="AD70" s="2" t="s">
        <v>635</v>
      </c>
      <c r="AE70" s="2" t="s">
        <v>635</v>
      </c>
      <c r="AG70" s="2" t="s">
        <v>635</v>
      </c>
      <c r="AH70" s="2" t="s">
        <v>635</v>
      </c>
      <c r="AJ70" s="2"/>
      <c r="AL70" s="2"/>
      <c r="AN70" s="2" t="s">
        <v>635</v>
      </c>
      <c r="AO70" s="2"/>
      <c r="AP70" s="2"/>
      <c r="AQ70" s="2" t="s">
        <v>635</v>
      </c>
      <c r="AR70" s="2" t="s">
        <v>635</v>
      </c>
      <c r="AS70" s="2" t="s">
        <v>635</v>
      </c>
      <c r="AT70" s="2" t="s">
        <v>635</v>
      </c>
      <c r="AU70" s="2" t="s">
        <v>635</v>
      </c>
      <c r="AV70" s="2" t="s">
        <v>635</v>
      </c>
      <c r="AW70" s="2" t="s">
        <v>635</v>
      </c>
      <c r="AX70" s="2" t="s">
        <v>635</v>
      </c>
      <c r="AY70" s="2" t="s">
        <v>635</v>
      </c>
      <c r="AZ70" s="2" t="s">
        <v>635</v>
      </c>
      <c r="BA70" s="2" t="s">
        <v>635</v>
      </c>
      <c r="BB70" s="2" t="s">
        <v>635</v>
      </c>
      <c r="BC70" s="2" t="s">
        <v>635</v>
      </c>
      <c r="BD70" s="2" t="s">
        <v>635</v>
      </c>
      <c r="BE70" s="2" t="s">
        <v>635</v>
      </c>
      <c r="BF70" s="2" t="s">
        <v>635</v>
      </c>
      <c r="BG70" s="2" t="s">
        <v>635</v>
      </c>
      <c r="BH70" s="2" t="s">
        <v>635</v>
      </c>
      <c r="BI70" s="2" t="s">
        <v>635</v>
      </c>
      <c r="BJ70" s="2" t="s">
        <v>635</v>
      </c>
      <c r="BK70" s="2" t="s">
        <v>635</v>
      </c>
      <c r="BL70" s="2" t="s">
        <v>635</v>
      </c>
      <c r="BM70" s="2" t="s">
        <v>635</v>
      </c>
      <c r="BN70" s="2" t="s">
        <v>635</v>
      </c>
      <c r="BO70" s="2" t="s">
        <v>635</v>
      </c>
      <c r="BP70" s="2" t="s">
        <v>635</v>
      </c>
      <c r="BQ70" s="2" t="s">
        <v>635</v>
      </c>
      <c r="BR70" s="2" t="s">
        <v>635</v>
      </c>
      <c r="BS70" s="2" t="s">
        <v>635</v>
      </c>
      <c r="BT70" s="2" t="s">
        <v>635</v>
      </c>
      <c r="BU70" s="2" t="s">
        <v>635</v>
      </c>
      <c r="BV70" s="2" t="s">
        <v>635</v>
      </c>
      <c r="BW70" s="2" t="s">
        <v>635</v>
      </c>
      <c r="BX70" s="2" t="s">
        <v>635</v>
      </c>
      <c r="BY70" s="2" t="s">
        <v>635</v>
      </c>
      <c r="BZ70" s="2" t="s">
        <v>635</v>
      </c>
      <c r="CA70" s="2" t="s">
        <v>635</v>
      </c>
      <c r="CB70" s="2" t="s">
        <v>635</v>
      </c>
      <c r="CC70" s="2" t="s">
        <v>635</v>
      </c>
      <c r="CD70" s="2" t="s">
        <v>635</v>
      </c>
    </row>
    <row r="71" spans="1:82" x14ac:dyDescent="0.25">
      <c r="A71" s="2" t="s">
        <v>416</v>
      </c>
      <c r="B71" s="2" t="s">
        <v>417</v>
      </c>
      <c r="C71" s="2" t="s">
        <v>635</v>
      </c>
      <c r="D71" s="2" t="s">
        <v>635</v>
      </c>
      <c r="E71" s="2" t="s">
        <v>336</v>
      </c>
      <c r="F71" s="2" t="s">
        <v>329</v>
      </c>
      <c r="G71" s="2" t="s">
        <v>330</v>
      </c>
      <c r="H71" s="2" t="s">
        <v>635</v>
      </c>
      <c r="I71" s="2" t="s">
        <v>18</v>
      </c>
      <c r="J71" s="2" t="s">
        <v>635</v>
      </c>
      <c r="K71" s="2" t="s">
        <v>18</v>
      </c>
      <c r="L71" s="2"/>
      <c r="M71" s="2" t="s">
        <v>635</v>
      </c>
      <c r="N71" s="2" t="s">
        <v>984</v>
      </c>
      <c r="O71" s="2" t="s">
        <v>825</v>
      </c>
      <c r="P71" s="2" t="s">
        <v>635</v>
      </c>
      <c r="Q71" s="2" t="s">
        <v>635</v>
      </c>
      <c r="S71" s="2" t="s">
        <v>635</v>
      </c>
      <c r="T71" s="2" t="s">
        <v>635</v>
      </c>
      <c r="U71" s="2" t="s">
        <v>13</v>
      </c>
      <c r="V71" s="2" t="s">
        <v>635</v>
      </c>
      <c r="W71" s="2" t="s">
        <v>985</v>
      </c>
      <c r="X71" s="2" t="s">
        <v>635</v>
      </c>
      <c r="Y71" s="2" t="s">
        <v>635</v>
      </c>
      <c r="Z71" s="2"/>
      <c r="AA71" s="2" t="s">
        <v>635</v>
      </c>
      <c r="AB71" s="2" t="s">
        <v>635</v>
      </c>
      <c r="AD71" s="2" t="s">
        <v>635</v>
      </c>
      <c r="AE71" s="2" t="s">
        <v>635</v>
      </c>
      <c r="AG71" s="2" t="s">
        <v>635</v>
      </c>
      <c r="AH71" s="2" t="s">
        <v>635</v>
      </c>
      <c r="AJ71" s="2"/>
      <c r="AL71" s="2"/>
      <c r="AN71" s="2" t="s">
        <v>635</v>
      </c>
      <c r="AO71" s="2"/>
      <c r="AP71" s="2"/>
      <c r="AQ71" s="2" t="s">
        <v>635</v>
      </c>
      <c r="AR71" s="2" t="s">
        <v>635</v>
      </c>
      <c r="AS71" s="2" t="s">
        <v>635</v>
      </c>
      <c r="AT71" s="2" t="s">
        <v>635</v>
      </c>
      <c r="AU71" s="2" t="s">
        <v>635</v>
      </c>
      <c r="AV71" s="2" t="s">
        <v>635</v>
      </c>
      <c r="AW71" s="2" t="s">
        <v>635</v>
      </c>
      <c r="AX71" s="2" t="s">
        <v>635</v>
      </c>
      <c r="AY71" s="2" t="s">
        <v>635</v>
      </c>
      <c r="AZ71" s="2" t="s">
        <v>635</v>
      </c>
      <c r="BA71" s="2" t="s">
        <v>635</v>
      </c>
      <c r="BB71" s="2" t="s">
        <v>635</v>
      </c>
      <c r="BC71" s="2" t="s">
        <v>635</v>
      </c>
      <c r="BD71" s="2" t="s">
        <v>635</v>
      </c>
      <c r="BE71" s="2" t="s">
        <v>635</v>
      </c>
      <c r="BF71" s="2" t="s">
        <v>635</v>
      </c>
      <c r="BG71" s="2" t="s">
        <v>635</v>
      </c>
      <c r="BH71" s="2" t="s">
        <v>635</v>
      </c>
      <c r="BI71" s="2" t="s">
        <v>635</v>
      </c>
      <c r="BJ71" s="2" t="s">
        <v>635</v>
      </c>
      <c r="BK71" s="2" t="s">
        <v>635</v>
      </c>
      <c r="BL71" s="2" t="s">
        <v>635</v>
      </c>
      <c r="BM71" s="2" t="s">
        <v>635</v>
      </c>
      <c r="BN71" s="2" t="s">
        <v>635</v>
      </c>
      <c r="BO71" s="2" t="s">
        <v>635</v>
      </c>
      <c r="BP71" s="2" t="s">
        <v>635</v>
      </c>
      <c r="BQ71" s="2" t="s">
        <v>635</v>
      </c>
      <c r="BR71" s="2" t="s">
        <v>635</v>
      </c>
      <c r="BS71" s="2" t="s">
        <v>635</v>
      </c>
      <c r="BT71" s="2" t="s">
        <v>635</v>
      </c>
      <c r="BU71" s="2" t="s">
        <v>635</v>
      </c>
      <c r="BV71" s="2" t="s">
        <v>635</v>
      </c>
      <c r="BW71" s="2" t="s">
        <v>635</v>
      </c>
      <c r="BX71" s="2" t="s">
        <v>635</v>
      </c>
      <c r="BY71" s="2" t="s">
        <v>635</v>
      </c>
      <c r="BZ71" s="2" t="s">
        <v>635</v>
      </c>
      <c r="CA71" s="2" t="s">
        <v>635</v>
      </c>
      <c r="CB71" s="2" t="s">
        <v>635</v>
      </c>
      <c r="CC71" s="2" t="s">
        <v>635</v>
      </c>
      <c r="CD71" s="2" t="s">
        <v>635</v>
      </c>
    </row>
    <row r="72" spans="1:82" x14ac:dyDescent="0.25">
      <c r="A72" s="2" t="s">
        <v>986</v>
      </c>
      <c r="B72" s="2" t="s">
        <v>635</v>
      </c>
      <c r="C72" s="2" t="s">
        <v>940</v>
      </c>
      <c r="D72" s="2" t="s">
        <v>635</v>
      </c>
      <c r="E72" s="2" t="s">
        <v>635</v>
      </c>
      <c r="F72" s="2" t="s">
        <v>635</v>
      </c>
      <c r="G72" s="2" t="s">
        <v>827</v>
      </c>
      <c r="H72" s="2" t="s">
        <v>678</v>
      </c>
      <c r="I72" s="2" t="s">
        <v>635</v>
      </c>
      <c r="J72" s="2" t="s">
        <v>827</v>
      </c>
      <c r="K72" s="2" t="s">
        <v>635</v>
      </c>
      <c r="L72" s="2">
        <v>0</v>
      </c>
      <c r="M72" s="2" t="s">
        <v>827</v>
      </c>
      <c r="N72" s="2" t="s">
        <v>827</v>
      </c>
      <c r="O72" s="2" t="s">
        <v>827</v>
      </c>
      <c r="P72" s="2" t="s">
        <v>635</v>
      </c>
      <c r="Q72" s="2" t="s">
        <v>827</v>
      </c>
      <c r="R72">
        <v>0</v>
      </c>
      <c r="S72" s="2" t="s">
        <v>827</v>
      </c>
      <c r="T72" s="2" t="s">
        <v>827</v>
      </c>
      <c r="U72" s="2" t="s">
        <v>635</v>
      </c>
      <c r="V72" s="2" t="s">
        <v>635</v>
      </c>
      <c r="W72" s="2" t="s">
        <v>11</v>
      </c>
      <c r="X72" s="2" t="s">
        <v>331</v>
      </c>
      <c r="Y72" s="2" t="s">
        <v>635</v>
      </c>
      <c r="Z72" s="2"/>
      <c r="AA72" s="2" t="s">
        <v>635</v>
      </c>
      <c r="AB72" s="2" t="s">
        <v>295</v>
      </c>
      <c r="AC72">
        <v>40</v>
      </c>
      <c r="AD72" s="2" t="s">
        <v>293</v>
      </c>
      <c r="AE72" s="2" t="s">
        <v>418</v>
      </c>
      <c r="AG72" s="2" t="s">
        <v>635</v>
      </c>
      <c r="AH72" s="2" t="s">
        <v>806</v>
      </c>
      <c r="AJ72" s="2">
        <v>6</v>
      </c>
      <c r="AL72" s="2"/>
      <c r="AN72" s="2" t="s">
        <v>419</v>
      </c>
      <c r="AO72" s="2"/>
      <c r="AP72" s="2"/>
      <c r="AQ72" s="2" t="s">
        <v>14</v>
      </c>
      <c r="AR72" s="2" t="s">
        <v>635</v>
      </c>
      <c r="AS72" s="2" t="s">
        <v>635</v>
      </c>
      <c r="AT72" s="2" t="s">
        <v>635</v>
      </c>
      <c r="AU72" s="2" t="s">
        <v>294</v>
      </c>
      <c r="AV72" s="2" t="s">
        <v>635</v>
      </c>
      <c r="AW72" s="2" t="s">
        <v>635</v>
      </c>
      <c r="AX72" s="2" t="s">
        <v>987</v>
      </c>
      <c r="AY72" s="2" t="s">
        <v>635</v>
      </c>
      <c r="AZ72" s="2" t="s">
        <v>19</v>
      </c>
      <c r="BA72" s="2" t="s">
        <v>635</v>
      </c>
      <c r="BB72" s="2" t="s">
        <v>807</v>
      </c>
      <c r="BC72" s="2" t="s">
        <v>865</v>
      </c>
      <c r="BD72" s="2" t="s">
        <v>20</v>
      </c>
      <c r="BE72" s="2" t="s">
        <v>6</v>
      </c>
      <c r="BF72" s="2" t="s">
        <v>296</v>
      </c>
      <c r="BG72" s="2" t="s">
        <v>988</v>
      </c>
      <c r="BH72" s="2" t="s">
        <v>635</v>
      </c>
      <c r="BI72" s="2" t="s">
        <v>635</v>
      </c>
      <c r="BJ72" s="2" t="s">
        <v>635</v>
      </c>
      <c r="BK72" s="2" t="s">
        <v>635</v>
      </c>
      <c r="BL72" s="2" t="s">
        <v>635</v>
      </c>
      <c r="BM72" s="2" t="s">
        <v>635</v>
      </c>
      <c r="BN72" s="2" t="s">
        <v>635</v>
      </c>
      <c r="BO72" s="2" t="s">
        <v>635</v>
      </c>
      <c r="BP72" s="2" t="s">
        <v>635</v>
      </c>
      <c r="BQ72" s="2" t="s">
        <v>635</v>
      </c>
      <c r="BR72" s="2" t="s">
        <v>635</v>
      </c>
      <c r="BS72" s="2" t="s">
        <v>635</v>
      </c>
      <c r="BT72" s="2" t="s">
        <v>635</v>
      </c>
      <c r="BU72" s="2" t="s">
        <v>635</v>
      </c>
      <c r="BV72" s="2" t="s">
        <v>635</v>
      </c>
      <c r="BW72" s="2" t="s">
        <v>635</v>
      </c>
      <c r="BX72" s="2" t="s">
        <v>635</v>
      </c>
      <c r="BY72" s="2" t="s">
        <v>635</v>
      </c>
      <c r="BZ72" s="2" t="s">
        <v>635</v>
      </c>
      <c r="CA72" s="2" t="s">
        <v>635</v>
      </c>
      <c r="CB72" s="2" t="s">
        <v>635</v>
      </c>
      <c r="CC72" s="2" t="s">
        <v>635</v>
      </c>
      <c r="CD72" s="2" t="s">
        <v>635</v>
      </c>
    </row>
    <row r="73" spans="1:82" x14ac:dyDescent="0.25">
      <c r="A73" s="2" t="s">
        <v>420</v>
      </c>
      <c r="B73" s="2" t="s">
        <v>421</v>
      </c>
      <c r="C73" s="2" t="s">
        <v>635</v>
      </c>
      <c r="D73" s="2" t="s">
        <v>635</v>
      </c>
      <c r="E73" s="2" t="s">
        <v>346</v>
      </c>
      <c r="F73" s="2" t="s">
        <v>329</v>
      </c>
      <c r="G73" s="2" t="s">
        <v>330</v>
      </c>
      <c r="H73" s="2" t="s">
        <v>635</v>
      </c>
      <c r="I73" s="2" t="s">
        <v>175</v>
      </c>
      <c r="J73" s="2" t="s">
        <v>635</v>
      </c>
      <c r="K73" s="2" t="s">
        <v>175</v>
      </c>
      <c r="L73" s="2"/>
      <c r="M73" s="2" t="s">
        <v>635</v>
      </c>
      <c r="N73" s="2" t="s">
        <v>989</v>
      </c>
      <c r="O73" s="2" t="s">
        <v>990</v>
      </c>
      <c r="P73" s="2" t="s">
        <v>635</v>
      </c>
      <c r="Q73" s="2" t="s">
        <v>635</v>
      </c>
      <c r="S73" s="2" t="s">
        <v>635</v>
      </c>
      <c r="T73" s="2" t="s">
        <v>635</v>
      </c>
      <c r="U73" s="2" t="s">
        <v>35</v>
      </c>
      <c r="V73" s="2" t="s">
        <v>635</v>
      </c>
      <c r="W73" s="2" t="s">
        <v>422</v>
      </c>
      <c r="X73" s="2" t="s">
        <v>635</v>
      </c>
      <c r="Y73" s="2" t="s">
        <v>896</v>
      </c>
      <c r="Z73" s="2"/>
      <c r="AA73" s="2" t="s">
        <v>635</v>
      </c>
      <c r="AB73" s="2" t="s">
        <v>635</v>
      </c>
      <c r="AC73">
        <v>1</v>
      </c>
      <c r="AD73" s="2" t="s">
        <v>678</v>
      </c>
      <c r="AE73" s="2" t="s">
        <v>635</v>
      </c>
      <c r="AF73">
        <v>0</v>
      </c>
      <c r="AG73" s="2" t="s">
        <v>635</v>
      </c>
      <c r="AH73" s="2" t="s">
        <v>827</v>
      </c>
      <c r="AI73">
        <v>0</v>
      </c>
      <c r="AJ73" s="2">
        <v>0</v>
      </c>
      <c r="AK73">
        <v>0</v>
      </c>
      <c r="AL73" s="2"/>
      <c r="AM73">
        <v>1</v>
      </c>
      <c r="AN73" s="2" t="s">
        <v>827</v>
      </c>
      <c r="AO73" s="2">
        <v>0</v>
      </c>
      <c r="AP73" s="2">
        <v>0</v>
      </c>
      <c r="AQ73" s="2" t="s">
        <v>635</v>
      </c>
      <c r="AR73" s="2" t="s">
        <v>635</v>
      </c>
      <c r="AS73" s="2" t="s">
        <v>11</v>
      </c>
      <c r="AT73" s="2" t="s">
        <v>331</v>
      </c>
      <c r="AU73" s="2" t="s">
        <v>635</v>
      </c>
      <c r="AV73" s="2" t="s">
        <v>635</v>
      </c>
      <c r="AW73" s="2" t="s">
        <v>635</v>
      </c>
      <c r="AX73" s="2" t="s">
        <v>262</v>
      </c>
      <c r="AY73" s="2" t="s">
        <v>885</v>
      </c>
      <c r="AZ73" s="2" t="s">
        <v>260</v>
      </c>
      <c r="BA73" s="2" t="s">
        <v>650</v>
      </c>
      <c r="BB73" s="2" t="s">
        <v>635</v>
      </c>
      <c r="BC73" s="2" t="s">
        <v>635</v>
      </c>
      <c r="BD73" s="2" t="s">
        <v>263</v>
      </c>
      <c r="BE73" s="2" t="s">
        <v>635</v>
      </c>
      <c r="BF73" s="2" t="s">
        <v>635</v>
      </c>
      <c r="BG73" s="2" t="s">
        <v>635</v>
      </c>
      <c r="BH73" s="2" t="s">
        <v>635</v>
      </c>
      <c r="BI73" s="2" t="s">
        <v>635</v>
      </c>
      <c r="BJ73" s="2" t="s">
        <v>423</v>
      </c>
      <c r="BK73" s="2" t="s">
        <v>635</v>
      </c>
      <c r="BL73" s="2" t="s">
        <v>635</v>
      </c>
      <c r="BM73" s="2" t="s">
        <v>14</v>
      </c>
      <c r="BN73" s="2" t="s">
        <v>635</v>
      </c>
      <c r="BO73" s="2" t="s">
        <v>635</v>
      </c>
      <c r="BP73" s="2" t="s">
        <v>635</v>
      </c>
      <c r="BQ73" s="2" t="s">
        <v>261</v>
      </c>
      <c r="BR73" s="2" t="s">
        <v>635</v>
      </c>
      <c r="BS73" s="2" t="s">
        <v>635</v>
      </c>
      <c r="BT73" s="2" t="s">
        <v>991</v>
      </c>
      <c r="BU73" s="2" t="s">
        <v>635</v>
      </c>
      <c r="BV73" s="2" t="s">
        <v>635</v>
      </c>
      <c r="BW73" s="2" t="s">
        <v>635</v>
      </c>
      <c r="BX73" s="2" t="s">
        <v>263</v>
      </c>
      <c r="BY73" s="2" t="s">
        <v>635</v>
      </c>
      <c r="BZ73" s="2" t="s">
        <v>99</v>
      </c>
      <c r="CA73" s="2" t="s">
        <v>99</v>
      </c>
      <c r="CB73" s="2" t="s">
        <v>264</v>
      </c>
      <c r="CC73" s="2" t="s">
        <v>635</v>
      </c>
      <c r="CD73" s="2" t="s">
        <v>635</v>
      </c>
    </row>
    <row r="74" spans="1:82" x14ac:dyDescent="0.25">
      <c r="A74" s="2" t="s">
        <v>424</v>
      </c>
      <c r="B74" s="2" t="s">
        <v>425</v>
      </c>
      <c r="C74" s="2" t="s">
        <v>635</v>
      </c>
      <c r="D74" s="2" t="s">
        <v>635</v>
      </c>
      <c r="E74" s="2" t="s">
        <v>346</v>
      </c>
      <c r="F74" s="2" t="s">
        <v>329</v>
      </c>
      <c r="G74" s="2" t="s">
        <v>330</v>
      </c>
      <c r="H74" s="2" t="s">
        <v>635</v>
      </c>
      <c r="I74" s="2" t="s">
        <v>635</v>
      </c>
      <c r="J74" s="2" t="s">
        <v>635</v>
      </c>
      <c r="K74" s="2" t="s">
        <v>635</v>
      </c>
      <c r="L74" s="2"/>
      <c r="M74" s="2" t="s">
        <v>635</v>
      </c>
      <c r="N74" s="2" t="s">
        <v>992</v>
      </c>
      <c r="O74" s="2" t="s">
        <v>993</v>
      </c>
      <c r="P74" s="2" t="s">
        <v>635</v>
      </c>
      <c r="Q74" s="2" t="s">
        <v>635</v>
      </c>
      <c r="S74" s="2" t="s">
        <v>635</v>
      </c>
      <c r="T74" s="2" t="s">
        <v>635</v>
      </c>
      <c r="U74" s="2" t="s">
        <v>35</v>
      </c>
      <c r="V74" s="2" t="s">
        <v>635</v>
      </c>
      <c r="W74" s="2" t="s">
        <v>635</v>
      </c>
      <c r="X74" s="2" t="s">
        <v>635</v>
      </c>
      <c r="Y74" s="2" t="s">
        <v>826</v>
      </c>
      <c r="Z74" s="2"/>
      <c r="AA74" s="2" t="s">
        <v>635</v>
      </c>
      <c r="AB74" s="2" t="s">
        <v>635</v>
      </c>
      <c r="AC74">
        <v>1</v>
      </c>
      <c r="AD74" s="2" t="s">
        <v>678</v>
      </c>
      <c r="AE74" s="2" t="s">
        <v>635</v>
      </c>
      <c r="AF74">
        <v>0</v>
      </c>
      <c r="AG74" s="2" t="s">
        <v>635</v>
      </c>
      <c r="AH74" s="2" t="s">
        <v>827</v>
      </c>
      <c r="AI74">
        <v>0</v>
      </c>
      <c r="AJ74" s="2">
        <v>0</v>
      </c>
      <c r="AK74">
        <v>0</v>
      </c>
      <c r="AL74" s="2"/>
      <c r="AM74">
        <v>1</v>
      </c>
      <c r="AN74" s="2" t="s">
        <v>827</v>
      </c>
      <c r="AO74" s="2">
        <v>0</v>
      </c>
      <c r="AP74" s="2">
        <v>0</v>
      </c>
      <c r="AQ74" s="2" t="s">
        <v>635</v>
      </c>
      <c r="AR74" s="2" t="s">
        <v>635</v>
      </c>
      <c r="AS74" s="2" t="s">
        <v>11</v>
      </c>
      <c r="AT74" s="2" t="s">
        <v>331</v>
      </c>
      <c r="AU74" s="2" t="s">
        <v>635</v>
      </c>
      <c r="AV74" s="2" t="s">
        <v>635</v>
      </c>
      <c r="AW74" s="2" t="s">
        <v>635</v>
      </c>
      <c r="AX74" s="2" t="s">
        <v>188</v>
      </c>
      <c r="AY74" s="2" t="s">
        <v>828</v>
      </c>
      <c r="AZ74" s="2" t="s">
        <v>186</v>
      </c>
      <c r="BA74" s="2" t="s">
        <v>651</v>
      </c>
      <c r="BB74" s="2" t="s">
        <v>635</v>
      </c>
      <c r="BC74" s="2" t="s">
        <v>635</v>
      </c>
      <c r="BD74" s="2" t="s">
        <v>994</v>
      </c>
      <c r="BE74" s="2" t="s">
        <v>635</v>
      </c>
      <c r="BF74" s="2" t="s">
        <v>635</v>
      </c>
      <c r="BG74" s="2" t="s">
        <v>635</v>
      </c>
      <c r="BH74" s="2" t="s">
        <v>635</v>
      </c>
      <c r="BI74" s="2" t="s">
        <v>635</v>
      </c>
      <c r="BJ74" s="2" t="s">
        <v>635</v>
      </c>
      <c r="BK74" s="2" t="s">
        <v>635</v>
      </c>
      <c r="BL74" s="2" t="s">
        <v>635</v>
      </c>
      <c r="BM74" s="2" t="s">
        <v>635</v>
      </c>
      <c r="BN74" s="2" t="s">
        <v>635</v>
      </c>
      <c r="BO74" s="2" t="s">
        <v>635</v>
      </c>
      <c r="BP74" s="2" t="s">
        <v>635</v>
      </c>
      <c r="BQ74" s="2" t="s">
        <v>635</v>
      </c>
      <c r="BR74" s="2" t="s">
        <v>635</v>
      </c>
      <c r="BS74" s="2" t="s">
        <v>635</v>
      </c>
      <c r="BT74" s="2" t="s">
        <v>635</v>
      </c>
      <c r="BU74" s="2" t="s">
        <v>635</v>
      </c>
      <c r="BV74" s="2" t="s">
        <v>635</v>
      </c>
      <c r="BW74" s="2" t="s">
        <v>635</v>
      </c>
      <c r="BX74" s="2" t="s">
        <v>635</v>
      </c>
      <c r="BY74" s="2" t="s">
        <v>635</v>
      </c>
      <c r="BZ74" s="2" t="s">
        <v>635</v>
      </c>
      <c r="CA74" s="2" t="s">
        <v>635</v>
      </c>
      <c r="CB74" s="2" t="s">
        <v>635</v>
      </c>
      <c r="CC74" s="2" t="s">
        <v>635</v>
      </c>
      <c r="CD74" s="2" t="s">
        <v>635</v>
      </c>
    </row>
    <row r="75" spans="1:82" x14ac:dyDescent="0.25">
      <c r="A75" s="2" t="s">
        <v>995</v>
      </c>
      <c r="B75" s="2" t="s">
        <v>635</v>
      </c>
      <c r="C75" s="2" t="s">
        <v>635</v>
      </c>
      <c r="D75" s="2" t="s">
        <v>635</v>
      </c>
      <c r="E75" s="2" t="s">
        <v>635</v>
      </c>
      <c r="F75" s="2" t="s">
        <v>635</v>
      </c>
      <c r="G75" s="2" t="s">
        <v>426</v>
      </c>
      <c r="H75" s="2" t="s">
        <v>635</v>
      </c>
      <c r="I75" s="2" t="s">
        <v>635</v>
      </c>
      <c r="J75" s="2" t="s">
        <v>104</v>
      </c>
      <c r="K75" s="2" t="s">
        <v>635</v>
      </c>
      <c r="L75" s="2"/>
      <c r="M75" s="2" t="s">
        <v>635</v>
      </c>
      <c r="N75" s="2" t="s">
        <v>187</v>
      </c>
      <c r="O75" s="2" t="s">
        <v>635</v>
      </c>
      <c r="P75" s="2" t="s">
        <v>635</v>
      </c>
      <c r="Q75" s="2" t="s">
        <v>996</v>
      </c>
      <c r="S75" s="2" t="s">
        <v>635</v>
      </c>
      <c r="T75" s="2" t="s">
        <v>635</v>
      </c>
      <c r="U75" s="2" t="s">
        <v>994</v>
      </c>
      <c r="V75" s="2" t="s">
        <v>635</v>
      </c>
      <c r="W75" s="2" t="s">
        <v>635</v>
      </c>
      <c r="X75" s="2" t="s">
        <v>635</v>
      </c>
      <c r="Y75" s="2" t="s">
        <v>635</v>
      </c>
      <c r="Z75" s="2"/>
      <c r="AA75" s="2" t="s">
        <v>635</v>
      </c>
      <c r="AB75" s="2" t="s">
        <v>635</v>
      </c>
      <c r="AD75" s="2" t="s">
        <v>635</v>
      </c>
      <c r="AE75" s="2" t="s">
        <v>635</v>
      </c>
      <c r="AG75" s="2" t="s">
        <v>635</v>
      </c>
      <c r="AH75" s="2" t="s">
        <v>635</v>
      </c>
      <c r="AJ75" s="2"/>
      <c r="AL75" s="2"/>
      <c r="AN75" s="2" t="s">
        <v>635</v>
      </c>
      <c r="AO75" s="2"/>
      <c r="AP75" s="2"/>
      <c r="AQ75" s="2" t="s">
        <v>635</v>
      </c>
      <c r="AR75" s="2" t="s">
        <v>635</v>
      </c>
      <c r="AS75" s="2" t="s">
        <v>635</v>
      </c>
      <c r="AT75" s="2" t="s">
        <v>635</v>
      </c>
      <c r="AU75" s="2" t="s">
        <v>635</v>
      </c>
      <c r="AV75" s="2" t="s">
        <v>635</v>
      </c>
      <c r="AW75" s="2" t="s">
        <v>635</v>
      </c>
      <c r="AX75" s="2" t="s">
        <v>635</v>
      </c>
      <c r="AY75" s="2" t="s">
        <v>635</v>
      </c>
      <c r="AZ75" s="2" t="s">
        <v>635</v>
      </c>
      <c r="BA75" s="2" t="s">
        <v>635</v>
      </c>
      <c r="BB75" s="2" t="s">
        <v>635</v>
      </c>
      <c r="BC75" s="2" t="s">
        <v>635</v>
      </c>
      <c r="BD75" s="2" t="s">
        <v>635</v>
      </c>
      <c r="BE75" s="2" t="s">
        <v>635</v>
      </c>
      <c r="BF75" s="2" t="s">
        <v>635</v>
      </c>
      <c r="BG75" s="2" t="s">
        <v>635</v>
      </c>
      <c r="BH75" s="2" t="s">
        <v>635</v>
      </c>
      <c r="BI75" s="2" t="s">
        <v>635</v>
      </c>
      <c r="BJ75" s="2" t="s">
        <v>635</v>
      </c>
      <c r="BK75" s="2" t="s">
        <v>635</v>
      </c>
      <c r="BL75" s="2" t="s">
        <v>635</v>
      </c>
      <c r="BM75" s="2" t="s">
        <v>635</v>
      </c>
      <c r="BN75" s="2" t="s">
        <v>635</v>
      </c>
      <c r="BO75" s="2" t="s">
        <v>635</v>
      </c>
      <c r="BP75" s="2" t="s">
        <v>635</v>
      </c>
      <c r="BQ75" s="2" t="s">
        <v>635</v>
      </c>
      <c r="BR75" s="2" t="s">
        <v>635</v>
      </c>
      <c r="BS75" s="2" t="s">
        <v>635</v>
      </c>
      <c r="BT75" s="2" t="s">
        <v>635</v>
      </c>
      <c r="BU75" s="2" t="s">
        <v>635</v>
      </c>
      <c r="BV75" s="2" t="s">
        <v>635</v>
      </c>
      <c r="BW75" s="2" t="s">
        <v>635</v>
      </c>
      <c r="BX75" s="2" t="s">
        <v>635</v>
      </c>
      <c r="BY75" s="2" t="s">
        <v>635</v>
      </c>
      <c r="BZ75" s="2" t="s">
        <v>635</v>
      </c>
      <c r="CA75" s="2" t="s">
        <v>635</v>
      </c>
      <c r="CB75" s="2" t="s">
        <v>635</v>
      </c>
      <c r="CC75" s="2" t="s">
        <v>635</v>
      </c>
      <c r="CD75" s="2" t="s">
        <v>635</v>
      </c>
    </row>
    <row r="76" spans="1:82" x14ac:dyDescent="0.25">
      <c r="A76" s="2" t="s">
        <v>995</v>
      </c>
      <c r="B76" s="2" t="s">
        <v>635</v>
      </c>
      <c r="C76" s="2" t="s">
        <v>189</v>
      </c>
      <c r="D76" s="2" t="s">
        <v>189</v>
      </c>
      <c r="E76" s="2" t="s">
        <v>190</v>
      </c>
      <c r="F76" s="2" t="s">
        <v>635</v>
      </c>
      <c r="G76" s="2" t="s">
        <v>635</v>
      </c>
      <c r="H76" s="2" t="s">
        <v>635</v>
      </c>
      <c r="I76" s="2" t="s">
        <v>635</v>
      </c>
      <c r="J76" s="2" t="s">
        <v>635</v>
      </c>
      <c r="K76" s="2" t="s">
        <v>635</v>
      </c>
      <c r="L76" s="2"/>
      <c r="M76" s="2" t="s">
        <v>635</v>
      </c>
      <c r="N76" s="2" t="s">
        <v>635</v>
      </c>
      <c r="O76" s="2" t="s">
        <v>635</v>
      </c>
      <c r="P76" s="2" t="s">
        <v>635</v>
      </c>
      <c r="Q76" s="2" t="s">
        <v>635</v>
      </c>
      <c r="S76" s="2" t="s">
        <v>635</v>
      </c>
      <c r="T76" s="2" t="s">
        <v>635</v>
      </c>
      <c r="U76" s="2" t="s">
        <v>635</v>
      </c>
      <c r="V76" s="2" t="s">
        <v>635</v>
      </c>
      <c r="W76" s="2" t="s">
        <v>635</v>
      </c>
      <c r="X76" s="2" t="s">
        <v>635</v>
      </c>
      <c r="Y76" s="2" t="s">
        <v>635</v>
      </c>
      <c r="Z76" s="2"/>
      <c r="AA76" s="2" t="s">
        <v>635</v>
      </c>
      <c r="AB76" s="2" t="s">
        <v>635</v>
      </c>
      <c r="AD76" s="2" t="s">
        <v>635</v>
      </c>
      <c r="AE76" s="2" t="s">
        <v>635</v>
      </c>
      <c r="AG76" s="2" t="s">
        <v>635</v>
      </c>
      <c r="AH76" s="2" t="s">
        <v>635</v>
      </c>
      <c r="AJ76" s="2"/>
      <c r="AL76" s="2"/>
      <c r="AN76" s="2" t="s">
        <v>635</v>
      </c>
      <c r="AO76" s="2"/>
      <c r="AP76" s="2"/>
      <c r="AQ76" s="2" t="s">
        <v>635</v>
      </c>
      <c r="AR76" s="2" t="s">
        <v>635</v>
      </c>
      <c r="AS76" s="2" t="s">
        <v>635</v>
      </c>
      <c r="AT76" s="2" t="s">
        <v>635</v>
      </c>
      <c r="AU76" s="2" t="s">
        <v>635</v>
      </c>
      <c r="AV76" s="2" t="s">
        <v>635</v>
      </c>
      <c r="AW76" s="2" t="s">
        <v>635</v>
      </c>
      <c r="AX76" s="2" t="s">
        <v>635</v>
      </c>
      <c r="AY76" s="2" t="s">
        <v>635</v>
      </c>
      <c r="AZ76" s="2" t="s">
        <v>635</v>
      </c>
      <c r="BA76" s="2" t="s">
        <v>635</v>
      </c>
      <c r="BB76" s="2" t="s">
        <v>635</v>
      </c>
      <c r="BC76" s="2" t="s">
        <v>635</v>
      </c>
      <c r="BD76" s="2" t="s">
        <v>635</v>
      </c>
      <c r="BE76" s="2" t="s">
        <v>635</v>
      </c>
      <c r="BF76" s="2" t="s">
        <v>635</v>
      </c>
      <c r="BG76" s="2" t="s">
        <v>635</v>
      </c>
      <c r="BH76" s="2" t="s">
        <v>635</v>
      </c>
      <c r="BI76" s="2" t="s">
        <v>635</v>
      </c>
      <c r="BJ76" s="2" t="s">
        <v>635</v>
      </c>
      <c r="BK76" s="2" t="s">
        <v>635</v>
      </c>
      <c r="BL76" s="2" t="s">
        <v>635</v>
      </c>
      <c r="BM76" s="2" t="s">
        <v>635</v>
      </c>
      <c r="BN76" s="2" t="s">
        <v>635</v>
      </c>
      <c r="BO76" s="2" t="s">
        <v>635</v>
      </c>
      <c r="BP76" s="2" t="s">
        <v>635</v>
      </c>
      <c r="BQ76" s="2" t="s">
        <v>635</v>
      </c>
      <c r="BR76" s="2" t="s">
        <v>635</v>
      </c>
      <c r="BS76" s="2" t="s">
        <v>635</v>
      </c>
      <c r="BT76" s="2" t="s">
        <v>635</v>
      </c>
      <c r="BU76" s="2" t="s">
        <v>635</v>
      </c>
      <c r="BV76" s="2" t="s">
        <v>635</v>
      </c>
      <c r="BW76" s="2" t="s">
        <v>635</v>
      </c>
      <c r="BX76" s="2" t="s">
        <v>635</v>
      </c>
      <c r="BY76" s="2" t="s">
        <v>635</v>
      </c>
      <c r="BZ76" s="2" t="s">
        <v>635</v>
      </c>
      <c r="CA76" s="2" t="s">
        <v>635</v>
      </c>
      <c r="CB76" s="2" t="s">
        <v>635</v>
      </c>
      <c r="CC76" s="2" t="s">
        <v>635</v>
      </c>
      <c r="CD76" s="2" t="s">
        <v>635</v>
      </c>
    </row>
    <row r="77" spans="1:82" x14ac:dyDescent="0.25">
      <c r="A77" s="2" t="s">
        <v>427</v>
      </c>
      <c r="B77" s="2" t="s">
        <v>428</v>
      </c>
      <c r="C77" s="2" t="s">
        <v>635</v>
      </c>
      <c r="D77" s="2" t="s">
        <v>635</v>
      </c>
      <c r="E77" s="2" t="s">
        <v>336</v>
      </c>
      <c r="F77" s="2" t="s">
        <v>635</v>
      </c>
      <c r="G77" s="2" t="s">
        <v>429</v>
      </c>
      <c r="H77" s="2" t="s">
        <v>635</v>
      </c>
      <c r="I77" s="2" t="s">
        <v>430</v>
      </c>
      <c r="J77" s="2" t="s">
        <v>635</v>
      </c>
      <c r="K77" s="2" t="s">
        <v>997</v>
      </c>
      <c r="L77" s="2"/>
      <c r="M77" s="2" t="s">
        <v>635</v>
      </c>
      <c r="N77" s="2" t="s">
        <v>998</v>
      </c>
      <c r="O77" s="2" t="s">
        <v>999</v>
      </c>
      <c r="P77" s="2" t="s">
        <v>635</v>
      </c>
      <c r="Q77" s="2" t="s">
        <v>635</v>
      </c>
      <c r="S77" s="2" t="s">
        <v>635</v>
      </c>
      <c r="T77" s="2" t="s">
        <v>635</v>
      </c>
      <c r="U77" s="2" t="s">
        <v>35</v>
      </c>
      <c r="V77" s="2" t="s">
        <v>635</v>
      </c>
      <c r="W77" s="2" t="s">
        <v>635</v>
      </c>
      <c r="X77" s="2" t="s">
        <v>1000</v>
      </c>
      <c r="Y77" s="2" t="s">
        <v>826</v>
      </c>
      <c r="Z77" s="2"/>
      <c r="AA77" s="2" t="s">
        <v>635</v>
      </c>
      <c r="AB77" s="2" t="s">
        <v>635</v>
      </c>
      <c r="AC77">
        <v>1</v>
      </c>
      <c r="AD77" s="2" t="s">
        <v>678</v>
      </c>
      <c r="AE77" s="2" t="s">
        <v>635</v>
      </c>
      <c r="AF77">
        <v>0</v>
      </c>
      <c r="AG77" s="2" t="s">
        <v>635</v>
      </c>
      <c r="AH77" s="2" t="s">
        <v>827</v>
      </c>
      <c r="AI77">
        <v>0</v>
      </c>
      <c r="AJ77" s="2">
        <v>0</v>
      </c>
      <c r="AK77">
        <v>0</v>
      </c>
      <c r="AL77" s="2"/>
      <c r="AM77">
        <v>0</v>
      </c>
      <c r="AN77" s="2" t="s">
        <v>827</v>
      </c>
      <c r="AO77" s="2">
        <v>0</v>
      </c>
      <c r="AP77" s="2">
        <v>0</v>
      </c>
      <c r="AQ77" s="2" t="s">
        <v>635</v>
      </c>
      <c r="AR77" s="2" t="s">
        <v>76</v>
      </c>
      <c r="AS77" s="2" t="s">
        <v>11</v>
      </c>
      <c r="AT77" s="2" t="s">
        <v>331</v>
      </c>
      <c r="AU77" s="2" t="s">
        <v>884</v>
      </c>
      <c r="AV77" s="2" t="s">
        <v>635</v>
      </c>
      <c r="AW77" s="2" t="s">
        <v>635</v>
      </c>
      <c r="AX77" s="2" t="s">
        <v>73</v>
      </c>
      <c r="AY77" s="2" t="s">
        <v>885</v>
      </c>
      <c r="AZ77" s="2" t="s">
        <v>71</v>
      </c>
      <c r="BA77" s="2" t="s">
        <v>652</v>
      </c>
      <c r="BB77" s="2" t="s">
        <v>635</v>
      </c>
      <c r="BC77" s="2" t="s">
        <v>635</v>
      </c>
      <c r="BD77" s="2" t="s">
        <v>1001</v>
      </c>
      <c r="BE77" s="2" t="s">
        <v>635</v>
      </c>
      <c r="BF77" s="2" t="s">
        <v>635</v>
      </c>
      <c r="BG77" s="2" t="s">
        <v>635</v>
      </c>
      <c r="BH77" s="2" t="s">
        <v>635</v>
      </c>
      <c r="BI77" s="2" t="s">
        <v>635</v>
      </c>
      <c r="BJ77" s="2" t="s">
        <v>635</v>
      </c>
      <c r="BK77" s="2" t="s">
        <v>635</v>
      </c>
      <c r="BL77" s="2" t="s">
        <v>635</v>
      </c>
      <c r="BM77" s="2" t="s">
        <v>635</v>
      </c>
      <c r="BN77" s="2" t="s">
        <v>635</v>
      </c>
      <c r="BO77" s="2" t="s">
        <v>635</v>
      </c>
      <c r="BP77" s="2" t="s">
        <v>635</v>
      </c>
      <c r="BQ77" s="2" t="s">
        <v>635</v>
      </c>
      <c r="BR77" s="2" t="s">
        <v>635</v>
      </c>
      <c r="BS77" s="2" t="s">
        <v>635</v>
      </c>
      <c r="BT77" s="2" t="s">
        <v>635</v>
      </c>
      <c r="BU77" s="2" t="s">
        <v>635</v>
      </c>
      <c r="BV77" s="2" t="s">
        <v>635</v>
      </c>
      <c r="BW77" s="2" t="s">
        <v>635</v>
      </c>
      <c r="BX77" s="2" t="s">
        <v>635</v>
      </c>
      <c r="BY77" s="2" t="s">
        <v>635</v>
      </c>
      <c r="BZ77" s="2" t="s">
        <v>635</v>
      </c>
      <c r="CA77" s="2" t="s">
        <v>635</v>
      </c>
      <c r="CB77" s="2" t="s">
        <v>635</v>
      </c>
      <c r="CC77" s="2" t="s">
        <v>635</v>
      </c>
      <c r="CD77" s="2" t="s">
        <v>635</v>
      </c>
    </row>
    <row r="78" spans="1:82" x14ac:dyDescent="0.25">
      <c r="A78" s="2" t="s">
        <v>1002</v>
      </c>
      <c r="B78" s="2" t="s">
        <v>635</v>
      </c>
      <c r="C78" s="2" t="s">
        <v>865</v>
      </c>
      <c r="D78" s="2" t="s">
        <v>635</v>
      </c>
      <c r="E78" s="2" t="s">
        <v>635</v>
      </c>
      <c r="F78" s="2" t="s">
        <v>635</v>
      </c>
      <c r="G78" s="2" t="s">
        <v>72</v>
      </c>
      <c r="H78" s="2" t="s">
        <v>635</v>
      </c>
      <c r="I78" s="2" t="s">
        <v>1003</v>
      </c>
      <c r="J78" s="2" t="s">
        <v>23</v>
      </c>
      <c r="K78" s="2" t="s">
        <v>635</v>
      </c>
      <c r="L78" s="2"/>
      <c r="M78" s="2" t="s">
        <v>375</v>
      </c>
      <c r="N78" s="2" t="s">
        <v>72</v>
      </c>
      <c r="O78" s="2" t="s">
        <v>635</v>
      </c>
      <c r="P78" s="2" t="s">
        <v>635</v>
      </c>
      <c r="Q78" s="2" t="s">
        <v>1004</v>
      </c>
      <c r="S78" s="2" t="s">
        <v>74</v>
      </c>
      <c r="T78" s="2" t="s">
        <v>46</v>
      </c>
      <c r="U78" s="2" t="s">
        <v>1001</v>
      </c>
      <c r="V78" s="2" t="s">
        <v>635</v>
      </c>
      <c r="W78" s="2" t="s">
        <v>635</v>
      </c>
      <c r="X78" s="2" t="s">
        <v>635</v>
      </c>
      <c r="Y78" s="2" t="s">
        <v>635</v>
      </c>
      <c r="Z78" s="2"/>
      <c r="AA78" s="2" t="s">
        <v>635</v>
      </c>
      <c r="AB78" s="2" t="s">
        <v>635</v>
      </c>
      <c r="AD78" s="2" t="s">
        <v>635</v>
      </c>
      <c r="AE78" s="2" t="s">
        <v>635</v>
      </c>
      <c r="AG78" s="2" t="s">
        <v>635</v>
      </c>
      <c r="AH78" s="2" t="s">
        <v>635</v>
      </c>
      <c r="AJ78" s="2"/>
      <c r="AL78" s="2"/>
      <c r="AN78" s="2" t="s">
        <v>635</v>
      </c>
      <c r="AO78" s="2"/>
      <c r="AP78" s="2"/>
      <c r="AQ78" s="2" t="s">
        <v>635</v>
      </c>
      <c r="AR78" s="2" t="s">
        <v>635</v>
      </c>
      <c r="AS78" s="2" t="s">
        <v>635</v>
      </c>
      <c r="AT78" s="2" t="s">
        <v>635</v>
      </c>
      <c r="AU78" s="2" t="s">
        <v>635</v>
      </c>
      <c r="AV78" s="2" t="s">
        <v>635</v>
      </c>
      <c r="AW78" s="2" t="s">
        <v>635</v>
      </c>
      <c r="AX78" s="2" t="s">
        <v>635</v>
      </c>
      <c r="AY78" s="2" t="s">
        <v>635</v>
      </c>
      <c r="AZ78" s="2" t="s">
        <v>635</v>
      </c>
      <c r="BA78" s="2" t="s">
        <v>635</v>
      </c>
      <c r="BB78" s="2" t="s">
        <v>635</v>
      </c>
      <c r="BC78" s="2" t="s">
        <v>635</v>
      </c>
      <c r="BD78" s="2" t="s">
        <v>635</v>
      </c>
      <c r="BE78" s="2" t="s">
        <v>635</v>
      </c>
      <c r="BF78" s="2" t="s">
        <v>635</v>
      </c>
      <c r="BG78" s="2" t="s">
        <v>635</v>
      </c>
      <c r="BH78" s="2" t="s">
        <v>635</v>
      </c>
      <c r="BI78" s="2" t="s">
        <v>635</v>
      </c>
      <c r="BJ78" s="2" t="s">
        <v>635</v>
      </c>
      <c r="BK78" s="2" t="s">
        <v>635</v>
      </c>
      <c r="BL78" s="2" t="s">
        <v>635</v>
      </c>
      <c r="BM78" s="2" t="s">
        <v>635</v>
      </c>
      <c r="BN78" s="2" t="s">
        <v>635</v>
      </c>
      <c r="BO78" s="2" t="s">
        <v>635</v>
      </c>
      <c r="BP78" s="2" t="s">
        <v>635</v>
      </c>
      <c r="BQ78" s="2" t="s">
        <v>635</v>
      </c>
      <c r="BR78" s="2" t="s">
        <v>635</v>
      </c>
      <c r="BS78" s="2" t="s">
        <v>635</v>
      </c>
      <c r="BT78" s="2" t="s">
        <v>635</v>
      </c>
      <c r="BU78" s="2" t="s">
        <v>635</v>
      </c>
      <c r="BV78" s="2" t="s">
        <v>635</v>
      </c>
      <c r="BW78" s="2" t="s">
        <v>635</v>
      </c>
      <c r="BX78" s="2" t="s">
        <v>635</v>
      </c>
      <c r="BY78" s="2" t="s">
        <v>635</v>
      </c>
      <c r="BZ78" s="2" t="s">
        <v>635</v>
      </c>
      <c r="CA78" s="2" t="s">
        <v>635</v>
      </c>
      <c r="CB78" s="2" t="s">
        <v>635</v>
      </c>
      <c r="CC78" s="2" t="s">
        <v>635</v>
      </c>
      <c r="CD78" s="2" t="s">
        <v>635</v>
      </c>
    </row>
    <row r="79" spans="1:82" x14ac:dyDescent="0.25">
      <c r="A79" s="2" t="s">
        <v>1002</v>
      </c>
      <c r="B79" s="2" t="s">
        <v>865</v>
      </c>
      <c r="C79" s="2" t="s">
        <v>75</v>
      </c>
      <c r="D79" s="2" t="s">
        <v>6</v>
      </c>
      <c r="E79" s="2" t="s">
        <v>77</v>
      </c>
      <c r="F79" s="2" t="s">
        <v>1005</v>
      </c>
      <c r="G79" s="2" t="s">
        <v>635</v>
      </c>
      <c r="H79" s="2" t="s">
        <v>635</v>
      </c>
      <c r="I79" s="2" t="s">
        <v>635</v>
      </c>
      <c r="J79" s="2" t="s">
        <v>635</v>
      </c>
      <c r="K79" s="2" t="s">
        <v>635</v>
      </c>
      <c r="L79" s="2"/>
      <c r="M79" s="2" t="s">
        <v>635</v>
      </c>
      <c r="N79" s="2" t="s">
        <v>635</v>
      </c>
      <c r="O79" s="2" t="s">
        <v>635</v>
      </c>
      <c r="P79" s="2" t="s">
        <v>635</v>
      </c>
      <c r="Q79" s="2" t="s">
        <v>635</v>
      </c>
      <c r="S79" s="2" t="s">
        <v>635</v>
      </c>
      <c r="T79" s="2" t="s">
        <v>635</v>
      </c>
      <c r="U79" s="2" t="s">
        <v>635</v>
      </c>
      <c r="V79" s="2" t="s">
        <v>635</v>
      </c>
      <c r="W79" s="2" t="s">
        <v>635</v>
      </c>
      <c r="X79" s="2" t="s">
        <v>635</v>
      </c>
      <c r="Y79" s="2" t="s">
        <v>635</v>
      </c>
      <c r="Z79" s="2"/>
      <c r="AA79" s="2" t="s">
        <v>635</v>
      </c>
      <c r="AB79" s="2" t="s">
        <v>635</v>
      </c>
      <c r="AD79" s="2" t="s">
        <v>635</v>
      </c>
      <c r="AE79" s="2" t="s">
        <v>635</v>
      </c>
      <c r="AG79" s="2" t="s">
        <v>635</v>
      </c>
      <c r="AH79" s="2" t="s">
        <v>635</v>
      </c>
      <c r="AJ79" s="2"/>
      <c r="AL79" s="2"/>
      <c r="AN79" s="2" t="s">
        <v>635</v>
      </c>
      <c r="AO79" s="2"/>
      <c r="AP79" s="2"/>
      <c r="AQ79" s="2" t="s">
        <v>635</v>
      </c>
      <c r="AR79" s="2" t="s">
        <v>635</v>
      </c>
      <c r="AS79" s="2" t="s">
        <v>635</v>
      </c>
      <c r="AT79" s="2" t="s">
        <v>635</v>
      </c>
      <c r="AU79" s="2" t="s">
        <v>635</v>
      </c>
      <c r="AV79" s="2" t="s">
        <v>635</v>
      </c>
      <c r="AW79" s="2" t="s">
        <v>635</v>
      </c>
      <c r="AX79" s="2" t="s">
        <v>635</v>
      </c>
      <c r="AY79" s="2" t="s">
        <v>635</v>
      </c>
      <c r="AZ79" s="2" t="s">
        <v>635</v>
      </c>
      <c r="BA79" s="2" t="s">
        <v>635</v>
      </c>
      <c r="BB79" s="2" t="s">
        <v>635</v>
      </c>
      <c r="BC79" s="2" t="s">
        <v>635</v>
      </c>
      <c r="BD79" s="2" t="s">
        <v>635</v>
      </c>
      <c r="BE79" s="2" t="s">
        <v>635</v>
      </c>
      <c r="BF79" s="2" t="s">
        <v>635</v>
      </c>
      <c r="BG79" s="2" t="s">
        <v>635</v>
      </c>
      <c r="BH79" s="2" t="s">
        <v>635</v>
      </c>
      <c r="BI79" s="2" t="s">
        <v>635</v>
      </c>
      <c r="BJ79" s="2" t="s">
        <v>635</v>
      </c>
      <c r="BK79" s="2" t="s">
        <v>635</v>
      </c>
      <c r="BL79" s="2" t="s">
        <v>635</v>
      </c>
      <c r="BM79" s="2" t="s">
        <v>635</v>
      </c>
      <c r="BN79" s="2" t="s">
        <v>635</v>
      </c>
      <c r="BO79" s="2" t="s">
        <v>635</v>
      </c>
      <c r="BP79" s="2" t="s">
        <v>635</v>
      </c>
      <c r="BQ79" s="2" t="s">
        <v>635</v>
      </c>
      <c r="BR79" s="2" t="s">
        <v>635</v>
      </c>
      <c r="BS79" s="2" t="s">
        <v>635</v>
      </c>
      <c r="BT79" s="2" t="s">
        <v>635</v>
      </c>
      <c r="BU79" s="2" t="s">
        <v>635</v>
      </c>
      <c r="BV79" s="2" t="s">
        <v>635</v>
      </c>
      <c r="BW79" s="2" t="s">
        <v>635</v>
      </c>
      <c r="BX79" s="2" t="s">
        <v>635</v>
      </c>
      <c r="BY79" s="2" t="s">
        <v>635</v>
      </c>
      <c r="BZ79" s="2" t="s">
        <v>635</v>
      </c>
      <c r="CA79" s="2" t="s">
        <v>635</v>
      </c>
      <c r="CB79" s="2" t="s">
        <v>635</v>
      </c>
      <c r="CC79" s="2" t="s">
        <v>635</v>
      </c>
      <c r="CD79" s="2" t="s">
        <v>635</v>
      </c>
    </row>
    <row r="80" spans="1:82" x14ac:dyDescent="0.25">
      <c r="A80" s="2" t="s">
        <v>432</v>
      </c>
      <c r="B80" s="2" t="s">
        <v>433</v>
      </c>
      <c r="C80" s="2" t="s">
        <v>635</v>
      </c>
      <c r="D80" s="2" t="s">
        <v>635</v>
      </c>
      <c r="E80" s="2" t="s">
        <v>328</v>
      </c>
      <c r="F80" s="2" t="s">
        <v>635</v>
      </c>
      <c r="G80" s="2" t="s">
        <v>330</v>
      </c>
      <c r="H80" s="2" t="s">
        <v>635</v>
      </c>
      <c r="I80" s="2" t="s">
        <v>18</v>
      </c>
      <c r="J80" s="2" t="s">
        <v>635</v>
      </c>
      <c r="K80" s="2" t="s">
        <v>635</v>
      </c>
      <c r="L80" s="2"/>
      <c r="M80" s="2" t="s">
        <v>635</v>
      </c>
      <c r="N80" s="2" t="s">
        <v>635</v>
      </c>
      <c r="O80" s="2" t="s">
        <v>1006</v>
      </c>
      <c r="P80" s="2" t="s">
        <v>635</v>
      </c>
      <c r="Q80" s="2" t="s">
        <v>635</v>
      </c>
      <c r="S80" s="2" t="s">
        <v>635</v>
      </c>
      <c r="T80" s="2" t="s">
        <v>635</v>
      </c>
      <c r="U80" s="2" t="s">
        <v>35</v>
      </c>
      <c r="V80" s="2" t="s">
        <v>635</v>
      </c>
      <c r="W80" s="2" t="s">
        <v>635</v>
      </c>
      <c r="X80" s="2" t="s">
        <v>635</v>
      </c>
      <c r="Y80" s="2" t="s">
        <v>826</v>
      </c>
      <c r="Z80" s="2"/>
      <c r="AA80" s="2" t="s">
        <v>635</v>
      </c>
      <c r="AB80" s="2" t="s">
        <v>635</v>
      </c>
      <c r="AC80">
        <v>1</v>
      </c>
      <c r="AD80" s="2" t="s">
        <v>678</v>
      </c>
      <c r="AE80" s="2" t="s">
        <v>635</v>
      </c>
      <c r="AF80">
        <v>0</v>
      </c>
      <c r="AG80" s="2" t="s">
        <v>635</v>
      </c>
      <c r="AH80" s="2" t="s">
        <v>827</v>
      </c>
      <c r="AI80">
        <v>0</v>
      </c>
      <c r="AJ80" s="2">
        <v>0</v>
      </c>
      <c r="AK80">
        <v>0</v>
      </c>
      <c r="AL80" s="2"/>
      <c r="AM80">
        <v>1</v>
      </c>
      <c r="AN80" s="2" t="s">
        <v>827</v>
      </c>
      <c r="AO80" s="2">
        <v>0</v>
      </c>
      <c r="AP80" s="2">
        <v>0</v>
      </c>
      <c r="AQ80" s="2" t="s">
        <v>635</v>
      </c>
      <c r="AR80" s="2" t="s">
        <v>635</v>
      </c>
      <c r="AS80" s="2" t="s">
        <v>11</v>
      </c>
      <c r="AT80" s="2" t="s">
        <v>331</v>
      </c>
      <c r="AU80" s="2" t="s">
        <v>635</v>
      </c>
      <c r="AV80" s="2" t="s">
        <v>635</v>
      </c>
      <c r="AW80" s="2" t="s">
        <v>635</v>
      </c>
      <c r="AX80" s="2" t="s">
        <v>635</v>
      </c>
      <c r="AY80" s="2" t="s">
        <v>1007</v>
      </c>
      <c r="AZ80" s="2" t="s">
        <v>87</v>
      </c>
      <c r="BA80" s="2" t="s">
        <v>653</v>
      </c>
      <c r="BB80" s="2" t="s">
        <v>635</v>
      </c>
      <c r="BC80" s="2" t="s">
        <v>635</v>
      </c>
      <c r="BD80" s="2" t="s">
        <v>635</v>
      </c>
      <c r="BE80" s="2" t="s">
        <v>635</v>
      </c>
      <c r="BF80" s="2" t="s">
        <v>635</v>
      </c>
      <c r="BG80" s="2" t="s">
        <v>635</v>
      </c>
      <c r="BH80" s="2" t="s">
        <v>635</v>
      </c>
      <c r="BI80" s="2" t="s">
        <v>635</v>
      </c>
      <c r="BJ80" s="2" t="s">
        <v>1008</v>
      </c>
      <c r="BK80" s="2" t="s">
        <v>18</v>
      </c>
      <c r="BL80" s="2" t="s">
        <v>635</v>
      </c>
      <c r="BM80" s="2" t="s">
        <v>14</v>
      </c>
      <c r="BN80" s="2" t="s">
        <v>635</v>
      </c>
      <c r="BO80" s="2" t="s">
        <v>635</v>
      </c>
      <c r="BP80" s="2" t="s">
        <v>635</v>
      </c>
      <c r="BQ80" s="2" t="s">
        <v>88</v>
      </c>
      <c r="BR80" s="2" t="s">
        <v>635</v>
      </c>
      <c r="BS80" s="2" t="s">
        <v>635</v>
      </c>
      <c r="BT80" s="2" t="s">
        <v>1009</v>
      </c>
      <c r="BU80" s="2" t="s">
        <v>635</v>
      </c>
      <c r="BV80" s="2" t="s">
        <v>87</v>
      </c>
      <c r="BW80" s="2" t="s">
        <v>89</v>
      </c>
      <c r="BX80" s="2" t="s">
        <v>91</v>
      </c>
      <c r="BY80" s="2" t="s">
        <v>635</v>
      </c>
      <c r="BZ80" s="2" t="s">
        <v>90</v>
      </c>
      <c r="CA80" s="2" t="s">
        <v>69</v>
      </c>
      <c r="CB80" s="2" t="s">
        <v>92</v>
      </c>
      <c r="CC80" s="2" t="s">
        <v>1010</v>
      </c>
      <c r="CD80" s="2" t="s">
        <v>635</v>
      </c>
    </row>
    <row r="81" spans="1:82" x14ac:dyDescent="0.25">
      <c r="A81" s="2" t="s">
        <v>434</v>
      </c>
      <c r="B81" s="2" t="s">
        <v>435</v>
      </c>
      <c r="C81" s="2" t="s">
        <v>635</v>
      </c>
      <c r="D81" s="2" t="s">
        <v>635</v>
      </c>
      <c r="E81" s="2" t="s">
        <v>336</v>
      </c>
      <c r="F81" s="2" t="s">
        <v>329</v>
      </c>
      <c r="G81" s="2" t="s">
        <v>330</v>
      </c>
      <c r="H81" s="2" t="s">
        <v>635</v>
      </c>
      <c r="I81" s="2" t="s">
        <v>64</v>
      </c>
      <c r="J81" s="2" t="s">
        <v>635</v>
      </c>
      <c r="K81" s="2" t="s">
        <v>64</v>
      </c>
      <c r="L81" s="2"/>
      <c r="M81" s="2" t="s">
        <v>635</v>
      </c>
      <c r="N81" s="2" t="s">
        <v>1011</v>
      </c>
      <c r="O81" s="2" t="s">
        <v>1012</v>
      </c>
      <c r="P81" s="2" t="s">
        <v>635</v>
      </c>
      <c r="Q81" s="2" t="s">
        <v>635</v>
      </c>
      <c r="S81" s="2" t="s">
        <v>635</v>
      </c>
      <c r="T81" s="2" t="s">
        <v>635</v>
      </c>
      <c r="U81" s="2" t="s">
        <v>13</v>
      </c>
      <c r="V81" s="2" t="s">
        <v>635</v>
      </c>
      <c r="W81" s="2" t="s">
        <v>635</v>
      </c>
      <c r="X81" s="2" t="s">
        <v>635</v>
      </c>
      <c r="Y81" s="2" t="s">
        <v>896</v>
      </c>
      <c r="Z81" s="2"/>
      <c r="AA81" s="2" t="s">
        <v>635</v>
      </c>
      <c r="AB81" s="2" t="s">
        <v>635</v>
      </c>
      <c r="AC81">
        <v>0</v>
      </c>
      <c r="AD81" s="2" t="s">
        <v>678</v>
      </c>
      <c r="AE81" s="2" t="s">
        <v>635</v>
      </c>
      <c r="AF81">
        <v>0</v>
      </c>
      <c r="AG81" s="2" t="s">
        <v>635</v>
      </c>
      <c r="AH81" s="2" t="s">
        <v>827</v>
      </c>
      <c r="AI81">
        <v>0</v>
      </c>
      <c r="AJ81" s="2">
        <v>0</v>
      </c>
      <c r="AK81">
        <v>0</v>
      </c>
      <c r="AL81" s="2"/>
      <c r="AM81">
        <v>1</v>
      </c>
      <c r="AN81" s="2" t="s">
        <v>827</v>
      </c>
      <c r="AO81" s="2">
        <v>0</v>
      </c>
      <c r="AP81" s="2">
        <v>0</v>
      </c>
      <c r="AQ81" s="2" t="s">
        <v>635</v>
      </c>
      <c r="AR81" s="2" t="s">
        <v>126</v>
      </c>
      <c r="AS81" s="2" t="s">
        <v>11</v>
      </c>
      <c r="AT81" s="2" t="s">
        <v>331</v>
      </c>
      <c r="AU81" s="2" t="s">
        <v>635</v>
      </c>
      <c r="AV81" s="2" t="s">
        <v>635</v>
      </c>
      <c r="AW81" s="2" t="s">
        <v>635</v>
      </c>
      <c r="AX81" s="2" t="s">
        <v>123</v>
      </c>
      <c r="AY81" s="2" t="s">
        <v>904</v>
      </c>
      <c r="AZ81" s="2" t="s">
        <v>121</v>
      </c>
      <c r="BA81" s="2" t="s">
        <v>436</v>
      </c>
      <c r="BB81" s="2" t="s">
        <v>635</v>
      </c>
      <c r="BC81" s="2" t="s">
        <v>1013</v>
      </c>
      <c r="BD81" s="2" t="s">
        <v>635</v>
      </c>
      <c r="BE81" s="2" t="s">
        <v>635</v>
      </c>
      <c r="BF81" s="2" t="s">
        <v>678</v>
      </c>
      <c r="BG81" s="2" t="s">
        <v>635</v>
      </c>
      <c r="BH81" s="2" t="s">
        <v>635</v>
      </c>
      <c r="BI81" s="2" t="s">
        <v>635</v>
      </c>
      <c r="BJ81" s="2" t="s">
        <v>437</v>
      </c>
      <c r="BK81" s="2" t="s">
        <v>635</v>
      </c>
      <c r="BL81" s="2" t="s">
        <v>635</v>
      </c>
      <c r="BM81" s="2" t="s">
        <v>14</v>
      </c>
      <c r="BN81" s="2" t="s">
        <v>635</v>
      </c>
      <c r="BO81" s="2" t="s">
        <v>635</v>
      </c>
      <c r="BP81" s="2" t="s">
        <v>635</v>
      </c>
      <c r="BQ81" s="2" t="s">
        <v>122</v>
      </c>
      <c r="BR81" s="2" t="s">
        <v>635</v>
      </c>
      <c r="BS81" s="2" t="s">
        <v>635</v>
      </c>
      <c r="BT81" s="2" t="s">
        <v>1014</v>
      </c>
      <c r="BU81" s="2" t="s">
        <v>635</v>
      </c>
      <c r="BV81" s="2" t="s">
        <v>124</v>
      </c>
      <c r="BW81" s="2" t="s">
        <v>635</v>
      </c>
      <c r="BX81" s="2" t="s">
        <v>1015</v>
      </c>
      <c r="BY81" s="2" t="s">
        <v>635</v>
      </c>
      <c r="BZ81" s="2" t="s">
        <v>635</v>
      </c>
      <c r="CA81" s="2" t="s">
        <v>635</v>
      </c>
      <c r="CB81" s="2" t="s">
        <v>635</v>
      </c>
      <c r="CC81" s="2" t="s">
        <v>635</v>
      </c>
      <c r="CD81" s="2" t="s">
        <v>635</v>
      </c>
    </row>
    <row r="82" spans="1:82" x14ac:dyDescent="0.25">
      <c r="A82" s="2" t="s">
        <v>1016</v>
      </c>
      <c r="B82" s="2" t="s">
        <v>678</v>
      </c>
      <c r="C82" s="2" t="s">
        <v>125</v>
      </c>
      <c r="D82" s="2" t="s">
        <v>6</v>
      </c>
      <c r="E82" s="2" t="s">
        <v>127</v>
      </c>
      <c r="F82" s="2" t="s">
        <v>635</v>
      </c>
      <c r="G82" s="2" t="s">
        <v>635</v>
      </c>
      <c r="H82" s="2" t="s">
        <v>635</v>
      </c>
      <c r="I82" s="2" t="s">
        <v>635</v>
      </c>
      <c r="J82" s="2" t="s">
        <v>635</v>
      </c>
      <c r="K82" s="2" t="s">
        <v>635</v>
      </c>
      <c r="L82" s="2"/>
      <c r="M82" s="2" t="s">
        <v>635</v>
      </c>
      <c r="N82" s="2" t="s">
        <v>635</v>
      </c>
      <c r="O82" s="2" t="s">
        <v>635</v>
      </c>
      <c r="P82" s="2" t="s">
        <v>635</v>
      </c>
      <c r="Q82" s="2" t="s">
        <v>635</v>
      </c>
      <c r="S82" s="2" t="s">
        <v>635</v>
      </c>
      <c r="T82" s="2" t="s">
        <v>635</v>
      </c>
      <c r="U82" s="2" t="s">
        <v>635</v>
      </c>
      <c r="V82" s="2" t="s">
        <v>635</v>
      </c>
      <c r="W82" s="2" t="s">
        <v>635</v>
      </c>
      <c r="X82" s="2" t="s">
        <v>635</v>
      </c>
      <c r="Y82" s="2" t="s">
        <v>635</v>
      </c>
      <c r="Z82" s="2"/>
      <c r="AA82" s="2" t="s">
        <v>635</v>
      </c>
      <c r="AB82" s="2" t="s">
        <v>635</v>
      </c>
      <c r="AD82" s="2" t="s">
        <v>635</v>
      </c>
      <c r="AE82" s="2" t="s">
        <v>635</v>
      </c>
      <c r="AG82" s="2" t="s">
        <v>635</v>
      </c>
      <c r="AH82" s="2" t="s">
        <v>635</v>
      </c>
      <c r="AJ82" s="2"/>
      <c r="AL82" s="2"/>
      <c r="AN82" s="2" t="s">
        <v>635</v>
      </c>
      <c r="AO82" s="2"/>
      <c r="AP82" s="2"/>
      <c r="AQ82" s="2" t="s">
        <v>635</v>
      </c>
      <c r="AR82" s="2" t="s">
        <v>635</v>
      </c>
      <c r="AS82" s="2" t="s">
        <v>635</v>
      </c>
      <c r="AT82" s="2" t="s">
        <v>635</v>
      </c>
      <c r="AU82" s="2" t="s">
        <v>635</v>
      </c>
      <c r="AV82" s="2" t="s">
        <v>635</v>
      </c>
      <c r="AW82" s="2" t="s">
        <v>635</v>
      </c>
      <c r="AX82" s="2" t="s">
        <v>635</v>
      </c>
      <c r="AY82" s="2" t="s">
        <v>635</v>
      </c>
      <c r="AZ82" s="2" t="s">
        <v>635</v>
      </c>
      <c r="BA82" s="2" t="s">
        <v>635</v>
      </c>
      <c r="BB82" s="2" t="s">
        <v>635</v>
      </c>
      <c r="BC82" s="2" t="s">
        <v>635</v>
      </c>
      <c r="BD82" s="2" t="s">
        <v>635</v>
      </c>
      <c r="BE82" s="2" t="s">
        <v>635</v>
      </c>
      <c r="BF82" s="2" t="s">
        <v>635</v>
      </c>
      <c r="BG82" s="2" t="s">
        <v>635</v>
      </c>
      <c r="BH82" s="2" t="s">
        <v>635</v>
      </c>
      <c r="BI82" s="2" t="s">
        <v>635</v>
      </c>
      <c r="BJ82" s="2" t="s">
        <v>635</v>
      </c>
      <c r="BK82" s="2" t="s">
        <v>635</v>
      </c>
      <c r="BL82" s="2" t="s">
        <v>635</v>
      </c>
      <c r="BM82" s="2" t="s">
        <v>635</v>
      </c>
      <c r="BN82" s="2" t="s">
        <v>635</v>
      </c>
      <c r="BO82" s="2" t="s">
        <v>635</v>
      </c>
      <c r="BP82" s="2" t="s">
        <v>635</v>
      </c>
      <c r="BQ82" s="2" t="s">
        <v>635</v>
      </c>
      <c r="BR82" s="2" t="s">
        <v>635</v>
      </c>
      <c r="BS82" s="2" t="s">
        <v>635</v>
      </c>
      <c r="BT82" s="2" t="s">
        <v>635</v>
      </c>
      <c r="BU82" s="2" t="s">
        <v>635</v>
      </c>
      <c r="BV82" s="2" t="s">
        <v>635</v>
      </c>
      <c r="BW82" s="2" t="s">
        <v>635</v>
      </c>
      <c r="BX82" s="2" t="s">
        <v>635</v>
      </c>
      <c r="BY82" s="2" t="s">
        <v>635</v>
      </c>
      <c r="BZ82" s="2" t="s">
        <v>635</v>
      </c>
      <c r="CA82" s="2" t="s">
        <v>635</v>
      </c>
      <c r="CB82" s="2" t="s">
        <v>635</v>
      </c>
      <c r="CC82" s="2" t="s">
        <v>635</v>
      </c>
      <c r="CD82" s="2" t="s">
        <v>635</v>
      </c>
    </row>
    <row r="83" spans="1:82" x14ac:dyDescent="0.25">
      <c r="A83" s="2" t="s">
        <v>438</v>
      </c>
      <c r="B83" s="2" t="s">
        <v>439</v>
      </c>
      <c r="C83" s="2" t="s">
        <v>635</v>
      </c>
      <c r="D83" s="2" t="s">
        <v>635</v>
      </c>
      <c r="E83" s="2" t="s">
        <v>346</v>
      </c>
      <c r="F83" s="2" t="s">
        <v>329</v>
      </c>
      <c r="G83" s="2" t="s">
        <v>330</v>
      </c>
      <c r="H83" s="2" t="s">
        <v>635</v>
      </c>
      <c r="I83" s="2" t="s">
        <v>7</v>
      </c>
      <c r="J83" s="2" t="s">
        <v>635</v>
      </c>
      <c r="K83" s="2" t="s">
        <v>7</v>
      </c>
      <c r="L83" s="2"/>
      <c r="M83" s="2" t="s">
        <v>635</v>
      </c>
      <c r="N83" s="2" t="s">
        <v>1017</v>
      </c>
      <c r="O83" s="2" t="s">
        <v>1007</v>
      </c>
      <c r="P83" s="2" t="s">
        <v>635</v>
      </c>
      <c r="Q83" s="2" t="s">
        <v>635</v>
      </c>
      <c r="S83" s="2" t="s">
        <v>635</v>
      </c>
      <c r="T83" s="2" t="s">
        <v>635</v>
      </c>
      <c r="U83" s="2" t="s">
        <v>13</v>
      </c>
      <c r="V83" s="2" t="s">
        <v>635</v>
      </c>
      <c r="W83" s="2" t="s">
        <v>1018</v>
      </c>
      <c r="X83" s="2" t="s">
        <v>635</v>
      </c>
      <c r="Y83" s="2" t="s">
        <v>635</v>
      </c>
      <c r="Z83" s="2"/>
      <c r="AA83" s="2" t="s">
        <v>635</v>
      </c>
      <c r="AB83" s="2" t="s">
        <v>635</v>
      </c>
      <c r="AD83" s="2" t="s">
        <v>635</v>
      </c>
      <c r="AE83" s="2" t="s">
        <v>635</v>
      </c>
      <c r="AG83" s="2" t="s">
        <v>635</v>
      </c>
      <c r="AH83" s="2" t="s">
        <v>635</v>
      </c>
      <c r="AJ83" s="2"/>
      <c r="AL83" s="2"/>
      <c r="AN83" s="2" t="s">
        <v>635</v>
      </c>
      <c r="AO83" s="2"/>
      <c r="AP83" s="2"/>
      <c r="AQ83" s="2" t="s">
        <v>635</v>
      </c>
      <c r="AR83" s="2" t="s">
        <v>635</v>
      </c>
      <c r="AS83" s="2" t="s">
        <v>635</v>
      </c>
      <c r="AT83" s="2" t="s">
        <v>635</v>
      </c>
      <c r="AU83" s="2" t="s">
        <v>635</v>
      </c>
      <c r="AV83" s="2" t="s">
        <v>635</v>
      </c>
      <c r="AW83" s="2" t="s">
        <v>635</v>
      </c>
      <c r="AX83" s="2" t="s">
        <v>635</v>
      </c>
      <c r="AY83" s="2" t="s">
        <v>635</v>
      </c>
      <c r="AZ83" s="2" t="s">
        <v>635</v>
      </c>
      <c r="BA83" s="2" t="s">
        <v>635</v>
      </c>
      <c r="BB83" s="2" t="s">
        <v>635</v>
      </c>
      <c r="BC83" s="2" t="s">
        <v>635</v>
      </c>
      <c r="BD83" s="2" t="s">
        <v>635</v>
      </c>
      <c r="BE83" s="2" t="s">
        <v>635</v>
      </c>
      <c r="BF83" s="2" t="s">
        <v>635</v>
      </c>
      <c r="BG83" s="2" t="s">
        <v>635</v>
      </c>
      <c r="BH83" s="2" t="s">
        <v>635</v>
      </c>
      <c r="BI83" s="2" t="s">
        <v>635</v>
      </c>
      <c r="BJ83" s="2" t="s">
        <v>635</v>
      </c>
      <c r="BK83" s="2" t="s">
        <v>635</v>
      </c>
      <c r="BL83" s="2" t="s">
        <v>635</v>
      </c>
      <c r="BM83" s="2" t="s">
        <v>635</v>
      </c>
      <c r="BN83" s="2" t="s">
        <v>635</v>
      </c>
      <c r="BO83" s="2" t="s">
        <v>635</v>
      </c>
      <c r="BP83" s="2" t="s">
        <v>635</v>
      </c>
      <c r="BQ83" s="2" t="s">
        <v>635</v>
      </c>
      <c r="BR83" s="2" t="s">
        <v>635</v>
      </c>
      <c r="BS83" s="2" t="s">
        <v>635</v>
      </c>
      <c r="BT83" s="2" t="s">
        <v>635</v>
      </c>
      <c r="BU83" s="2" t="s">
        <v>635</v>
      </c>
      <c r="BV83" s="2" t="s">
        <v>635</v>
      </c>
      <c r="BW83" s="2" t="s">
        <v>635</v>
      </c>
      <c r="BX83" s="2" t="s">
        <v>635</v>
      </c>
      <c r="BY83" s="2" t="s">
        <v>635</v>
      </c>
      <c r="BZ83" s="2" t="s">
        <v>635</v>
      </c>
      <c r="CA83" s="2" t="s">
        <v>635</v>
      </c>
      <c r="CB83" s="2" t="s">
        <v>635</v>
      </c>
      <c r="CC83" s="2" t="s">
        <v>635</v>
      </c>
      <c r="CD83" s="2" t="s">
        <v>635</v>
      </c>
    </row>
    <row r="84" spans="1:82" x14ac:dyDescent="0.25">
      <c r="A84" s="2" t="s">
        <v>1019</v>
      </c>
      <c r="B84" s="2" t="s">
        <v>635</v>
      </c>
      <c r="C84" s="2" t="s">
        <v>896</v>
      </c>
      <c r="D84" s="2" t="s">
        <v>635</v>
      </c>
      <c r="E84" s="2" t="s">
        <v>635</v>
      </c>
      <c r="F84" s="2" t="s">
        <v>635</v>
      </c>
      <c r="G84" s="2" t="s">
        <v>827</v>
      </c>
      <c r="H84" s="2" t="s">
        <v>678</v>
      </c>
      <c r="I84" s="2" t="s">
        <v>635</v>
      </c>
      <c r="J84" s="2" t="s">
        <v>827</v>
      </c>
      <c r="K84" s="2" t="s">
        <v>635</v>
      </c>
      <c r="L84" s="2">
        <v>0</v>
      </c>
      <c r="M84" s="2" t="s">
        <v>827</v>
      </c>
      <c r="N84" s="2" t="s">
        <v>827</v>
      </c>
      <c r="O84" s="2" t="s">
        <v>827</v>
      </c>
      <c r="P84" s="2" t="s">
        <v>635</v>
      </c>
      <c r="Q84" s="2" t="s">
        <v>827</v>
      </c>
      <c r="R84">
        <v>0</v>
      </c>
      <c r="S84" s="2" t="s">
        <v>827</v>
      </c>
      <c r="T84" s="2" t="s">
        <v>827</v>
      </c>
      <c r="U84" s="2" t="s">
        <v>635</v>
      </c>
      <c r="V84" s="2" t="s">
        <v>290</v>
      </c>
      <c r="W84" s="2" t="s">
        <v>11</v>
      </c>
      <c r="X84" s="2" t="s">
        <v>331</v>
      </c>
      <c r="Y84" s="2" t="s">
        <v>635</v>
      </c>
      <c r="Z84" s="2"/>
      <c r="AA84" s="2" t="s">
        <v>635</v>
      </c>
      <c r="AB84" s="2" t="s">
        <v>140</v>
      </c>
      <c r="AC84">
        <v>40</v>
      </c>
      <c r="AD84" s="2" t="s">
        <v>286</v>
      </c>
      <c r="AE84" s="2" t="s">
        <v>654</v>
      </c>
      <c r="AG84" s="2" t="s">
        <v>635</v>
      </c>
      <c r="AH84" s="2" t="s">
        <v>440</v>
      </c>
      <c r="AJ84" s="2">
        <v>3</v>
      </c>
      <c r="AL84" s="2"/>
      <c r="AN84" s="2" t="s">
        <v>441</v>
      </c>
      <c r="AO84" s="2"/>
      <c r="AP84" s="2"/>
      <c r="AQ84" s="2" t="s">
        <v>14</v>
      </c>
      <c r="AR84" s="2" t="s">
        <v>635</v>
      </c>
      <c r="AS84" s="2" t="s">
        <v>635</v>
      </c>
      <c r="AT84" s="2" t="s">
        <v>635</v>
      </c>
      <c r="AU84" s="2" t="s">
        <v>287</v>
      </c>
      <c r="AV84" s="2" t="s">
        <v>635</v>
      </c>
      <c r="AW84" s="2" t="s">
        <v>635</v>
      </c>
      <c r="AX84" s="2" t="s">
        <v>1020</v>
      </c>
      <c r="AY84" s="2" t="s">
        <v>635</v>
      </c>
      <c r="AZ84" s="2" t="s">
        <v>288</v>
      </c>
      <c r="BA84" s="2" t="s">
        <v>635</v>
      </c>
      <c r="BB84" s="2" t="s">
        <v>291</v>
      </c>
      <c r="BC84" s="2" t="s">
        <v>865</v>
      </c>
      <c r="BD84" s="2" t="s">
        <v>289</v>
      </c>
      <c r="BE84" s="2" t="s">
        <v>6</v>
      </c>
      <c r="BF84" s="2" t="s">
        <v>292</v>
      </c>
      <c r="BG84" s="2" t="s">
        <v>635</v>
      </c>
      <c r="BH84" s="2" t="s">
        <v>635</v>
      </c>
      <c r="BI84" s="2" t="s">
        <v>635</v>
      </c>
      <c r="BJ84" s="2" t="s">
        <v>635</v>
      </c>
      <c r="BK84" s="2" t="s">
        <v>635</v>
      </c>
      <c r="BL84" s="2" t="s">
        <v>635</v>
      </c>
      <c r="BM84" s="2" t="s">
        <v>635</v>
      </c>
      <c r="BN84" s="2" t="s">
        <v>635</v>
      </c>
      <c r="BO84" s="2" t="s">
        <v>635</v>
      </c>
      <c r="BP84" s="2" t="s">
        <v>635</v>
      </c>
      <c r="BQ84" s="2" t="s">
        <v>635</v>
      </c>
      <c r="BR84" s="2" t="s">
        <v>635</v>
      </c>
      <c r="BS84" s="2" t="s">
        <v>635</v>
      </c>
      <c r="BT84" s="2" t="s">
        <v>635</v>
      </c>
      <c r="BU84" s="2" t="s">
        <v>635</v>
      </c>
      <c r="BV84" s="2" t="s">
        <v>635</v>
      </c>
      <c r="BW84" s="2" t="s">
        <v>635</v>
      </c>
      <c r="BX84" s="2" t="s">
        <v>635</v>
      </c>
      <c r="BY84" s="2" t="s">
        <v>635</v>
      </c>
      <c r="BZ84" s="2" t="s">
        <v>635</v>
      </c>
      <c r="CA84" s="2" t="s">
        <v>635</v>
      </c>
      <c r="CB84" s="2" t="s">
        <v>635</v>
      </c>
      <c r="CC84" s="2" t="s">
        <v>635</v>
      </c>
      <c r="CD84" s="2" t="s">
        <v>635</v>
      </c>
    </row>
    <row r="85" spans="1:82" x14ac:dyDescent="0.25">
      <c r="A85" s="2" t="s">
        <v>442</v>
      </c>
      <c r="B85" s="2" t="s">
        <v>443</v>
      </c>
      <c r="C85" s="2" t="s">
        <v>635</v>
      </c>
      <c r="D85" s="2" t="s">
        <v>635</v>
      </c>
      <c r="E85" s="2" t="s">
        <v>336</v>
      </c>
      <c r="F85" s="2" t="s">
        <v>635</v>
      </c>
      <c r="G85" s="2" t="s">
        <v>330</v>
      </c>
      <c r="H85" s="2" t="s">
        <v>635</v>
      </c>
      <c r="I85" s="2" t="s">
        <v>64</v>
      </c>
      <c r="J85" s="2" t="s">
        <v>635</v>
      </c>
      <c r="K85" s="2" t="s">
        <v>64</v>
      </c>
      <c r="L85" s="2"/>
      <c r="M85" s="2" t="s">
        <v>635</v>
      </c>
      <c r="N85" s="2" t="s">
        <v>1021</v>
      </c>
      <c r="O85" s="2" t="s">
        <v>1022</v>
      </c>
      <c r="P85" s="2" t="s">
        <v>635</v>
      </c>
      <c r="Q85" s="2" t="s">
        <v>635</v>
      </c>
      <c r="S85" s="2" t="s">
        <v>635</v>
      </c>
      <c r="T85" s="2" t="s">
        <v>635</v>
      </c>
      <c r="U85" s="2" t="s">
        <v>51</v>
      </c>
      <c r="V85" s="2" t="s">
        <v>635</v>
      </c>
      <c r="W85" s="2" t="s">
        <v>1023</v>
      </c>
      <c r="X85" s="2" t="s">
        <v>635</v>
      </c>
      <c r="Y85" s="2" t="s">
        <v>869</v>
      </c>
      <c r="Z85" s="2"/>
      <c r="AA85" s="2" t="s">
        <v>635</v>
      </c>
      <c r="AB85" s="2" t="s">
        <v>635</v>
      </c>
      <c r="AC85">
        <v>1</v>
      </c>
      <c r="AD85" s="2" t="s">
        <v>827</v>
      </c>
      <c r="AE85" s="2" t="s">
        <v>635</v>
      </c>
      <c r="AF85">
        <v>0</v>
      </c>
      <c r="AG85" s="2" t="s">
        <v>635</v>
      </c>
      <c r="AH85" s="2" t="s">
        <v>827</v>
      </c>
      <c r="AI85">
        <v>0</v>
      </c>
      <c r="AJ85" s="2">
        <v>0</v>
      </c>
      <c r="AK85">
        <v>1</v>
      </c>
      <c r="AL85" s="2"/>
      <c r="AM85">
        <v>1</v>
      </c>
      <c r="AN85" s="2" t="s">
        <v>827</v>
      </c>
      <c r="AO85" s="2">
        <v>0</v>
      </c>
      <c r="AP85" s="2">
        <v>0</v>
      </c>
      <c r="AQ85" s="2" t="s">
        <v>635</v>
      </c>
      <c r="AR85" s="2" t="s">
        <v>184</v>
      </c>
      <c r="AS85" s="2" t="s">
        <v>11</v>
      </c>
      <c r="AT85" s="2" t="s">
        <v>331</v>
      </c>
      <c r="AU85" s="2" t="s">
        <v>635</v>
      </c>
      <c r="AV85" s="2" t="s">
        <v>635</v>
      </c>
      <c r="AW85" s="2" t="s">
        <v>635</v>
      </c>
      <c r="AX85" s="2" t="s">
        <v>222</v>
      </c>
      <c r="AY85" s="2" t="s">
        <v>926</v>
      </c>
      <c r="AZ85" s="2" t="s">
        <v>220</v>
      </c>
      <c r="BA85" s="2" t="s">
        <v>444</v>
      </c>
      <c r="BB85" s="2" t="s">
        <v>635</v>
      </c>
      <c r="BC85" s="2" t="s">
        <v>1024</v>
      </c>
      <c r="BD85" s="2" t="s">
        <v>635</v>
      </c>
      <c r="BE85" s="2" t="s">
        <v>635</v>
      </c>
      <c r="BF85" s="2" t="s">
        <v>837</v>
      </c>
      <c r="BG85" s="2" t="s">
        <v>635</v>
      </c>
      <c r="BH85" s="2" t="s">
        <v>635</v>
      </c>
      <c r="BI85" s="2" t="s">
        <v>635</v>
      </c>
      <c r="BJ85" s="2" t="s">
        <v>445</v>
      </c>
      <c r="BK85" s="2" t="s">
        <v>635</v>
      </c>
      <c r="BL85" s="2" t="s">
        <v>446</v>
      </c>
      <c r="BM85" s="2" t="s">
        <v>52</v>
      </c>
      <c r="BN85" s="2" t="s">
        <v>635</v>
      </c>
      <c r="BO85" s="2" t="s">
        <v>635</v>
      </c>
      <c r="BP85" s="2" t="s">
        <v>635</v>
      </c>
      <c r="BQ85" s="2" t="s">
        <v>221</v>
      </c>
      <c r="BR85" s="2" t="s">
        <v>635</v>
      </c>
      <c r="BS85" s="2" t="s">
        <v>635</v>
      </c>
      <c r="BT85" s="2" t="s">
        <v>838</v>
      </c>
      <c r="BU85" s="2" t="s">
        <v>635</v>
      </c>
      <c r="BV85" s="2" t="s">
        <v>223</v>
      </c>
      <c r="BW85" s="2" t="s">
        <v>635</v>
      </c>
      <c r="BX85" s="2" t="s">
        <v>184</v>
      </c>
      <c r="BY85" s="2" t="s">
        <v>635</v>
      </c>
      <c r="BZ85" s="2" t="s">
        <v>635</v>
      </c>
      <c r="CA85" s="2" t="s">
        <v>635</v>
      </c>
      <c r="CB85" s="2" t="s">
        <v>635</v>
      </c>
      <c r="CC85" s="2" t="s">
        <v>635</v>
      </c>
      <c r="CD85" s="2" t="s">
        <v>635</v>
      </c>
    </row>
    <row r="86" spans="1:82" x14ac:dyDescent="0.25">
      <c r="A86" s="2" t="s">
        <v>1025</v>
      </c>
      <c r="B86" s="2" t="s">
        <v>1026</v>
      </c>
      <c r="C86" s="2" t="s">
        <v>224</v>
      </c>
      <c r="D86" s="2" t="s">
        <v>6</v>
      </c>
      <c r="E86" s="2" t="s">
        <v>225</v>
      </c>
      <c r="F86" s="2" t="s">
        <v>635</v>
      </c>
      <c r="G86" s="2" t="s">
        <v>1027</v>
      </c>
      <c r="H86" s="2" t="s">
        <v>635</v>
      </c>
      <c r="I86" s="2" t="s">
        <v>635</v>
      </c>
      <c r="J86" s="2" t="s">
        <v>635</v>
      </c>
      <c r="K86" s="2" t="s">
        <v>635</v>
      </c>
      <c r="L86" s="2"/>
      <c r="M86" s="2" t="s">
        <v>635</v>
      </c>
      <c r="N86" s="2" t="s">
        <v>635</v>
      </c>
      <c r="O86" s="2" t="s">
        <v>635</v>
      </c>
      <c r="P86" s="2" t="s">
        <v>635</v>
      </c>
      <c r="Q86" s="2" t="s">
        <v>635</v>
      </c>
      <c r="S86" s="2" t="s">
        <v>635</v>
      </c>
      <c r="T86" s="2" t="s">
        <v>635</v>
      </c>
      <c r="U86" s="2" t="s">
        <v>635</v>
      </c>
      <c r="V86" s="2" t="s">
        <v>635</v>
      </c>
      <c r="W86" s="2" t="s">
        <v>635</v>
      </c>
      <c r="X86" s="2" t="s">
        <v>635</v>
      </c>
      <c r="Y86" s="2" t="s">
        <v>635</v>
      </c>
      <c r="Z86" s="2"/>
      <c r="AA86" s="2" t="s">
        <v>635</v>
      </c>
      <c r="AB86" s="2" t="s">
        <v>635</v>
      </c>
      <c r="AD86" s="2" t="s">
        <v>635</v>
      </c>
      <c r="AE86" s="2" t="s">
        <v>635</v>
      </c>
      <c r="AG86" s="2" t="s">
        <v>635</v>
      </c>
      <c r="AH86" s="2" t="s">
        <v>635</v>
      </c>
      <c r="AJ86" s="2"/>
      <c r="AL86" s="2"/>
      <c r="AN86" s="2" t="s">
        <v>635</v>
      </c>
      <c r="AO86" s="2"/>
      <c r="AP86" s="2"/>
      <c r="AQ86" s="2" t="s">
        <v>635</v>
      </c>
      <c r="AR86" s="2" t="s">
        <v>635</v>
      </c>
      <c r="AS86" s="2" t="s">
        <v>635</v>
      </c>
      <c r="AT86" s="2" t="s">
        <v>635</v>
      </c>
      <c r="AU86" s="2" t="s">
        <v>635</v>
      </c>
      <c r="AV86" s="2" t="s">
        <v>635</v>
      </c>
      <c r="AW86" s="2" t="s">
        <v>635</v>
      </c>
      <c r="AX86" s="2" t="s">
        <v>635</v>
      </c>
      <c r="AY86" s="2" t="s">
        <v>635</v>
      </c>
      <c r="AZ86" s="2" t="s">
        <v>635</v>
      </c>
      <c r="BA86" s="2" t="s">
        <v>635</v>
      </c>
      <c r="BB86" s="2" t="s">
        <v>635</v>
      </c>
      <c r="BC86" s="2" t="s">
        <v>635</v>
      </c>
      <c r="BD86" s="2" t="s">
        <v>635</v>
      </c>
      <c r="BE86" s="2" t="s">
        <v>635</v>
      </c>
      <c r="BF86" s="2" t="s">
        <v>635</v>
      </c>
      <c r="BG86" s="2" t="s">
        <v>635</v>
      </c>
      <c r="BH86" s="2" t="s">
        <v>635</v>
      </c>
      <c r="BI86" s="2" t="s">
        <v>635</v>
      </c>
      <c r="BJ86" s="2" t="s">
        <v>635</v>
      </c>
      <c r="BK86" s="2" t="s">
        <v>635</v>
      </c>
      <c r="BL86" s="2" t="s">
        <v>635</v>
      </c>
      <c r="BM86" s="2" t="s">
        <v>635</v>
      </c>
      <c r="BN86" s="2" t="s">
        <v>635</v>
      </c>
      <c r="BO86" s="2" t="s">
        <v>635</v>
      </c>
      <c r="BP86" s="2" t="s">
        <v>635</v>
      </c>
      <c r="BQ86" s="2" t="s">
        <v>635</v>
      </c>
      <c r="BR86" s="2" t="s">
        <v>635</v>
      </c>
      <c r="BS86" s="2" t="s">
        <v>635</v>
      </c>
      <c r="BT86" s="2" t="s">
        <v>635</v>
      </c>
      <c r="BU86" s="2" t="s">
        <v>635</v>
      </c>
      <c r="BV86" s="2" t="s">
        <v>635</v>
      </c>
      <c r="BW86" s="2" t="s">
        <v>635</v>
      </c>
      <c r="BX86" s="2" t="s">
        <v>635</v>
      </c>
      <c r="BY86" s="2" t="s">
        <v>635</v>
      </c>
      <c r="BZ86" s="2" t="s">
        <v>635</v>
      </c>
      <c r="CA86" s="2" t="s">
        <v>635</v>
      </c>
      <c r="CB86" s="2" t="s">
        <v>635</v>
      </c>
      <c r="CC86" s="2" t="s">
        <v>635</v>
      </c>
      <c r="CD86" s="2" t="s">
        <v>635</v>
      </c>
    </row>
    <row r="87" spans="1:82" x14ac:dyDescent="0.25">
      <c r="A87" s="2" t="s">
        <v>447</v>
      </c>
      <c r="B87" s="2" t="s">
        <v>448</v>
      </c>
      <c r="C87" s="2" t="s">
        <v>635</v>
      </c>
      <c r="D87" s="2" t="s">
        <v>635</v>
      </c>
      <c r="E87" s="2" t="s">
        <v>336</v>
      </c>
      <c r="F87" s="2" t="s">
        <v>635</v>
      </c>
      <c r="G87" s="2" t="s">
        <v>449</v>
      </c>
      <c r="H87" s="2" t="s">
        <v>635</v>
      </c>
      <c r="I87" s="2" t="s">
        <v>64</v>
      </c>
      <c r="J87" s="2" t="s">
        <v>635</v>
      </c>
      <c r="K87" s="2" t="s">
        <v>64</v>
      </c>
      <c r="L87" s="2"/>
      <c r="M87" s="2" t="s">
        <v>635</v>
      </c>
      <c r="N87" s="2" t="s">
        <v>635</v>
      </c>
      <c r="O87" s="2" t="s">
        <v>635</v>
      </c>
      <c r="P87" s="2" t="s">
        <v>635</v>
      </c>
      <c r="Q87" s="2" t="s">
        <v>635</v>
      </c>
      <c r="S87" s="2" t="s">
        <v>635</v>
      </c>
      <c r="T87" s="2" t="s">
        <v>635</v>
      </c>
      <c r="U87" s="2" t="s">
        <v>13</v>
      </c>
      <c r="V87" s="2" t="s">
        <v>635</v>
      </c>
      <c r="W87" s="2" t="s">
        <v>450</v>
      </c>
      <c r="X87" s="2" t="s">
        <v>635</v>
      </c>
      <c r="Y87" s="2" t="s">
        <v>826</v>
      </c>
      <c r="Z87" s="2"/>
      <c r="AA87" s="2" t="s">
        <v>635</v>
      </c>
      <c r="AB87" s="2" t="s">
        <v>635</v>
      </c>
      <c r="AC87">
        <v>0</v>
      </c>
      <c r="AD87" s="2" t="s">
        <v>678</v>
      </c>
      <c r="AE87" s="2" t="s">
        <v>635</v>
      </c>
      <c r="AF87">
        <v>0</v>
      </c>
      <c r="AG87" s="2" t="s">
        <v>678</v>
      </c>
      <c r="AH87" s="2" t="s">
        <v>827</v>
      </c>
      <c r="AI87">
        <v>0</v>
      </c>
      <c r="AJ87" s="2">
        <v>0</v>
      </c>
      <c r="AK87">
        <v>0</v>
      </c>
      <c r="AL87" s="2"/>
      <c r="AM87">
        <v>1</v>
      </c>
      <c r="AN87" s="2" t="s">
        <v>827</v>
      </c>
      <c r="AO87" s="2">
        <v>0</v>
      </c>
      <c r="AP87" s="2">
        <v>0</v>
      </c>
      <c r="AQ87" s="2" t="s">
        <v>635</v>
      </c>
      <c r="AR87" s="2" t="s">
        <v>635</v>
      </c>
      <c r="AS87" s="2" t="s">
        <v>11</v>
      </c>
      <c r="AT87" s="2" t="s">
        <v>331</v>
      </c>
      <c r="AU87" s="2" t="s">
        <v>635</v>
      </c>
      <c r="AV87" s="2" t="s">
        <v>635</v>
      </c>
      <c r="AW87" s="2" t="s">
        <v>635</v>
      </c>
      <c r="AX87" s="2" t="s">
        <v>152</v>
      </c>
      <c r="AY87" s="2" t="s">
        <v>885</v>
      </c>
      <c r="AZ87" s="2" t="s">
        <v>150</v>
      </c>
      <c r="BA87" s="2" t="s">
        <v>655</v>
      </c>
      <c r="BB87" s="2" t="s">
        <v>635</v>
      </c>
      <c r="BC87" s="2" t="s">
        <v>635</v>
      </c>
      <c r="BD87" s="2" t="s">
        <v>1028</v>
      </c>
      <c r="BE87" s="2" t="s">
        <v>635</v>
      </c>
      <c r="BF87" s="2" t="s">
        <v>635</v>
      </c>
      <c r="BG87" s="2" t="s">
        <v>635</v>
      </c>
      <c r="BH87" s="2" t="s">
        <v>635</v>
      </c>
      <c r="BI87" s="2" t="s">
        <v>635</v>
      </c>
      <c r="BJ87" s="2" t="s">
        <v>451</v>
      </c>
      <c r="BK87" s="2" t="s">
        <v>635</v>
      </c>
      <c r="BL87" s="2" t="s">
        <v>635</v>
      </c>
      <c r="BM87" s="2" t="s">
        <v>52</v>
      </c>
      <c r="BN87" s="2" t="s">
        <v>635</v>
      </c>
      <c r="BO87" s="2" t="s">
        <v>635</v>
      </c>
      <c r="BP87" s="2" t="s">
        <v>333</v>
      </c>
      <c r="BQ87" s="2" t="s">
        <v>151</v>
      </c>
      <c r="BR87" s="2" t="s">
        <v>635</v>
      </c>
      <c r="BS87" s="2" t="s">
        <v>635</v>
      </c>
      <c r="BT87" s="2" t="s">
        <v>1029</v>
      </c>
      <c r="BU87" s="2" t="s">
        <v>635</v>
      </c>
      <c r="BV87" s="2" t="s">
        <v>635</v>
      </c>
      <c r="BW87" s="2" t="s">
        <v>635</v>
      </c>
      <c r="BX87" s="2" t="s">
        <v>1028</v>
      </c>
      <c r="BY87" s="2" t="s">
        <v>635</v>
      </c>
      <c r="BZ87" s="2" t="s">
        <v>153</v>
      </c>
      <c r="CA87" s="2" t="s">
        <v>153</v>
      </c>
      <c r="CB87" s="2" t="s">
        <v>154</v>
      </c>
      <c r="CC87" s="2" t="s">
        <v>635</v>
      </c>
      <c r="CD87" s="2" t="s">
        <v>635</v>
      </c>
    </row>
    <row r="88" spans="1:82" x14ac:dyDescent="0.25">
      <c r="A88" s="2" t="s">
        <v>452</v>
      </c>
      <c r="B88" s="2" t="s">
        <v>453</v>
      </c>
      <c r="C88" s="2" t="s">
        <v>635</v>
      </c>
      <c r="D88" s="2" t="s">
        <v>635</v>
      </c>
      <c r="E88" s="2" t="s">
        <v>336</v>
      </c>
      <c r="F88" s="2" t="s">
        <v>329</v>
      </c>
      <c r="G88" s="2" t="s">
        <v>330</v>
      </c>
      <c r="H88" s="2" t="s">
        <v>635</v>
      </c>
      <c r="I88" s="2" t="s">
        <v>7</v>
      </c>
      <c r="J88" s="2" t="s">
        <v>635</v>
      </c>
      <c r="K88" s="2" t="s">
        <v>7</v>
      </c>
      <c r="L88" s="2"/>
      <c r="M88" s="2" t="s">
        <v>635</v>
      </c>
      <c r="N88" s="2" t="s">
        <v>1030</v>
      </c>
      <c r="O88" s="2" t="s">
        <v>1007</v>
      </c>
      <c r="P88" s="2" t="s">
        <v>635</v>
      </c>
      <c r="Q88" s="2" t="s">
        <v>635</v>
      </c>
      <c r="S88" s="2" t="s">
        <v>635</v>
      </c>
      <c r="T88" s="2" t="s">
        <v>635</v>
      </c>
      <c r="U88" s="2" t="s">
        <v>13</v>
      </c>
      <c r="V88" s="2" t="s">
        <v>635</v>
      </c>
      <c r="W88" s="2" t="s">
        <v>635</v>
      </c>
      <c r="X88" s="2" t="s">
        <v>635</v>
      </c>
      <c r="Y88" s="2" t="s">
        <v>896</v>
      </c>
      <c r="Z88" s="2"/>
      <c r="AA88" s="2" t="s">
        <v>635</v>
      </c>
      <c r="AB88" s="2" t="s">
        <v>635</v>
      </c>
      <c r="AC88">
        <v>0</v>
      </c>
      <c r="AD88" s="2" t="s">
        <v>678</v>
      </c>
      <c r="AE88" s="2" t="s">
        <v>635</v>
      </c>
      <c r="AF88">
        <v>0</v>
      </c>
      <c r="AG88" s="2" t="s">
        <v>635</v>
      </c>
      <c r="AH88" s="2" t="s">
        <v>827</v>
      </c>
      <c r="AI88">
        <v>0</v>
      </c>
      <c r="AJ88" s="2">
        <v>0</v>
      </c>
      <c r="AK88">
        <v>0</v>
      </c>
      <c r="AL88" s="2"/>
      <c r="AM88">
        <v>1</v>
      </c>
      <c r="AN88" s="2" t="s">
        <v>827</v>
      </c>
      <c r="AO88" s="2">
        <v>0</v>
      </c>
      <c r="AP88" s="2">
        <v>0</v>
      </c>
      <c r="AQ88" s="2" t="s">
        <v>635</v>
      </c>
      <c r="AR88" s="2" t="s">
        <v>635</v>
      </c>
      <c r="AS88" s="2" t="s">
        <v>11</v>
      </c>
      <c r="AT88" s="2" t="s">
        <v>331</v>
      </c>
      <c r="AU88" s="2" t="s">
        <v>635</v>
      </c>
      <c r="AV88" s="2" t="s">
        <v>635</v>
      </c>
      <c r="AW88" s="2" t="s">
        <v>635</v>
      </c>
      <c r="AX88" s="2" t="s">
        <v>140</v>
      </c>
      <c r="AY88" s="2" t="s">
        <v>854</v>
      </c>
      <c r="AZ88" s="2" t="s">
        <v>139</v>
      </c>
      <c r="BA88" s="2" t="s">
        <v>454</v>
      </c>
      <c r="BB88" s="2" t="s">
        <v>635</v>
      </c>
      <c r="BC88" s="2" t="s">
        <v>836</v>
      </c>
      <c r="BD88" s="2" t="s">
        <v>635</v>
      </c>
      <c r="BE88" s="2" t="s">
        <v>635</v>
      </c>
      <c r="BF88" s="2" t="s">
        <v>635</v>
      </c>
      <c r="BG88" s="2" t="s">
        <v>635</v>
      </c>
      <c r="BH88" s="2" t="s">
        <v>635</v>
      </c>
      <c r="BI88" s="2" t="s">
        <v>635</v>
      </c>
      <c r="BJ88" s="2" t="s">
        <v>455</v>
      </c>
      <c r="BK88" s="2" t="s">
        <v>635</v>
      </c>
      <c r="BL88" s="2" t="s">
        <v>635</v>
      </c>
      <c r="BM88" s="2" t="s">
        <v>104</v>
      </c>
      <c r="BN88" s="2" t="s">
        <v>635</v>
      </c>
      <c r="BO88" s="2" t="s">
        <v>635</v>
      </c>
      <c r="BP88" s="2" t="s">
        <v>635</v>
      </c>
      <c r="BQ88" s="2" t="s">
        <v>122</v>
      </c>
      <c r="BR88" s="2" t="s">
        <v>635</v>
      </c>
      <c r="BS88" s="2" t="s">
        <v>635</v>
      </c>
      <c r="BT88" s="2" t="s">
        <v>838</v>
      </c>
      <c r="BU88" s="2" t="s">
        <v>635</v>
      </c>
      <c r="BV88" s="2" t="s">
        <v>635</v>
      </c>
      <c r="BW88" s="2" t="s">
        <v>635</v>
      </c>
      <c r="BX88" s="2" t="s">
        <v>1031</v>
      </c>
      <c r="BY88" s="2" t="s">
        <v>635</v>
      </c>
      <c r="BZ88" s="2" t="s">
        <v>635</v>
      </c>
      <c r="CA88" s="2" t="s">
        <v>635</v>
      </c>
      <c r="CB88" s="2" t="s">
        <v>635</v>
      </c>
      <c r="CC88" s="2" t="s">
        <v>635</v>
      </c>
      <c r="CD88" s="2" t="s">
        <v>635</v>
      </c>
    </row>
    <row r="89" spans="1:82" x14ac:dyDescent="0.25">
      <c r="A89" s="2" t="s">
        <v>1032</v>
      </c>
      <c r="B89" s="2" t="s">
        <v>635</v>
      </c>
      <c r="C89" s="2" t="s">
        <v>99</v>
      </c>
      <c r="D89" s="2" t="s">
        <v>99</v>
      </c>
      <c r="E89" s="2" t="s">
        <v>141</v>
      </c>
      <c r="F89" s="2" t="s">
        <v>635</v>
      </c>
      <c r="G89" s="2" t="s">
        <v>635</v>
      </c>
      <c r="H89" s="2" t="s">
        <v>635</v>
      </c>
      <c r="I89" s="2" t="s">
        <v>635</v>
      </c>
      <c r="J89" s="2" t="s">
        <v>635</v>
      </c>
      <c r="K89" s="2" t="s">
        <v>635</v>
      </c>
      <c r="L89" s="2"/>
      <c r="M89" s="2" t="s">
        <v>635</v>
      </c>
      <c r="N89" s="2" t="s">
        <v>635</v>
      </c>
      <c r="O89" s="2" t="s">
        <v>635</v>
      </c>
      <c r="P89" s="2" t="s">
        <v>635</v>
      </c>
      <c r="Q89" s="2" t="s">
        <v>635</v>
      </c>
      <c r="S89" s="2" t="s">
        <v>635</v>
      </c>
      <c r="T89" s="2" t="s">
        <v>635</v>
      </c>
      <c r="U89" s="2" t="s">
        <v>635</v>
      </c>
      <c r="V89" s="2" t="s">
        <v>635</v>
      </c>
      <c r="W89" s="2" t="s">
        <v>635</v>
      </c>
      <c r="X89" s="2" t="s">
        <v>635</v>
      </c>
      <c r="Y89" s="2" t="s">
        <v>635</v>
      </c>
      <c r="Z89" s="2"/>
      <c r="AA89" s="2" t="s">
        <v>635</v>
      </c>
      <c r="AB89" s="2" t="s">
        <v>635</v>
      </c>
      <c r="AD89" s="2" t="s">
        <v>635</v>
      </c>
      <c r="AE89" s="2" t="s">
        <v>635</v>
      </c>
      <c r="AG89" s="2" t="s">
        <v>635</v>
      </c>
      <c r="AH89" s="2" t="s">
        <v>635</v>
      </c>
      <c r="AJ89" s="2"/>
      <c r="AL89" s="2"/>
      <c r="AN89" s="2" t="s">
        <v>635</v>
      </c>
      <c r="AO89" s="2"/>
      <c r="AP89" s="2"/>
      <c r="AQ89" s="2" t="s">
        <v>635</v>
      </c>
      <c r="AR89" s="2" t="s">
        <v>635</v>
      </c>
      <c r="AS89" s="2" t="s">
        <v>635</v>
      </c>
      <c r="AT89" s="2" t="s">
        <v>635</v>
      </c>
      <c r="AU89" s="2" t="s">
        <v>635</v>
      </c>
      <c r="AV89" s="2" t="s">
        <v>635</v>
      </c>
      <c r="AW89" s="2" t="s">
        <v>635</v>
      </c>
      <c r="AX89" s="2" t="s">
        <v>635</v>
      </c>
      <c r="AY89" s="2" t="s">
        <v>635</v>
      </c>
      <c r="AZ89" s="2" t="s">
        <v>635</v>
      </c>
      <c r="BA89" s="2" t="s">
        <v>635</v>
      </c>
      <c r="BB89" s="2" t="s">
        <v>635</v>
      </c>
      <c r="BC89" s="2" t="s">
        <v>635</v>
      </c>
      <c r="BD89" s="2" t="s">
        <v>635</v>
      </c>
      <c r="BE89" s="2" t="s">
        <v>635</v>
      </c>
      <c r="BF89" s="2" t="s">
        <v>635</v>
      </c>
      <c r="BG89" s="2" t="s">
        <v>635</v>
      </c>
      <c r="BH89" s="2" t="s">
        <v>635</v>
      </c>
      <c r="BI89" s="2" t="s">
        <v>635</v>
      </c>
      <c r="BJ89" s="2" t="s">
        <v>635</v>
      </c>
      <c r="BK89" s="2" t="s">
        <v>635</v>
      </c>
      <c r="BL89" s="2" t="s">
        <v>635</v>
      </c>
      <c r="BM89" s="2" t="s">
        <v>635</v>
      </c>
      <c r="BN89" s="2" t="s">
        <v>635</v>
      </c>
      <c r="BO89" s="2" t="s">
        <v>635</v>
      </c>
      <c r="BP89" s="2" t="s">
        <v>635</v>
      </c>
      <c r="BQ89" s="2" t="s">
        <v>635</v>
      </c>
      <c r="BR89" s="2" t="s">
        <v>635</v>
      </c>
      <c r="BS89" s="2" t="s">
        <v>635</v>
      </c>
      <c r="BT89" s="2" t="s">
        <v>635</v>
      </c>
      <c r="BU89" s="2" t="s">
        <v>635</v>
      </c>
      <c r="BV89" s="2" t="s">
        <v>635</v>
      </c>
      <c r="BW89" s="2" t="s">
        <v>635</v>
      </c>
      <c r="BX89" s="2" t="s">
        <v>635</v>
      </c>
      <c r="BY89" s="2" t="s">
        <v>635</v>
      </c>
      <c r="BZ89" s="2" t="s">
        <v>635</v>
      </c>
      <c r="CA89" s="2" t="s">
        <v>635</v>
      </c>
      <c r="CB89" s="2" t="s">
        <v>635</v>
      </c>
      <c r="CC89" s="2" t="s">
        <v>635</v>
      </c>
      <c r="CD89" s="2" t="s">
        <v>635</v>
      </c>
    </row>
    <row r="90" spans="1:82" x14ac:dyDescent="0.25">
      <c r="A90" s="2" t="s">
        <v>456</v>
      </c>
      <c r="B90" s="2" t="s">
        <v>457</v>
      </c>
      <c r="C90" s="2" t="s">
        <v>635</v>
      </c>
      <c r="D90" s="2" t="s">
        <v>635</v>
      </c>
      <c r="E90" s="2" t="s">
        <v>346</v>
      </c>
      <c r="F90" s="2" t="s">
        <v>635</v>
      </c>
      <c r="G90" s="2" t="s">
        <v>330</v>
      </c>
      <c r="H90" s="2" t="s">
        <v>635</v>
      </c>
      <c r="I90" s="2" t="s">
        <v>64</v>
      </c>
      <c r="J90" s="2" t="s">
        <v>635</v>
      </c>
      <c r="K90" s="2" t="s">
        <v>64</v>
      </c>
      <c r="L90" s="2"/>
      <c r="M90" s="2" t="s">
        <v>635</v>
      </c>
      <c r="N90" s="2" t="s">
        <v>1033</v>
      </c>
      <c r="O90" s="2" t="s">
        <v>1034</v>
      </c>
      <c r="P90" s="2" t="s">
        <v>635</v>
      </c>
      <c r="Q90" s="2" t="s">
        <v>635</v>
      </c>
      <c r="S90" s="2" t="s">
        <v>635</v>
      </c>
      <c r="T90" s="2" t="s">
        <v>635</v>
      </c>
      <c r="U90" s="2" t="s">
        <v>103</v>
      </c>
      <c r="V90" s="2" t="s">
        <v>635</v>
      </c>
      <c r="W90" s="2" t="s">
        <v>458</v>
      </c>
      <c r="X90" s="2" t="s">
        <v>635</v>
      </c>
      <c r="Y90" s="2" t="s">
        <v>896</v>
      </c>
      <c r="Z90" s="2"/>
      <c r="AA90" s="2" t="s">
        <v>635</v>
      </c>
      <c r="AB90" s="2" t="s">
        <v>635</v>
      </c>
      <c r="AC90">
        <v>1</v>
      </c>
      <c r="AD90" s="2" t="s">
        <v>678</v>
      </c>
      <c r="AE90" s="2" t="s">
        <v>635</v>
      </c>
      <c r="AF90">
        <v>0</v>
      </c>
      <c r="AG90" s="2" t="s">
        <v>635</v>
      </c>
      <c r="AH90" s="2" t="s">
        <v>827</v>
      </c>
      <c r="AI90">
        <v>0</v>
      </c>
      <c r="AJ90" s="2">
        <v>0</v>
      </c>
      <c r="AK90">
        <v>0</v>
      </c>
      <c r="AL90" s="2"/>
      <c r="AM90">
        <v>0</v>
      </c>
      <c r="AN90" s="2" t="s">
        <v>827</v>
      </c>
      <c r="AO90" s="2">
        <v>0</v>
      </c>
      <c r="AP90" s="2">
        <v>0</v>
      </c>
      <c r="AQ90" s="2" t="s">
        <v>635</v>
      </c>
      <c r="AR90" s="2" t="s">
        <v>100</v>
      </c>
      <c r="AS90" s="2" t="s">
        <v>11</v>
      </c>
      <c r="AT90" s="2" t="s">
        <v>331</v>
      </c>
      <c r="AU90" s="2" t="s">
        <v>635</v>
      </c>
      <c r="AV90" s="2" t="s">
        <v>635</v>
      </c>
      <c r="AW90" s="2" t="s">
        <v>635</v>
      </c>
      <c r="AX90" s="2" t="s">
        <v>98</v>
      </c>
      <c r="AY90" s="2" t="s">
        <v>904</v>
      </c>
      <c r="AZ90" s="2" t="s">
        <v>96</v>
      </c>
      <c r="BA90" s="2" t="s">
        <v>653</v>
      </c>
      <c r="BB90" s="2" t="s">
        <v>635</v>
      </c>
      <c r="BC90" s="2" t="s">
        <v>635</v>
      </c>
      <c r="BD90" s="2" t="s">
        <v>101</v>
      </c>
      <c r="BE90" s="2" t="s">
        <v>635</v>
      </c>
      <c r="BF90" s="2" t="s">
        <v>635</v>
      </c>
      <c r="BG90" s="2" t="s">
        <v>635</v>
      </c>
      <c r="BH90" s="2" t="s">
        <v>635</v>
      </c>
      <c r="BI90" s="2" t="s">
        <v>635</v>
      </c>
      <c r="BJ90" s="2" t="s">
        <v>809</v>
      </c>
      <c r="BK90" s="2" t="s">
        <v>635</v>
      </c>
      <c r="BL90" s="2" t="s">
        <v>431</v>
      </c>
      <c r="BM90" s="2" t="s">
        <v>104</v>
      </c>
      <c r="BN90" s="2" t="s">
        <v>635</v>
      </c>
      <c r="BO90" s="2" t="s">
        <v>635</v>
      </c>
      <c r="BP90" s="2" t="s">
        <v>635</v>
      </c>
      <c r="BQ90" s="2" t="s">
        <v>97</v>
      </c>
      <c r="BR90" s="2" t="s">
        <v>635</v>
      </c>
      <c r="BS90" s="2" t="s">
        <v>635</v>
      </c>
      <c r="BT90" s="2" t="s">
        <v>1035</v>
      </c>
      <c r="BU90" s="2" t="s">
        <v>635</v>
      </c>
      <c r="BV90" s="2" t="s">
        <v>635</v>
      </c>
      <c r="BW90" s="2" t="s">
        <v>635</v>
      </c>
      <c r="BX90" s="2" t="s">
        <v>101</v>
      </c>
      <c r="BY90" s="2" t="s">
        <v>635</v>
      </c>
      <c r="BZ90" s="2" t="s">
        <v>99</v>
      </c>
      <c r="CA90" s="2" t="s">
        <v>99</v>
      </c>
      <c r="CB90" s="2" t="s">
        <v>102</v>
      </c>
      <c r="CC90" s="2" t="s">
        <v>459</v>
      </c>
      <c r="CD90" s="2" t="s">
        <v>635</v>
      </c>
    </row>
    <row r="91" spans="1:82" x14ac:dyDescent="0.25">
      <c r="A91" s="2" t="s">
        <v>460</v>
      </c>
      <c r="B91" s="2" t="s">
        <v>461</v>
      </c>
      <c r="C91" s="2" t="s">
        <v>635</v>
      </c>
      <c r="D91" s="2" t="s">
        <v>635</v>
      </c>
      <c r="E91" s="2" t="s">
        <v>462</v>
      </c>
      <c r="F91" s="2" t="s">
        <v>635</v>
      </c>
      <c r="G91" s="2" t="s">
        <v>330</v>
      </c>
      <c r="H91" s="2" t="s">
        <v>635</v>
      </c>
      <c r="I91" s="2" t="s">
        <v>7</v>
      </c>
      <c r="J91" s="2" t="s">
        <v>635</v>
      </c>
      <c r="K91" s="2" t="s">
        <v>7</v>
      </c>
      <c r="L91" s="2"/>
      <c r="M91" s="2" t="s">
        <v>635</v>
      </c>
      <c r="N91" s="2" t="s">
        <v>1036</v>
      </c>
      <c r="O91" s="2" t="s">
        <v>1037</v>
      </c>
      <c r="P91" s="2" t="s">
        <v>635</v>
      </c>
      <c r="Q91" s="2" t="s">
        <v>635</v>
      </c>
      <c r="S91" s="2" t="s">
        <v>635</v>
      </c>
      <c r="T91" s="2" t="s">
        <v>635</v>
      </c>
      <c r="U91" s="2" t="s">
        <v>13</v>
      </c>
      <c r="V91" s="2" t="s">
        <v>635</v>
      </c>
      <c r="W91" s="2" t="s">
        <v>635</v>
      </c>
      <c r="X91" s="2" t="s">
        <v>635</v>
      </c>
      <c r="Y91" s="2" t="s">
        <v>826</v>
      </c>
      <c r="Z91" s="2"/>
      <c r="AA91" s="2" t="s">
        <v>635</v>
      </c>
      <c r="AB91" s="2" t="s">
        <v>635</v>
      </c>
      <c r="AC91">
        <v>0</v>
      </c>
      <c r="AD91" s="2" t="s">
        <v>678</v>
      </c>
      <c r="AE91" s="2" t="s">
        <v>635</v>
      </c>
      <c r="AF91">
        <v>0</v>
      </c>
      <c r="AG91" s="2" t="s">
        <v>635</v>
      </c>
      <c r="AH91" s="2" t="s">
        <v>827</v>
      </c>
      <c r="AI91">
        <v>1</v>
      </c>
      <c r="AJ91" s="2">
        <v>0</v>
      </c>
      <c r="AK91">
        <v>0</v>
      </c>
      <c r="AL91" s="2"/>
      <c r="AM91">
        <v>1</v>
      </c>
      <c r="AN91" s="2" t="s">
        <v>827</v>
      </c>
      <c r="AO91" s="2">
        <v>0</v>
      </c>
      <c r="AP91" s="2">
        <v>0</v>
      </c>
      <c r="AQ91" s="2" t="s">
        <v>635</v>
      </c>
      <c r="AR91" s="2" t="s">
        <v>635</v>
      </c>
      <c r="AS91" s="2" t="s">
        <v>11</v>
      </c>
      <c r="AT91" s="2" t="s">
        <v>331</v>
      </c>
      <c r="AU91" s="2" t="s">
        <v>635</v>
      </c>
      <c r="AV91" s="2" t="s">
        <v>635</v>
      </c>
      <c r="AW91" s="2" t="s">
        <v>635</v>
      </c>
      <c r="AX91" s="2" t="s">
        <v>5</v>
      </c>
      <c r="AY91" s="2" t="s">
        <v>828</v>
      </c>
      <c r="AZ91" s="2" t="s">
        <v>3</v>
      </c>
      <c r="BA91" s="2" t="s">
        <v>656</v>
      </c>
      <c r="BB91" s="2" t="s">
        <v>635</v>
      </c>
      <c r="BC91" s="2" t="s">
        <v>635</v>
      </c>
      <c r="BD91" s="2" t="s">
        <v>635</v>
      </c>
      <c r="BE91" s="2" t="s">
        <v>635</v>
      </c>
      <c r="BF91" s="2" t="s">
        <v>865</v>
      </c>
      <c r="BG91" s="2" t="s">
        <v>635</v>
      </c>
      <c r="BH91" s="2" t="s">
        <v>635</v>
      </c>
      <c r="BI91" s="2" t="s">
        <v>635</v>
      </c>
      <c r="BJ91" s="2" t="s">
        <v>463</v>
      </c>
      <c r="BK91" s="2" t="s">
        <v>635</v>
      </c>
      <c r="BL91" s="2" t="s">
        <v>635</v>
      </c>
      <c r="BM91" s="2" t="s">
        <v>14</v>
      </c>
      <c r="BN91" s="2" t="s">
        <v>635</v>
      </c>
      <c r="BO91" s="2" t="s">
        <v>635</v>
      </c>
      <c r="BP91" s="2" t="s">
        <v>635</v>
      </c>
      <c r="BQ91" s="2" t="s">
        <v>4</v>
      </c>
      <c r="BR91" s="2" t="s">
        <v>635</v>
      </c>
      <c r="BS91" s="2" t="s">
        <v>635</v>
      </c>
      <c r="BT91" s="2" t="s">
        <v>838</v>
      </c>
      <c r="BU91" s="2" t="s">
        <v>635</v>
      </c>
      <c r="BV91" s="2" t="s">
        <v>8</v>
      </c>
      <c r="BW91" s="2" t="s">
        <v>635</v>
      </c>
      <c r="BX91" s="2" t="s">
        <v>10</v>
      </c>
      <c r="BY91" s="2" t="s">
        <v>865</v>
      </c>
      <c r="BZ91" s="2" t="s">
        <v>9</v>
      </c>
      <c r="CA91" s="2" t="s">
        <v>6</v>
      </c>
      <c r="CB91" s="2" t="s">
        <v>12</v>
      </c>
      <c r="CC91" s="2" t="s">
        <v>635</v>
      </c>
      <c r="CD91" s="2" t="s">
        <v>635</v>
      </c>
    </row>
    <row r="92" spans="1:82" x14ac:dyDescent="0.25">
      <c r="A92" s="2" t="s">
        <v>464</v>
      </c>
      <c r="B92" s="2" t="s">
        <v>465</v>
      </c>
      <c r="C92" s="2" t="s">
        <v>635</v>
      </c>
      <c r="D92" s="2" t="s">
        <v>635</v>
      </c>
      <c r="E92" s="2" t="s">
        <v>346</v>
      </c>
      <c r="F92" s="2" t="s">
        <v>329</v>
      </c>
      <c r="G92" s="2" t="s">
        <v>330</v>
      </c>
      <c r="H92" s="2" t="s">
        <v>635</v>
      </c>
      <c r="I92" s="2" t="s">
        <v>18</v>
      </c>
      <c r="J92" s="2" t="s">
        <v>635</v>
      </c>
      <c r="K92" s="2" t="s">
        <v>18</v>
      </c>
      <c r="L92" s="2"/>
      <c r="M92" s="2" t="s">
        <v>635</v>
      </c>
      <c r="N92" s="2" t="s">
        <v>1038</v>
      </c>
      <c r="O92" s="2" t="s">
        <v>1039</v>
      </c>
      <c r="P92" s="2" t="s">
        <v>635</v>
      </c>
      <c r="Q92" s="2" t="s">
        <v>635</v>
      </c>
      <c r="S92" s="2" t="s">
        <v>635</v>
      </c>
      <c r="T92" s="2" t="s">
        <v>635</v>
      </c>
      <c r="U92" s="2" t="s">
        <v>35</v>
      </c>
      <c r="V92" s="2" t="s">
        <v>635</v>
      </c>
      <c r="W92" s="2" t="s">
        <v>466</v>
      </c>
      <c r="X92" s="2" t="s">
        <v>635</v>
      </c>
      <c r="Y92" s="2" t="s">
        <v>869</v>
      </c>
      <c r="Z92" s="2"/>
      <c r="AA92" s="2" t="s">
        <v>635</v>
      </c>
      <c r="AB92" s="2" t="s">
        <v>635</v>
      </c>
      <c r="AC92">
        <v>1</v>
      </c>
      <c r="AD92" s="2" t="s">
        <v>678</v>
      </c>
      <c r="AE92" s="2" t="s">
        <v>635</v>
      </c>
      <c r="AF92">
        <v>0</v>
      </c>
      <c r="AG92" s="2" t="s">
        <v>635</v>
      </c>
      <c r="AH92" s="2" t="s">
        <v>827</v>
      </c>
      <c r="AI92">
        <v>0</v>
      </c>
      <c r="AJ92" s="2">
        <v>0</v>
      </c>
      <c r="AK92">
        <v>0</v>
      </c>
      <c r="AL92" s="2"/>
      <c r="AM92">
        <v>0</v>
      </c>
      <c r="AN92" s="2" t="s">
        <v>827</v>
      </c>
      <c r="AO92" s="2">
        <v>0</v>
      </c>
      <c r="AP92" s="2">
        <v>0</v>
      </c>
      <c r="AQ92" s="2" t="s">
        <v>635</v>
      </c>
      <c r="AR92" s="2" t="s">
        <v>635</v>
      </c>
      <c r="AS92" s="2" t="s">
        <v>11</v>
      </c>
      <c r="AT92" s="2" t="s">
        <v>331</v>
      </c>
      <c r="AU92" s="2" t="s">
        <v>635</v>
      </c>
      <c r="AV92" s="2" t="s">
        <v>635</v>
      </c>
      <c r="AW92" s="2" t="s">
        <v>635</v>
      </c>
      <c r="AX92" s="2" t="s">
        <v>116</v>
      </c>
      <c r="AY92" s="2" t="s">
        <v>885</v>
      </c>
      <c r="AZ92" s="2" t="s">
        <v>255</v>
      </c>
      <c r="BA92" s="2" t="s">
        <v>657</v>
      </c>
      <c r="BB92" s="2" t="s">
        <v>635</v>
      </c>
      <c r="BC92" s="2" t="s">
        <v>635</v>
      </c>
      <c r="BD92" s="2" t="s">
        <v>467</v>
      </c>
      <c r="BE92" s="2" t="s">
        <v>635</v>
      </c>
      <c r="BF92" s="2" t="s">
        <v>865</v>
      </c>
      <c r="BG92" s="2" t="s">
        <v>635</v>
      </c>
      <c r="BH92" s="2" t="s">
        <v>635</v>
      </c>
      <c r="BI92" s="2" t="s">
        <v>635</v>
      </c>
      <c r="BJ92" s="2" t="s">
        <v>256</v>
      </c>
      <c r="BK92" s="2" t="s">
        <v>635</v>
      </c>
      <c r="BL92" s="2" t="s">
        <v>635</v>
      </c>
      <c r="BM92" s="2" t="s">
        <v>104</v>
      </c>
      <c r="BN92" s="2" t="s">
        <v>635</v>
      </c>
      <c r="BO92" s="2" t="s">
        <v>635</v>
      </c>
      <c r="BP92" s="2" t="s">
        <v>635</v>
      </c>
      <c r="BQ92" s="2" t="s">
        <v>256</v>
      </c>
      <c r="BR92" s="2" t="s">
        <v>635</v>
      </c>
      <c r="BS92" s="2" t="s">
        <v>635</v>
      </c>
      <c r="BT92" s="2" t="s">
        <v>1040</v>
      </c>
      <c r="BU92" s="2" t="s">
        <v>635</v>
      </c>
      <c r="BV92" s="2" t="s">
        <v>257</v>
      </c>
      <c r="BW92" s="2" t="s">
        <v>635</v>
      </c>
      <c r="BX92" s="2" t="s">
        <v>808</v>
      </c>
      <c r="BY92" s="2" t="s">
        <v>865</v>
      </c>
      <c r="BZ92" s="2" t="s">
        <v>258</v>
      </c>
      <c r="CA92" s="2" t="s">
        <v>6</v>
      </c>
      <c r="CB92" s="2" t="s">
        <v>259</v>
      </c>
      <c r="CC92" s="2" t="s">
        <v>635</v>
      </c>
      <c r="CD92" s="2" t="s">
        <v>635</v>
      </c>
    </row>
    <row r="93" spans="1:82" x14ac:dyDescent="0.25">
      <c r="A93" s="2" t="s">
        <v>468</v>
      </c>
      <c r="B93" s="2" t="s">
        <v>469</v>
      </c>
      <c r="C93" s="2" t="s">
        <v>635</v>
      </c>
      <c r="D93" s="2" t="s">
        <v>635</v>
      </c>
      <c r="E93" s="2" t="s">
        <v>346</v>
      </c>
      <c r="F93" s="2" t="s">
        <v>329</v>
      </c>
      <c r="G93" s="2" t="s">
        <v>330</v>
      </c>
      <c r="H93" s="2" t="s">
        <v>635</v>
      </c>
      <c r="I93" s="2" t="s">
        <v>7</v>
      </c>
      <c r="J93" s="2" t="s">
        <v>635</v>
      </c>
      <c r="K93" s="2" t="s">
        <v>7</v>
      </c>
      <c r="L93" s="2"/>
      <c r="M93" s="2" t="s">
        <v>635</v>
      </c>
      <c r="N93" s="2" t="s">
        <v>1041</v>
      </c>
      <c r="O93" s="2" t="s">
        <v>895</v>
      </c>
      <c r="P93" s="2" t="s">
        <v>635</v>
      </c>
      <c r="Q93" s="2" t="s">
        <v>635</v>
      </c>
      <c r="S93" s="2" t="s">
        <v>635</v>
      </c>
      <c r="T93" s="2" t="s">
        <v>635</v>
      </c>
      <c r="U93" s="2" t="s">
        <v>35</v>
      </c>
      <c r="V93" s="2" t="s">
        <v>635</v>
      </c>
      <c r="W93" s="2" t="s">
        <v>635</v>
      </c>
      <c r="X93" s="2" t="s">
        <v>635</v>
      </c>
      <c r="Y93" s="2" t="s">
        <v>869</v>
      </c>
      <c r="Z93" s="2"/>
      <c r="AA93" s="2" t="s">
        <v>635</v>
      </c>
      <c r="AB93" s="2" t="s">
        <v>635</v>
      </c>
      <c r="AC93">
        <v>1</v>
      </c>
      <c r="AD93" s="2" t="s">
        <v>678</v>
      </c>
      <c r="AE93" s="2" t="s">
        <v>635</v>
      </c>
      <c r="AF93">
        <v>0</v>
      </c>
      <c r="AG93" s="2" t="s">
        <v>635</v>
      </c>
      <c r="AH93" s="2" t="s">
        <v>827</v>
      </c>
      <c r="AI93">
        <v>0</v>
      </c>
      <c r="AJ93" s="2">
        <v>0</v>
      </c>
      <c r="AK93">
        <v>0</v>
      </c>
      <c r="AL93" s="2"/>
      <c r="AM93">
        <v>0</v>
      </c>
      <c r="AN93" s="2" t="s">
        <v>827</v>
      </c>
      <c r="AO93" s="2">
        <v>0</v>
      </c>
      <c r="AP93" s="2">
        <v>0</v>
      </c>
      <c r="AQ93" s="2" t="s">
        <v>635</v>
      </c>
      <c r="AR93" s="2" t="s">
        <v>217</v>
      </c>
      <c r="AS93" s="2" t="s">
        <v>11</v>
      </c>
      <c r="AT93" s="2" t="s">
        <v>331</v>
      </c>
      <c r="AU93" s="2" t="s">
        <v>635</v>
      </c>
      <c r="AV93" s="2" t="s">
        <v>635</v>
      </c>
      <c r="AW93" s="2" t="s">
        <v>635</v>
      </c>
      <c r="AX93" s="2" t="s">
        <v>216</v>
      </c>
      <c r="AY93" s="2" t="s">
        <v>966</v>
      </c>
      <c r="AZ93" s="2" t="s">
        <v>214</v>
      </c>
      <c r="BA93" s="2" t="s">
        <v>658</v>
      </c>
      <c r="BB93" s="2" t="s">
        <v>635</v>
      </c>
      <c r="BC93" s="2" t="s">
        <v>635</v>
      </c>
      <c r="BD93" s="2" t="s">
        <v>470</v>
      </c>
      <c r="BE93" s="2" t="s">
        <v>635</v>
      </c>
      <c r="BF93" s="2" t="s">
        <v>635</v>
      </c>
      <c r="BG93" s="2" t="s">
        <v>635</v>
      </c>
      <c r="BH93" s="2" t="s">
        <v>635</v>
      </c>
      <c r="BI93" s="2" t="s">
        <v>635</v>
      </c>
      <c r="BJ93" s="2" t="s">
        <v>215</v>
      </c>
      <c r="BK93" s="2" t="s">
        <v>635</v>
      </c>
      <c r="BL93" s="2" t="s">
        <v>635</v>
      </c>
      <c r="BM93" s="2" t="s">
        <v>52</v>
      </c>
      <c r="BN93" s="2" t="s">
        <v>635</v>
      </c>
      <c r="BO93" s="2" t="s">
        <v>635</v>
      </c>
      <c r="BP93" s="2" t="s">
        <v>635</v>
      </c>
      <c r="BQ93" s="2" t="s">
        <v>215</v>
      </c>
      <c r="BR93" s="2" t="s">
        <v>635</v>
      </c>
      <c r="BS93" s="2" t="s">
        <v>635</v>
      </c>
      <c r="BT93" s="2" t="s">
        <v>1042</v>
      </c>
      <c r="BU93" s="2" t="s">
        <v>635</v>
      </c>
      <c r="BV93" s="2" t="s">
        <v>635</v>
      </c>
      <c r="BW93" s="2" t="s">
        <v>635</v>
      </c>
      <c r="BX93" s="2" t="s">
        <v>218</v>
      </c>
      <c r="BY93" s="2" t="s">
        <v>635</v>
      </c>
      <c r="BZ93" s="2" t="s">
        <v>153</v>
      </c>
      <c r="CA93" s="2" t="s">
        <v>153</v>
      </c>
      <c r="CB93" s="2" t="s">
        <v>219</v>
      </c>
      <c r="CC93" s="2" t="s">
        <v>635</v>
      </c>
      <c r="CD93" s="2" t="s">
        <v>635</v>
      </c>
    </row>
    <row r="94" spans="1:82" x14ac:dyDescent="0.25">
      <c r="A94" s="2" t="s">
        <v>471</v>
      </c>
      <c r="B94" s="2" t="s">
        <v>472</v>
      </c>
      <c r="C94" s="2" t="s">
        <v>635</v>
      </c>
      <c r="D94" s="2" t="s">
        <v>635</v>
      </c>
      <c r="E94" s="2" t="s">
        <v>360</v>
      </c>
      <c r="F94" s="2" t="s">
        <v>329</v>
      </c>
      <c r="G94" s="2" t="s">
        <v>330</v>
      </c>
      <c r="H94" s="2" t="s">
        <v>635</v>
      </c>
      <c r="I94" s="2" t="s">
        <v>64</v>
      </c>
      <c r="J94" s="2" t="s">
        <v>635</v>
      </c>
      <c r="K94" s="2" t="s">
        <v>635</v>
      </c>
      <c r="L94" s="2"/>
      <c r="M94" s="2" t="s">
        <v>635</v>
      </c>
      <c r="N94" s="2" t="s">
        <v>635</v>
      </c>
      <c r="O94" s="2" t="s">
        <v>853</v>
      </c>
      <c r="P94" s="2" t="s">
        <v>635</v>
      </c>
      <c r="Q94" s="2" t="s">
        <v>635</v>
      </c>
      <c r="S94" s="2" t="s">
        <v>635</v>
      </c>
      <c r="T94" s="2" t="s">
        <v>635</v>
      </c>
      <c r="U94" s="2" t="s">
        <v>35</v>
      </c>
      <c r="V94" s="2" t="s">
        <v>635</v>
      </c>
      <c r="W94" s="2" t="s">
        <v>635</v>
      </c>
      <c r="X94" s="2" t="s">
        <v>635</v>
      </c>
      <c r="Y94" s="2" t="s">
        <v>896</v>
      </c>
      <c r="Z94" s="2"/>
      <c r="AA94" s="2" t="s">
        <v>635</v>
      </c>
      <c r="AB94" s="2" t="s">
        <v>635</v>
      </c>
      <c r="AC94">
        <v>1</v>
      </c>
      <c r="AD94" s="2" t="s">
        <v>678</v>
      </c>
      <c r="AE94" s="2" t="s">
        <v>635</v>
      </c>
      <c r="AF94">
        <v>0</v>
      </c>
      <c r="AG94" s="2" t="s">
        <v>635</v>
      </c>
      <c r="AH94" s="2" t="s">
        <v>827</v>
      </c>
      <c r="AI94">
        <v>1</v>
      </c>
      <c r="AJ94" s="2">
        <v>0</v>
      </c>
      <c r="AK94">
        <v>0</v>
      </c>
      <c r="AL94" s="2"/>
      <c r="AM94">
        <v>1</v>
      </c>
      <c r="AN94" s="2" t="s">
        <v>827</v>
      </c>
      <c r="AO94" s="2">
        <v>0</v>
      </c>
      <c r="AP94" s="2">
        <v>0</v>
      </c>
      <c r="AQ94" s="2" t="s">
        <v>635</v>
      </c>
      <c r="AR94" s="2" t="s">
        <v>635</v>
      </c>
      <c r="AS94" s="2" t="s">
        <v>11</v>
      </c>
      <c r="AT94" s="2" t="s">
        <v>331</v>
      </c>
      <c r="AU94" s="2" t="s">
        <v>635</v>
      </c>
      <c r="AV94" s="2" t="s">
        <v>635</v>
      </c>
      <c r="AW94" s="2" t="s">
        <v>635</v>
      </c>
      <c r="AX94" s="2" t="s">
        <v>635</v>
      </c>
      <c r="AY94" s="2" t="s">
        <v>1007</v>
      </c>
      <c r="AZ94" s="2" t="s">
        <v>237</v>
      </c>
      <c r="BA94" s="2" t="s">
        <v>659</v>
      </c>
      <c r="BB94" s="2" t="s">
        <v>635</v>
      </c>
      <c r="BC94" s="2" t="s">
        <v>635</v>
      </c>
      <c r="BD94" s="2" t="s">
        <v>64</v>
      </c>
      <c r="BE94" s="2" t="s">
        <v>635</v>
      </c>
      <c r="BF94" s="2" t="s">
        <v>635</v>
      </c>
      <c r="BG94" s="2" t="s">
        <v>635</v>
      </c>
      <c r="BH94" s="2" t="s">
        <v>635</v>
      </c>
      <c r="BI94" s="2" t="s">
        <v>635</v>
      </c>
      <c r="BJ94" s="2" t="s">
        <v>1043</v>
      </c>
      <c r="BK94" s="2" t="s">
        <v>64</v>
      </c>
      <c r="BL94" s="2" t="s">
        <v>635</v>
      </c>
      <c r="BM94" s="2" t="s">
        <v>14</v>
      </c>
      <c r="BN94" s="2" t="s">
        <v>635</v>
      </c>
      <c r="BO94" s="2" t="s">
        <v>635</v>
      </c>
      <c r="BP94" s="2" t="s">
        <v>635</v>
      </c>
      <c r="BQ94" s="2" t="s">
        <v>238</v>
      </c>
      <c r="BR94" s="2" t="s">
        <v>635</v>
      </c>
      <c r="BS94" s="2" t="s">
        <v>635</v>
      </c>
      <c r="BT94" s="2" t="s">
        <v>838</v>
      </c>
      <c r="BU94" s="2" t="s">
        <v>635</v>
      </c>
      <c r="BV94" s="2" t="s">
        <v>237</v>
      </c>
      <c r="BW94" s="2" t="s">
        <v>89</v>
      </c>
      <c r="BX94" s="2" t="s">
        <v>240</v>
      </c>
      <c r="BY94" s="2" t="s">
        <v>635</v>
      </c>
      <c r="BZ94" s="2" t="s">
        <v>239</v>
      </c>
      <c r="CA94" s="2" t="s">
        <v>69</v>
      </c>
      <c r="CB94" s="2" t="s">
        <v>241</v>
      </c>
      <c r="CC94" s="2" t="s">
        <v>1044</v>
      </c>
      <c r="CD94" s="2" t="s">
        <v>635</v>
      </c>
    </row>
    <row r="95" spans="1:82" x14ac:dyDescent="0.25">
      <c r="A95" s="2" t="s">
        <v>398</v>
      </c>
      <c r="B95" s="2" t="s">
        <v>399</v>
      </c>
      <c r="C95" s="2" t="s">
        <v>635</v>
      </c>
      <c r="D95" s="2" t="s">
        <v>635</v>
      </c>
      <c r="E95" s="2" t="s">
        <v>346</v>
      </c>
      <c r="F95" s="2" t="s">
        <v>329</v>
      </c>
      <c r="G95" s="2" t="s">
        <v>330</v>
      </c>
      <c r="H95" s="2" t="s">
        <v>635</v>
      </c>
      <c r="I95" s="2" t="s">
        <v>7</v>
      </c>
      <c r="J95" s="2" t="s">
        <v>635</v>
      </c>
      <c r="K95" s="2" t="s">
        <v>7</v>
      </c>
      <c r="L95" s="2"/>
      <c r="M95" s="2" t="s">
        <v>635</v>
      </c>
      <c r="N95" s="2" t="s">
        <v>1045</v>
      </c>
      <c r="O95" s="2" t="s">
        <v>834</v>
      </c>
      <c r="P95" s="2" t="s">
        <v>635</v>
      </c>
      <c r="Q95" s="2" t="s">
        <v>635</v>
      </c>
      <c r="S95" s="2" t="s">
        <v>635</v>
      </c>
      <c r="T95" s="2" t="s">
        <v>635</v>
      </c>
      <c r="U95" s="2" t="s">
        <v>35</v>
      </c>
      <c r="V95" s="2" t="s">
        <v>635</v>
      </c>
      <c r="W95" s="2" t="s">
        <v>473</v>
      </c>
      <c r="X95" s="2" t="s">
        <v>635</v>
      </c>
      <c r="Y95" s="2" t="s">
        <v>869</v>
      </c>
      <c r="Z95" s="2"/>
      <c r="AA95" s="2" t="s">
        <v>635</v>
      </c>
      <c r="AB95" s="2" t="s">
        <v>635</v>
      </c>
      <c r="AC95">
        <v>1</v>
      </c>
      <c r="AD95" s="2" t="s">
        <v>678</v>
      </c>
      <c r="AE95" s="2" t="s">
        <v>635</v>
      </c>
      <c r="AF95">
        <v>0</v>
      </c>
      <c r="AG95" s="2" t="s">
        <v>635</v>
      </c>
      <c r="AH95" s="2" t="s">
        <v>827</v>
      </c>
      <c r="AI95">
        <v>0</v>
      </c>
      <c r="AJ95" s="2">
        <v>0</v>
      </c>
      <c r="AK95">
        <v>0</v>
      </c>
      <c r="AL95" s="2"/>
      <c r="AM95">
        <v>0</v>
      </c>
      <c r="AN95" s="2" t="s">
        <v>827</v>
      </c>
      <c r="AO95" s="2">
        <v>0</v>
      </c>
      <c r="AP95" s="2">
        <v>0</v>
      </c>
      <c r="AQ95" s="2" t="s">
        <v>635</v>
      </c>
      <c r="AR95" s="2" t="s">
        <v>635</v>
      </c>
      <c r="AS95" s="2" t="s">
        <v>11</v>
      </c>
      <c r="AT95" s="2" t="s">
        <v>331</v>
      </c>
      <c r="AU95" s="2" t="s">
        <v>635</v>
      </c>
      <c r="AV95" s="2" t="s">
        <v>635</v>
      </c>
      <c r="AW95" s="2" t="s">
        <v>635</v>
      </c>
      <c r="AX95" s="2" t="s">
        <v>5</v>
      </c>
      <c r="AY95" s="2" t="s">
        <v>828</v>
      </c>
      <c r="AZ95" s="2" t="s">
        <v>211</v>
      </c>
      <c r="BA95" s="2" t="s">
        <v>658</v>
      </c>
      <c r="BB95" s="2" t="s">
        <v>635</v>
      </c>
      <c r="BC95" s="2" t="s">
        <v>635</v>
      </c>
      <c r="BD95" s="2" t="s">
        <v>474</v>
      </c>
      <c r="BE95" s="2" t="s">
        <v>635</v>
      </c>
      <c r="BF95" s="2" t="s">
        <v>635</v>
      </c>
      <c r="BG95" s="2" t="s">
        <v>635</v>
      </c>
      <c r="BH95" s="2" t="s">
        <v>635</v>
      </c>
      <c r="BI95" s="2" t="s">
        <v>635</v>
      </c>
      <c r="BJ95" s="2" t="s">
        <v>212</v>
      </c>
      <c r="BK95" s="2" t="s">
        <v>635</v>
      </c>
      <c r="BL95" s="2" t="s">
        <v>635</v>
      </c>
      <c r="BM95" s="2" t="s">
        <v>14</v>
      </c>
      <c r="BN95" s="2" t="s">
        <v>635</v>
      </c>
      <c r="BO95" s="2" t="s">
        <v>635</v>
      </c>
      <c r="BP95" s="2" t="s">
        <v>635</v>
      </c>
      <c r="BQ95" s="2" t="s">
        <v>212</v>
      </c>
      <c r="BR95" s="2" t="s">
        <v>635</v>
      </c>
      <c r="BS95" s="2" t="s">
        <v>635</v>
      </c>
      <c r="BT95" s="2" t="s">
        <v>1046</v>
      </c>
      <c r="BU95" s="2" t="s">
        <v>635</v>
      </c>
      <c r="BV95" s="2" t="s">
        <v>635</v>
      </c>
      <c r="BW95" s="2" t="s">
        <v>635</v>
      </c>
      <c r="BX95" s="2" t="s">
        <v>805</v>
      </c>
      <c r="BY95" s="2" t="s">
        <v>635</v>
      </c>
      <c r="BZ95" s="2" t="s">
        <v>153</v>
      </c>
      <c r="CA95" s="2" t="s">
        <v>153</v>
      </c>
      <c r="CB95" s="2" t="s">
        <v>213</v>
      </c>
      <c r="CC95" s="2" t="s">
        <v>635</v>
      </c>
      <c r="CD95" s="2" t="s">
        <v>635</v>
      </c>
    </row>
    <row r="96" spans="1:82" x14ac:dyDescent="0.25">
      <c r="A96" s="2" t="s">
        <v>475</v>
      </c>
      <c r="B96" s="2" t="s">
        <v>476</v>
      </c>
      <c r="C96" s="2" t="s">
        <v>635</v>
      </c>
      <c r="D96" s="2" t="s">
        <v>635</v>
      </c>
      <c r="E96" s="2" t="s">
        <v>328</v>
      </c>
      <c r="F96" s="2" t="s">
        <v>635</v>
      </c>
      <c r="G96" s="2" t="s">
        <v>429</v>
      </c>
      <c r="H96" s="2" t="s">
        <v>635</v>
      </c>
      <c r="I96" s="2" t="s">
        <v>635</v>
      </c>
      <c r="J96" s="2" t="s">
        <v>635</v>
      </c>
      <c r="K96" s="2" t="s">
        <v>635</v>
      </c>
      <c r="L96" s="2"/>
      <c r="M96" s="2" t="s">
        <v>635</v>
      </c>
      <c r="N96" s="2" t="s">
        <v>1047</v>
      </c>
      <c r="O96" s="2" t="s">
        <v>1048</v>
      </c>
      <c r="P96" s="2" t="s">
        <v>635</v>
      </c>
      <c r="Q96" s="2" t="s">
        <v>635</v>
      </c>
      <c r="S96" s="2" t="s">
        <v>635</v>
      </c>
      <c r="T96" s="2" t="s">
        <v>635</v>
      </c>
      <c r="U96" s="2" t="s">
        <v>35</v>
      </c>
      <c r="V96" s="2" t="s">
        <v>635</v>
      </c>
      <c r="W96" s="2" t="s">
        <v>477</v>
      </c>
      <c r="X96" s="2" t="s">
        <v>478</v>
      </c>
      <c r="Y96" s="2" t="s">
        <v>826</v>
      </c>
      <c r="Z96" s="2"/>
      <c r="AA96" s="2" t="s">
        <v>635</v>
      </c>
      <c r="AB96" s="2" t="s">
        <v>635</v>
      </c>
      <c r="AC96">
        <v>1</v>
      </c>
      <c r="AD96" s="2" t="s">
        <v>678</v>
      </c>
      <c r="AE96" s="2" t="s">
        <v>635</v>
      </c>
      <c r="AF96">
        <v>1</v>
      </c>
      <c r="AG96" s="2" t="s">
        <v>635</v>
      </c>
      <c r="AH96" s="2" t="s">
        <v>827</v>
      </c>
      <c r="AI96">
        <v>0</v>
      </c>
      <c r="AJ96" s="2">
        <v>0</v>
      </c>
      <c r="AK96">
        <v>0</v>
      </c>
      <c r="AL96" s="2"/>
      <c r="AM96">
        <v>1</v>
      </c>
      <c r="AN96" s="2" t="s">
        <v>827</v>
      </c>
      <c r="AO96" s="2">
        <v>0</v>
      </c>
      <c r="AP96" s="2">
        <v>0</v>
      </c>
      <c r="AQ96" s="2" t="s">
        <v>635</v>
      </c>
      <c r="AR96" s="2" t="s">
        <v>635</v>
      </c>
      <c r="AS96" s="2" t="s">
        <v>11</v>
      </c>
      <c r="AT96" s="2" t="s">
        <v>331</v>
      </c>
      <c r="AU96" s="2" t="s">
        <v>635</v>
      </c>
      <c r="AV96" s="2" t="s">
        <v>635</v>
      </c>
      <c r="AW96" s="2" t="s">
        <v>635</v>
      </c>
      <c r="AX96" s="2" t="s">
        <v>635</v>
      </c>
      <c r="AY96" s="2" t="s">
        <v>1007</v>
      </c>
      <c r="AZ96" s="2" t="s">
        <v>67</v>
      </c>
      <c r="BA96" s="2" t="s">
        <v>660</v>
      </c>
      <c r="BB96" s="2" t="s">
        <v>635</v>
      </c>
      <c r="BC96" s="2" t="s">
        <v>1049</v>
      </c>
      <c r="BD96" s="2" t="s">
        <v>479</v>
      </c>
      <c r="BE96" s="2" t="s">
        <v>635</v>
      </c>
      <c r="BF96" s="2" t="s">
        <v>635</v>
      </c>
      <c r="BG96" s="2" t="s">
        <v>635</v>
      </c>
      <c r="BH96" s="2" t="s">
        <v>635</v>
      </c>
      <c r="BI96" s="2" t="s">
        <v>635</v>
      </c>
      <c r="BJ96" s="2" t="s">
        <v>480</v>
      </c>
      <c r="BK96" s="2" t="s">
        <v>635</v>
      </c>
      <c r="BL96" s="2" t="s">
        <v>431</v>
      </c>
      <c r="BM96" s="2" t="s">
        <v>23</v>
      </c>
      <c r="BN96" s="2" t="s">
        <v>635</v>
      </c>
      <c r="BO96" s="2" t="s">
        <v>635</v>
      </c>
      <c r="BP96" s="2" t="s">
        <v>333</v>
      </c>
      <c r="BQ96" s="2" t="s">
        <v>68</v>
      </c>
      <c r="BR96" s="2" t="s">
        <v>635</v>
      </c>
      <c r="BS96" s="2" t="s">
        <v>635</v>
      </c>
      <c r="BT96" s="2" t="s">
        <v>1050</v>
      </c>
      <c r="BU96" s="2" t="s">
        <v>635</v>
      </c>
      <c r="BV96" s="2" t="s">
        <v>635</v>
      </c>
      <c r="BW96" s="2" t="s">
        <v>635</v>
      </c>
      <c r="BX96" s="2" t="s">
        <v>810</v>
      </c>
      <c r="BY96" s="2" t="s">
        <v>635</v>
      </c>
      <c r="BZ96" s="2" t="s">
        <v>69</v>
      </c>
      <c r="CA96" s="2" t="s">
        <v>69</v>
      </c>
      <c r="CB96" s="2" t="s">
        <v>70</v>
      </c>
      <c r="CC96" s="2" t="s">
        <v>635</v>
      </c>
      <c r="CD96" s="2" t="s">
        <v>635</v>
      </c>
    </row>
    <row r="97" spans="1:82" x14ac:dyDescent="0.25">
      <c r="A97" s="2" t="s">
        <v>456</v>
      </c>
      <c r="B97" s="2" t="s">
        <v>457</v>
      </c>
      <c r="C97" s="2" t="s">
        <v>635</v>
      </c>
      <c r="D97" s="2" t="s">
        <v>635</v>
      </c>
      <c r="E97" s="2" t="s">
        <v>346</v>
      </c>
      <c r="F97" s="2" t="s">
        <v>329</v>
      </c>
      <c r="G97" s="2" t="s">
        <v>330</v>
      </c>
      <c r="H97" s="2" t="s">
        <v>635</v>
      </c>
      <c r="I97" s="2" t="s">
        <v>64</v>
      </c>
      <c r="J97" s="2" t="s">
        <v>635</v>
      </c>
      <c r="K97" s="2" t="s">
        <v>64</v>
      </c>
      <c r="L97" s="2"/>
      <c r="M97" s="2" t="s">
        <v>635</v>
      </c>
      <c r="N97" s="2" t="s">
        <v>1033</v>
      </c>
      <c r="O97" s="2" t="s">
        <v>1034</v>
      </c>
      <c r="P97" s="2" t="s">
        <v>635</v>
      </c>
      <c r="Q97" s="2" t="s">
        <v>635</v>
      </c>
      <c r="S97" s="2" t="s">
        <v>635</v>
      </c>
      <c r="T97" s="2" t="s">
        <v>635</v>
      </c>
      <c r="U97" s="2" t="s">
        <v>35</v>
      </c>
      <c r="V97" s="2" t="s">
        <v>635</v>
      </c>
      <c r="W97" s="2" t="s">
        <v>458</v>
      </c>
      <c r="X97" s="2" t="s">
        <v>635</v>
      </c>
      <c r="Y97" s="2" t="s">
        <v>826</v>
      </c>
      <c r="Z97" s="2"/>
      <c r="AA97" s="2" t="s">
        <v>635</v>
      </c>
      <c r="AB97" s="2" t="s">
        <v>635</v>
      </c>
      <c r="AC97">
        <v>1</v>
      </c>
      <c r="AD97" s="2" t="s">
        <v>678</v>
      </c>
      <c r="AE97" s="2" t="s">
        <v>635</v>
      </c>
      <c r="AF97">
        <v>0</v>
      </c>
      <c r="AG97" s="2" t="s">
        <v>635</v>
      </c>
      <c r="AH97" s="2" t="s">
        <v>827</v>
      </c>
      <c r="AI97">
        <v>0</v>
      </c>
      <c r="AJ97" s="2">
        <v>0</v>
      </c>
      <c r="AK97">
        <v>0</v>
      </c>
      <c r="AL97" s="2"/>
      <c r="AM97">
        <v>0</v>
      </c>
      <c r="AN97" s="2" t="s">
        <v>827</v>
      </c>
      <c r="AO97" s="2">
        <v>0</v>
      </c>
      <c r="AP97" s="2">
        <v>0</v>
      </c>
      <c r="AQ97" s="2" t="s">
        <v>635</v>
      </c>
      <c r="AR97" s="2" t="s">
        <v>100</v>
      </c>
      <c r="AS97" s="2" t="s">
        <v>11</v>
      </c>
      <c r="AT97" s="2" t="s">
        <v>331</v>
      </c>
      <c r="AU97" s="2" t="s">
        <v>635</v>
      </c>
      <c r="AV97" s="2" t="s">
        <v>635</v>
      </c>
      <c r="AW97" s="2" t="s">
        <v>635</v>
      </c>
      <c r="AX97" s="2" t="s">
        <v>98</v>
      </c>
      <c r="AY97" s="2" t="s">
        <v>904</v>
      </c>
      <c r="AZ97" s="2" t="s">
        <v>96</v>
      </c>
      <c r="BA97" s="2" t="s">
        <v>677</v>
      </c>
      <c r="BB97" s="2" t="s">
        <v>635</v>
      </c>
      <c r="BC97" s="2" t="s">
        <v>635</v>
      </c>
      <c r="BD97" s="2" t="s">
        <v>101</v>
      </c>
      <c r="BE97" s="2" t="s">
        <v>635</v>
      </c>
      <c r="BF97" s="2" t="s">
        <v>635</v>
      </c>
      <c r="BG97" s="2" t="s">
        <v>635</v>
      </c>
      <c r="BH97" s="2" t="s">
        <v>635</v>
      </c>
      <c r="BI97" s="2" t="s">
        <v>635</v>
      </c>
      <c r="BJ97" s="2" t="s">
        <v>809</v>
      </c>
      <c r="BK97" s="2" t="s">
        <v>635</v>
      </c>
      <c r="BL97" s="2" t="s">
        <v>635</v>
      </c>
      <c r="BM97" s="2" t="s">
        <v>104</v>
      </c>
      <c r="BN97" s="2" t="s">
        <v>635</v>
      </c>
      <c r="BO97" s="2" t="s">
        <v>635</v>
      </c>
      <c r="BP97" s="2" t="s">
        <v>635</v>
      </c>
      <c r="BQ97" s="2" t="s">
        <v>97</v>
      </c>
      <c r="BR97" s="2" t="s">
        <v>635</v>
      </c>
      <c r="BS97" s="2" t="s">
        <v>635</v>
      </c>
      <c r="BT97" s="2" t="s">
        <v>1051</v>
      </c>
      <c r="BU97" s="2" t="s">
        <v>635</v>
      </c>
      <c r="BV97" s="2" t="s">
        <v>635</v>
      </c>
      <c r="BW97" s="2" t="s">
        <v>635</v>
      </c>
      <c r="BX97" s="2" t="s">
        <v>101</v>
      </c>
      <c r="BY97" s="2" t="s">
        <v>635</v>
      </c>
      <c r="BZ97" s="2" t="s">
        <v>99</v>
      </c>
      <c r="CA97" s="2" t="s">
        <v>99</v>
      </c>
      <c r="CB97" s="2" t="s">
        <v>459</v>
      </c>
      <c r="CC97" s="2" t="s">
        <v>102</v>
      </c>
      <c r="CD97" s="2" t="s">
        <v>635</v>
      </c>
    </row>
    <row r="98" spans="1:82" x14ac:dyDescent="0.25">
      <c r="A98" s="2" t="s">
        <v>481</v>
      </c>
      <c r="B98" s="2" t="s">
        <v>482</v>
      </c>
      <c r="C98" s="2" t="s">
        <v>635</v>
      </c>
      <c r="D98" s="2" t="s">
        <v>635</v>
      </c>
      <c r="E98" s="2" t="s">
        <v>346</v>
      </c>
      <c r="F98" s="2" t="s">
        <v>329</v>
      </c>
      <c r="G98" s="2" t="s">
        <v>330</v>
      </c>
      <c r="H98" s="2" t="s">
        <v>635</v>
      </c>
      <c r="I98" s="2" t="s">
        <v>635</v>
      </c>
      <c r="J98" s="2" t="s">
        <v>635</v>
      </c>
      <c r="K98" s="2" t="s">
        <v>635</v>
      </c>
      <c r="L98" s="2"/>
      <c r="M98" s="2" t="s">
        <v>635</v>
      </c>
      <c r="N98" s="2" t="s">
        <v>1052</v>
      </c>
      <c r="O98" s="2" t="s">
        <v>1053</v>
      </c>
      <c r="P98" s="2" t="s">
        <v>635</v>
      </c>
      <c r="Q98" s="2" t="s">
        <v>635</v>
      </c>
      <c r="S98" s="2" t="s">
        <v>635</v>
      </c>
      <c r="T98" s="2" t="s">
        <v>635</v>
      </c>
      <c r="U98" s="2" t="s">
        <v>35</v>
      </c>
      <c r="V98" s="2" t="s">
        <v>635</v>
      </c>
      <c r="W98" s="2" t="s">
        <v>483</v>
      </c>
      <c r="X98" s="2" t="s">
        <v>635</v>
      </c>
      <c r="Y98" s="2" t="s">
        <v>896</v>
      </c>
      <c r="Z98" s="2"/>
      <c r="AA98" s="2" t="s">
        <v>635</v>
      </c>
      <c r="AB98" s="2" t="s">
        <v>635</v>
      </c>
      <c r="AC98">
        <v>1</v>
      </c>
      <c r="AD98" s="2" t="s">
        <v>678</v>
      </c>
      <c r="AE98" s="2" t="s">
        <v>635</v>
      </c>
      <c r="AF98">
        <v>0</v>
      </c>
      <c r="AG98" s="2" t="s">
        <v>635</v>
      </c>
      <c r="AH98" s="2" t="s">
        <v>827</v>
      </c>
      <c r="AI98">
        <v>0</v>
      </c>
      <c r="AJ98" s="2">
        <v>0</v>
      </c>
      <c r="AK98">
        <v>0</v>
      </c>
      <c r="AL98" s="2"/>
      <c r="AM98">
        <v>0</v>
      </c>
      <c r="AN98" s="2" t="s">
        <v>827</v>
      </c>
      <c r="AO98" s="2">
        <v>0</v>
      </c>
      <c r="AP98" s="2">
        <v>0</v>
      </c>
      <c r="AQ98" s="2" t="s">
        <v>635</v>
      </c>
      <c r="AR98" s="2" t="s">
        <v>281</v>
      </c>
      <c r="AS98" s="2" t="s">
        <v>11</v>
      </c>
      <c r="AT98" s="2" t="s">
        <v>331</v>
      </c>
      <c r="AU98" s="2" t="s">
        <v>635</v>
      </c>
      <c r="AV98" s="2" t="s">
        <v>635</v>
      </c>
      <c r="AW98" s="2" t="s">
        <v>635</v>
      </c>
      <c r="AX98" s="2" t="s">
        <v>277</v>
      </c>
      <c r="AY98" s="2" t="s">
        <v>854</v>
      </c>
      <c r="AZ98" s="2" t="s">
        <v>275</v>
      </c>
      <c r="BA98" s="2" t="s">
        <v>661</v>
      </c>
      <c r="BB98" s="2" t="s">
        <v>635</v>
      </c>
      <c r="BC98" s="2" t="s">
        <v>635</v>
      </c>
      <c r="BD98" s="2" t="s">
        <v>1054</v>
      </c>
      <c r="BE98" s="2" t="s">
        <v>635</v>
      </c>
      <c r="BF98" s="2" t="s">
        <v>635</v>
      </c>
      <c r="BG98" s="2" t="s">
        <v>635</v>
      </c>
      <c r="BH98" s="2" t="s">
        <v>635</v>
      </c>
      <c r="BI98" s="2" t="s">
        <v>635</v>
      </c>
      <c r="BJ98" s="2" t="s">
        <v>635</v>
      </c>
      <c r="BK98" s="2" t="s">
        <v>635</v>
      </c>
      <c r="BL98" s="2" t="s">
        <v>635</v>
      </c>
      <c r="BM98" s="2" t="s">
        <v>635</v>
      </c>
      <c r="BN98" s="2" t="s">
        <v>635</v>
      </c>
      <c r="BO98" s="2" t="s">
        <v>635</v>
      </c>
      <c r="BP98" s="2" t="s">
        <v>635</v>
      </c>
      <c r="BQ98" s="2" t="s">
        <v>635</v>
      </c>
      <c r="BR98" s="2" t="s">
        <v>635</v>
      </c>
      <c r="BS98" s="2" t="s">
        <v>635</v>
      </c>
      <c r="BT98" s="2" t="s">
        <v>635</v>
      </c>
      <c r="BU98" s="2" t="s">
        <v>635</v>
      </c>
      <c r="BV98" s="2" t="s">
        <v>635</v>
      </c>
      <c r="BW98" s="2" t="s">
        <v>635</v>
      </c>
      <c r="BX98" s="2" t="s">
        <v>635</v>
      </c>
      <c r="BY98" s="2" t="s">
        <v>635</v>
      </c>
      <c r="BZ98" s="2" t="s">
        <v>635</v>
      </c>
      <c r="CA98" s="2" t="s">
        <v>635</v>
      </c>
      <c r="CB98" s="2" t="s">
        <v>635</v>
      </c>
      <c r="CC98" s="2" t="s">
        <v>635</v>
      </c>
      <c r="CD98" s="2" t="s">
        <v>635</v>
      </c>
    </row>
    <row r="99" spans="1:82" x14ac:dyDescent="0.25">
      <c r="A99" s="2" t="s">
        <v>1055</v>
      </c>
      <c r="B99" s="2" t="s">
        <v>635</v>
      </c>
      <c r="C99" s="2" t="s">
        <v>827</v>
      </c>
      <c r="D99" s="2" t="s">
        <v>635</v>
      </c>
      <c r="E99" s="2" t="s">
        <v>635</v>
      </c>
      <c r="F99" s="2" t="s">
        <v>635</v>
      </c>
      <c r="G99" s="2" t="s">
        <v>484</v>
      </c>
      <c r="H99" s="2" t="s">
        <v>635</v>
      </c>
      <c r="I99" s="2" t="s">
        <v>635</v>
      </c>
      <c r="J99" s="2" t="s">
        <v>104</v>
      </c>
      <c r="K99" s="2" t="s">
        <v>635</v>
      </c>
      <c r="L99" s="2"/>
      <c r="M99" s="2" t="s">
        <v>635</v>
      </c>
      <c r="N99" s="2" t="s">
        <v>276</v>
      </c>
      <c r="O99" s="2" t="s">
        <v>635</v>
      </c>
      <c r="P99" s="2" t="s">
        <v>635</v>
      </c>
      <c r="Q99" s="2" t="s">
        <v>1056</v>
      </c>
      <c r="S99" s="2" t="s">
        <v>279</v>
      </c>
      <c r="T99" s="2" t="s">
        <v>635</v>
      </c>
      <c r="U99" s="2" t="s">
        <v>1057</v>
      </c>
      <c r="V99" s="2" t="s">
        <v>635</v>
      </c>
      <c r="W99" s="2" t="s">
        <v>635</v>
      </c>
      <c r="X99" s="2" t="s">
        <v>635</v>
      </c>
      <c r="Y99" s="2" t="s">
        <v>635</v>
      </c>
      <c r="Z99" s="2"/>
      <c r="AA99" s="2" t="s">
        <v>635</v>
      </c>
      <c r="AB99" s="2" t="s">
        <v>635</v>
      </c>
      <c r="AD99" s="2" t="s">
        <v>635</v>
      </c>
      <c r="AE99" s="2" t="s">
        <v>635</v>
      </c>
      <c r="AG99" s="2" t="s">
        <v>635</v>
      </c>
      <c r="AH99" s="2" t="s">
        <v>635</v>
      </c>
      <c r="AJ99" s="2"/>
      <c r="AL99" s="2"/>
      <c r="AN99" s="2" t="s">
        <v>635</v>
      </c>
      <c r="AO99" s="2"/>
      <c r="AP99" s="2"/>
      <c r="AQ99" s="2" t="s">
        <v>635</v>
      </c>
      <c r="AR99" s="2" t="s">
        <v>635</v>
      </c>
      <c r="AS99" s="2" t="s">
        <v>635</v>
      </c>
      <c r="AT99" s="2" t="s">
        <v>635</v>
      </c>
      <c r="AU99" s="2" t="s">
        <v>635</v>
      </c>
      <c r="AV99" s="2" t="s">
        <v>635</v>
      </c>
      <c r="AW99" s="2" t="s">
        <v>635</v>
      </c>
      <c r="AX99" s="2" t="s">
        <v>635</v>
      </c>
      <c r="AY99" s="2" t="s">
        <v>635</v>
      </c>
      <c r="AZ99" s="2" t="s">
        <v>635</v>
      </c>
      <c r="BA99" s="2" t="s">
        <v>635</v>
      </c>
      <c r="BB99" s="2" t="s">
        <v>635</v>
      </c>
      <c r="BC99" s="2" t="s">
        <v>635</v>
      </c>
      <c r="BD99" s="2" t="s">
        <v>635</v>
      </c>
      <c r="BE99" s="2" t="s">
        <v>635</v>
      </c>
      <c r="BF99" s="2" t="s">
        <v>635</v>
      </c>
      <c r="BG99" s="2" t="s">
        <v>635</v>
      </c>
      <c r="BH99" s="2" t="s">
        <v>635</v>
      </c>
      <c r="BI99" s="2" t="s">
        <v>635</v>
      </c>
      <c r="BJ99" s="2" t="s">
        <v>635</v>
      </c>
      <c r="BK99" s="2" t="s">
        <v>635</v>
      </c>
      <c r="BL99" s="2" t="s">
        <v>635</v>
      </c>
      <c r="BM99" s="2" t="s">
        <v>635</v>
      </c>
      <c r="BN99" s="2" t="s">
        <v>635</v>
      </c>
      <c r="BO99" s="2" t="s">
        <v>635</v>
      </c>
      <c r="BP99" s="2" t="s">
        <v>635</v>
      </c>
      <c r="BQ99" s="2" t="s">
        <v>635</v>
      </c>
      <c r="BR99" s="2" t="s">
        <v>635</v>
      </c>
      <c r="BS99" s="2" t="s">
        <v>635</v>
      </c>
      <c r="BT99" s="2" t="s">
        <v>635</v>
      </c>
      <c r="BU99" s="2" t="s">
        <v>635</v>
      </c>
      <c r="BV99" s="2" t="s">
        <v>635</v>
      </c>
      <c r="BW99" s="2" t="s">
        <v>635</v>
      </c>
      <c r="BX99" s="2" t="s">
        <v>635</v>
      </c>
      <c r="BY99" s="2" t="s">
        <v>635</v>
      </c>
      <c r="BZ99" s="2" t="s">
        <v>635</v>
      </c>
      <c r="CA99" s="2" t="s">
        <v>635</v>
      </c>
      <c r="CB99" s="2" t="s">
        <v>635</v>
      </c>
      <c r="CC99" s="2" t="s">
        <v>635</v>
      </c>
      <c r="CD99" s="2" t="s">
        <v>635</v>
      </c>
    </row>
    <row r="100" spans="1:82" x14ac:dyDescent="0.25">
      <c r="A100" s="2" t="s">
        <v>1058</v>
      </c>
      <c r="B100" s="2" t="s">
        <v>837</v>
      </c>
      <c r="C100" s="2" t="s">
        <v>280</v>
      </c>
      <c r="D100" s="2" t="s">
        <v>278</v>
      </c>
      <c r="E100" s="2" t="s">
        <v>282</v>
      </c>
      <c r="F100" s="2" t="s">
        <v>635</v>
      </c>
      <c r="G100" s="2" t="s">
        <v>635</v>
      </c>
      <c r="H100" s="2" t="s">
        <v>635</v>
      </c>
      <c r="I100" s="2" t="s">
        <v>635</v>
      </c>
      <c r="J100" s="2" t="s">
        <v>635</v>
      </c>
      <c r="K100" s="2" t="s">
        <v>635</v>
      </c>
      <c r="L100" s="2"/>
      <c r="M100" s="2" t="s">
        <v>635</v>
      </c>
      <c r="N100" s="2" t="s">
        <v>635</v>
      </c>
      <c r="O100" s="2" t="s">
        <v>635</v>
      </c>
      <c r="P100" s="2" t="s">
        <v>635</v>
      </c>
      <c r="Q100" s="2" t="s">
        <v>635</v>
      </c>
      <c r="S100" s="2" t="s">
        <v>635</v>
      </c>
      <c r="T100" s="2" t="s">
        <v>635</v>
      </c>
      <c r="U100" s="2" t="s">
        <v>635</v>
      </c>
      <c r="V100" s="2" t="s">
        <v>635</v>
      </c>
      <c r="W100" s="2" t="s">
        <v>635</v>
      </c>
      <c r="X100" s="2" t="s">
        <v>635</v>
      </c>
      <c r="Y100" s="2" t="s">
        <v>635</v>
      </c>
      <c r="Z100" s="2"/>
      <c r="AA100" s="2" t="s">
        <v>635</v>
      </c>
      <c r="AB100" s="2" t="s">
        <v>635</v>
      </c>
      <c r="AD100" s="2" t="s">
        <v>635</v>
      </c>
      <c r="AE100" s="2" t="s">
        <v>635</v>
      </c>
      <c r="AG100" s="2" t="s">
        <v>635</v>
      </c>
      <c r="AH100" s="2" t="s">
        <v>635</v>
      </c>
      <c r="AJ100" s="2"/>
      <c r="AL100" s="2"/>
      <c r="AN100" s="2" t="s">
        <v>635</v>
      </c>
      <c r="AO100" s="2"/>
      <c r="AP100" s="2"/>
      <c r="AQ100" s="2" t="s">
        <v>635</v>
      </c>
      <c r="AR100" s="2" t="s">
        <v>635</v>
      </c>
      <c r="AS100" s="2" t="s">
        <v>635</v>
      </c>
      <c r="AT100" s="2" t="s">
        <v>635</v>
      </c>
      <c r="AU100" s="2" t="s">
        <v>635</v>
      </c>
      <c r="AV100" s="2" t="s">
        <v>635</v>
      </c>
      <c r="AW100" s="2" t="s">
        <v>635</v>
      </c>
      <c r="AX100" s="2" t="s">
        <v>635</v>
      </c>
      <c r="AY100" s="2" t="s">
        <v>635</v>
      </c>
      <c r="AZ100" s="2" t="s">
        <v>635</v>
      </c>
      <c r="BA100" s="2" t="s">
        <v>635</v>
      </c>
      <c r="BB100" s="2" t="s">
        <v>635</v>
      </c>
      <c r="BC100" s="2" t="s">
        <v>635</v>
      </c>
      <c r="BD100" s="2" t="s">
        <v>635</v>
      </c>
      <c r="BE100" s="2" t="s">
        <v>635</v>
      </c>
      <c r="BF100" s="2" t="s">
        <v>635</v>
      </c>
      <c r="BG100" s="2" t="s">
        <v>635</v>
      </c>
      <c r="BH100" s="2" t="s">
        <v>635</v>
      </c>
      <c r="BI100" s="2" t="s">
        <v>635</v>
      </c>
      <c r="BJ100" s="2" t="s">
        <v>635</v>
      </c>
      <c r="BK100" s="2" t="s">
        <v>635</v>
      </c>
      <c r="BL100" s="2" t="s">
        <v>635</v>
      </c>
      <c r="BM100" s="2" t="s">
        <v>635</v>
      </c>
      <c r="BN100" s="2" t="s">
        <v>635</v>
      </c>
      <c r="BO100" s="2" t="s">
        <v>635</v>
      </c>
      <c r="BP100" s="2" t="s">
        <v>635</v>
      </c>
      <c r="BQ100" s="2" t="s">
        <v>635</v>
      </c>
      <c r="BR100" s="2" t="s">
        <v>635</v>
      </c>
      <c r="BS100" s="2" t="s">
        <v>635</v>
      </c>
      <c r="BT100" s="2" t="s">
        <v>635</v>
      </c>
      <c r="BU100" s="2" t="s">
        <v>635</v>
      </c>
      <c r="BV100" s="2" t="s">
        <v>635</v>
      </c>
      <c r="BW100" s="2" t="s">
        <v>635</v>
      </c>
      <c r="BX100" s="2" t="s">
        <v>635</v>
      </c>
      <c r="BY100" s="2" t="s">
        <v>635</v>
      </c>
      <c r="BZ100" s="2" t="s">
        <v>635</v>
      </c>
      <c r="CA100" s="2" t="s">
        <v>635</v>
      </c>
      <c r="CB100" s="2" t="s">
        <v>635</v>
      </c>
      <c r="CC100" s="2" t="s">
        <v>635</v>
      </c>
      <c r="CD100" s="2" t="s">
        <v>635</v>
      </c>
    </row>
    <row r="101" spans="1:82" x14ac:dyDescent="0.25">
      <c r="A101" s="2" t="s">
        <v>485</v>
      </c>
      <c r="B101" s="2" t="s">
        <v>486</v>
      </c>
      <c r="C101" s="2" t="s">
        <v>635</v>
      </c>
      <c r="D101" s="2" t="s">
        <v>635</v>
      </c>
      <c r="E101" s="2" t="s">
        <v>346</v>
      </c>
      <c r="F101" s="2" t="s">
        <v>329</v>
      </c>
      <c r="G101" s="2" t="s">
        <v>330</v>
      </c>
      <c r="H101" s="2" t="s">
        <v>635</v>
      </c>
      <c r="I101" s="2" t="s">
        <v>64</v>
      </c>
      <c r="J101" s="2" t="s">
        <v>635</v>
      </c>
      <c r="K101" s="2" t="s">
        <v>64</v>
      </c>
      <c r="L101" s="2"/>
      <c r="M101" s="2" t="s">
        <v>635</v>
      </c>
      <c r="N101" s="2" t="s">
        <v>1059</v>
      </c>
      <c r="O101" s="2" t="s">
        <v>939</v>
      </c>
      <c r="P101" s="2" t="s">
        <v>635</v>
      </c>
      <c r="Q101" s="2" t="s">
        <v>635</v>
      </c>
      <c r="S101" s="2" t="s">
        <v>635</v>
      </c>
      <c r="T101" s="2" t="s">
        <v>635</v>
      </c>
      <c r="U101" s="2" t="s">
        <v>35</v>
      </c>
      <c r="V101" s="2" t="s">
        <v>635</v>
      </c>
      <c r="W101" s="2" t="s">
        <v>1060</v>
      </c>
      <c r="X101" s="2" t="s">
        <v>1061</v>
      </c>
      <c r="Y101" s="2" t="s">
        <v>635</v>
      </c>
      <c r="Z101" s="2">
        <v>1997</v>
      </c>
      <c r="AA101" s="2" t="s">
        <v>635</v>
      </c>
      <c r="AB101" s="2" t="s">
        <v>635</v>
      </c>
      <c r="AD101" s="2" t="s">
        <v>678</v>
      </c>
      <c r="AE101" s="2" t="s">
        <v>678</v>
      </c>
      <c r="AG101" s="2" t="s">
        <v>827</v>
      </c>
      <c r="AH101" s="2" t="s">
        <v>635</v>
      </c>
      <c r="AI101">
        <v>0</v>
      </c>
      <c r="AJ101" s="2">
        <v>0</v>
      </c>
      <c r="AK101">
        <v>0</v>
      </c>
      <c r="AL101" s="2">
        <v>0</v>
      </c>
      <c r="AN101" s="2" t="s">
        <v>827</v>
      </c>
      <c r="AO101" s="2">
        <v>0</v>
      </c>
      <c r="AP101" s="2">
        <v>0</v>
      </c>
      <c r="AQ101" s="2" t="s">
        <v>827</v>
      </c>
      <c r="AR101" s="2" t="s">
        <v>635</v>
      </c>
      <c r="AS101" s="2" t="s">
        <v>635</v>
      </c>
      <c r="AT101" s="2" t="s">
        <v>11</v>
      </c>
      <c r="AU101" s="2" t="s">
        <v>331</v>
      </c>
      <c r="AV101" s="2" t="s">
        <v>635</v>
      </c>
      <c r="AW101" s="2" t="s">
        <v>635</v>
      </c>
      <c r="AX101" s="2" t="s">
        <v>635</v>
      </c>
      <c r="AY101" s="2" t="s">
        <v>251</v>
      </c>
      <c r="AZ101" s="2" t="s">
        <v>828</v>
      </c>
      <c r="BA101" s="2" t="s">
        <v>283</v>
      </c>
      <c r="BB101" s="2" t="s">
        <v>662</v>
      </c>
      <c r="BC101" s="2" t="s">
        <v>635</v>
      </c>
      <c r="BD101" s="2" t="s">
        <v>635</v>
      </c>
      <c r="BE101" s="2" t="s">
        <v>487</v>
      </c>
      <c r="BF101" s="2" t="s">
        <v>635</v>
      </c>
      <c r="BG101" s="2" t="s">
        <v>635</v>
      </c>
      <c r="BH101" s="2" t="s">
        <v>635</v>
      </c>
      <c r="BI101" s="2" t="s">
        <v>635</v>
      </c>
      <c r="BJ101" s="2" t="s">
        <v>635</v>
      </c>
      <c r="BK101" s="2" t="s">
        <v>276</v>
      </c>
      <c r="BL101" s="2" t="s">
        <v>635</v>
      </c>
      <c r="BM101" s="2" t="s">
        <v>635</v>
      </c>
      <c r="BN101" s="2" t="s">
        <v>104</v>
      </c>
      <c r="BO101" s="2" t="s">
        <v>635</v>
      </c>
      <c r="BP101" s="2" t="s">
        <v>635</v>
      </c>
      <c r="BQ101" s="2" t="s">
        <v>635</v>
      </c>
      <c r="BR101" s="2" t="s">
        <v>276</v>
      </c>
      <c r="BS101" s="2" t="s">
        <v>635</v>
      </c>
      <c r="BT101" s="2" t="s">
        <v>635</v>
      </c>
      <c r="BU101" s="2" t="s">
        <v>1062</v>
      </c>
      <c r="BV101" s="2" t="s">
        <v>635</v>
      </c>
      <c r="BW101" s="2" t="s">
        <v>635</v>
      </c>
      <c r="BX101" s="2" t="s">
        <v>635</v>
      </c>
      <c r="BY101" s="2" t="s">
        <v>284</v>
      </c>
      <c r="BZ101" s="2" t="s">
        <v>635</v>
      </c>
      <c r="CA101" s="2" t="s">
        <v>136</v>
      </c>
      <c r="CB101" s="2" t="s">
        <v>136</v>
      </c>
      <c r="CC101" s="2" t="s">
        <v>285</v>
      </c>
      <c r="CD101" s="2" t="s">
        <v>635</v>
      </c>
    </row>
    <row r="102" spans="1:82" x14ac:dyDescent="0.25">
      <c r="A102" s="2" t="s">
        <v>438</v>
      </c>
      <c r="B102" s="2" t="s">
        <v>439</v>
      </c>
      <c r="C102" s="2" t="s">
        <v>635</v>
      </c>
      <c r="D102" s="2" t="s">
        <v>635</v>
      </c>
      <c r="E102" s="2" t="s">
        <v>346</v>
      </c>
      <c r="F102" s="2" t="s">
        <v>329</v>
      </c>
      <c r="G102" s="2" t="s">
        <v>330</v>
      </c>
      <c r="H102" s="2" t="s">
        <v>635</v>
      </c>
      <c r="I102" s="2" t="s">
        <v>7</v>
      </c>
      <c r="J102" s="2" t="s">
        <v>635</v>
      </c>
      <c r="K102" s="2" t="s">
        <v>7</v>
      </c>
      <c r="L102" s="2"/>
      <c r="M102" s="2" t="s">
        <v>635</v>
      </c>
      <c r="N102" s="2" t="s">
        <v>1017</v>
      </c>
      <c r="O102" s="2" t="s">
        <v>1007</v>
      </c>
      <c r="P102" s="2" t="s">
        <v>635</v>
      </c>
      <c r="Q102" s="2" t="s">
        <v>635</v>
      </c>
      <c r="S102" s="2" t="s">
        <v>635</v>
      </c>
      <c r="T102" s="2" t="s">
        <v>635</v>
      </c>
      <c r="U102" s="2" t="s">
        <v>35</v>
      </c>
      <c r="V102" s="2" t="s">
        <v>635</v>
      </c>
      <c r="W102" s="2" t="s">
        <v>1018</v>
      </c>
      <c r="X102" s="2" t="s">
        <v>635</v>
      </c>
      <c r="Y102" s="2" t="s">
        <v>635</v>
      </c>
      <c r="Z102" s="2"/>
      <c r="AA102" s="2" t="s">
        <v>635</v>
      </c>
      <c r="AB102" s="2" t="s">
        <v>635</v>
      </c>
      <c r="AD102" s="2" t="s">
        <v>635</v>
      </c>
      <c r="AE102" s="2" t="s">
        <v>635</v>
      </c>
      <c r="AG102" s="2" t="s">
        <v>635</v>
      </c>
      <c r="AH102" s="2" t="s">
        <v>635</v>
      </c>
      <c r="AJ102" s="2"/>
      <c r="AL102" s="2"/>
      <c r="AN102" s="2" t="s">
        <v>635</v>
      </c>
      <c r="AO102" s="2"/>
      <c r="AP102" s="2"/>
      <c r="AQ102" s="2" t="s">
        <v>635</v>
      </c>
      <c r="AR102" s="2" t="s">
        <v>635</v>
      </c>
      <c r="AS102" s="2" t="s">
        <v>635</v>
      </c>
      <c r="AT102" s="2" t="s">
        <v>635</v>
      </c>
      <c r="AU102" s="2" t="s">
        <v>635</v>
      </c>
      <c r="AV102" s="2" t="s">
        <v>635</v>
      </c>
      <c r="AW102" s="2" t="s">
        <v>635</v>
      </c>
      <c r="AX102" s="2" t="s">
        <v>635</v>
      </c>
      <c r="AY102" s="2" t="s">
        <v>635</v>
      </c>
      <c r="AZ102" s="2" t="s">
        <v>635</v>
      </c>
      <c r="BA102" s="2" t="s">
        <v>635</v>
      </c>
      <c r="BB102" s="2" t="s">
        <v>635</v>
      </c>
      <c r="BC102" s="2" t="s">
        <v>635</v>
      </c>
      <c r="BD102" s="2" t="s">
        <v>635</v>
      </c>
      <c r="BE102" s="2" t="s">
        <v>635</v>
      </c>
      <c r="BF102" s="2" t="s">
        <v>635</v>
      </c>
      <c r="BG102" s="2" t="s">
        <v>635</v>
      </c>
      <c r="BH102" s="2" t="s">
        <v>635</v>
      </c>
      <c r="BI102" s="2" t="s">
        <v>635</v>
      </c>
      <c r="BJ102" s="2" t="s">
        <v>635</v>
      </c>
      <c r="BK102" s="2" t="s">
        <v>635</v>
      </c>
      <c r="BL102" s="2" t="s">
        <v>635</v>
      </c>
      <c r="BM102" s="2" t="s">
        <v>635</v>
      </c>
      <c r="BN102" s="2" t="s">
        <v>635</v>
      </c>
      <c r="BO102" s="2" t="s">
        <v>635</v>
      </c>
      <c r="BP102" s="2" t="s">
        <v>635</v>
      </c>
      <c r="BQ102" s="2" t="s">
        <v>635</v>
      </c>
      <c r="BR102" s="2" t="s">
        <v>635</v>
      </c>
      <c r="BS102" s="2" t="s">
        <v>635</v>
      </c>
      <c r="BT102" s="2" t="s">
        <v>635</v>
      </c>
      <c r="BU102" s="2" t="s">
        <v>635</v>
      </c>
      <c r="BV102" s="2" t="s">
        <v>635</v>
      </c>
      <c r="BW102" s="2" t="s">
        <v>635</v>
      </c>
      <c r="BX102" s="2" t="s">
        <v>635</v>
      </c>
      <c r="BY102" s="2" t="s">
        <v>635</v>
      </c>
      <c r="BZ102" s="2" t="s">
        <v>635</v>
      </c>
      <c r="CA102" s="2" t="s">
        <v>635</v>
      </c>
      <c r="CB102" s="2" t="s">
        <v>635</v>
      </c>
      <c r="CC102" s="2" t="s">
        <v>635</v>
      </c>
      <c r="CD102" s="2" t="s">
        <v>635</v>
      </c>
    </row>
    <row r="103" spans="1:82" x14ac:dyDescent="0.25">
      <c r="A103" s="2" t="s">
        <v>1019</v>
      </c>
      <c r="B103" s="2" t="s">
        <v>635</v>
      </c>
      <c r="C103" s="2" t="s">
        <v>869</v>
      </c>
      <c r="D103" s="2" t="s">
        <v>635</v>
      </c>
      <c r="E103" s="2" t="s">
        <v>635</v>
      </c>
      <c r="F103" s="2" t="s">
        <v>635</v>
      </c>
      <c r="G103" s="2" t="s">
        <v>678</v>
      </c>
      <c r="H103" s="2" t="s">
        <v>678</v>
      </c>
      <c r="I103" s="2" t="s">
        <v>635</v>
      </c>
      <c r="J103" s="2" t="s">
        <v>827</v>
      </c>
      <c r="K103" s="2" t="s">
        <v>635</v>
      </c>
      <c r="L103" s="2">
        <v>0</v>
      </c>
      <c r="M103" s="2" t="s">
        <v>827</v>
      </c>
      <c r="N103" s="2" t="s">
        <v>827</v>
      </c>
      <c r="O103" s="2" t="s">
        <v>827</v>
      </c>
      <c r="P103" s="2" t="s">
        <v>635</v>
      </c>
      <c r="Q103" s="2" t="s">
        <v>678</v>
      </c>
      <c r="R103">
        <v>0</v>
      </c>
      <c r="S103" s="2" t="s">
        <v>827</v>
      </c>
      <c r="T103" s="2" t="s">
        <v>827</v>
      </c>
      <c r="U103" s="2" t="s">
        <v>635</v>
      </c>
      <c r="V103" s="2" t="s">
        <v>290</v>
      </c>
      <c r="W103" s="2" t="s">
        <v>11</v>
      </c>
      <c r="X103" s="2" t="s">
        <v>331</v>
      </c>
      <c r="Y103" s="2" t="s">
        <v>635</v>
      </c>
      <c r="Z103" s="2"/>
      <c r="AA103" s="2" t="s">
        <v>635</v>
      </c>
      <c r="AB103" s="2" t="s">
        <v>140</v>
      </c>
      <c r="AC103">
        <v>40</v>
      </c>
      <c r="AD103" s="2" t="s">
        <v>286</v>
      </c>
      <c r="AE103" s="2" t="s">
        <v>815</v>
      </c>
      <c r="AG103" s="2" t="s">
        <v>635</v>
      </c>
      <c r="AH103" s="2" t="s">
        <v>816</v>
      </c>
      <c r="AJ103" s="2">
        <v>3</v>
      </c>
      <c r="AL103" s="2"/>
      <c r="AN103" s="2" t="s">
        <v>441</v>
      </c>
      <c r="AO103" s="2"/>
      <c r="AP103" s="2"/>
      <c r="AQ103" s="2" t="s">
        <v>14</v>
      </c>
      <c r="AR103" s="2" t="s">
        <v>635</v>
      </c>
      <c r="AS103" s="2" t="s">
        <v>635</v>
      </c>
      <c r="AT103" s="2" t="s">
        <v>635</v>
      </c>
      <c r="AU103" s="2" t="s">
        <v>817</v>
      </c>
      <c r="AV103" s="2" t="s">
        <v>635</v>
      </c>
      <c r="AW103" s="2" t="s">
        <v>635</v>
      </c>
      <c r="AX103" s="2" t="s">
        <v>1063</v>
      </c>
      <c r="AY103" s="2" t="s">
        <v>635</v>
      </c>
      <c r="AZ103" s="2" t="s">
        <v>288</v>
      </c>
      <c r="BA103" s="2" t="s">
        <v>635</v>
      </c>
      <c r="BB103" s="2" t="s">
        <v>291</v>
      </c>
      <c r="BC103" s="2" t="s">
        <v>865</v>
      </c>
      <c r="BD103" s="2" t="s">
        <v>289</v>
      </c>
      <c r="BE103" s="2" t="s">
        <v>6</v>
      </c>
      <c r="BF103" s="2" t="s">
        <v>818</v>
      </c>
      <c r="BG103" s="2" t="s">
        <v>635</v>
      </c>
      <c r="BH103" s="2" t="s">
        <v>635</v>
      </c>
      <c r="BI103" s="2" t="s">
        <v>635</v>
      </c>
      <c r="BJ103" s="2" t="s">
        <v>635</v>
      </c>
      <c r="BK103" s="2" t="s">
        <v>635</v>
      </c>
      <c r="BL103" s="2" t="s">
        <v>635</v>
      </c>
      <c r="BM103" s="2" t="s">
        <v>635</v>
      </c>
      <c r="BN103" s="2" t="s">
        <v>635</v>
      </c>
      <c r="BO103" s="2" t="s">
        <v>635</v>
      </c>
      <c r="BP103" s="2" t="s">
        <v>635</v>
      </c>
      <c r="BQ103" s="2" t="s">
        <v>635</v>
      </c>
      <c r="BR103" s="2" t="s">
        <v>635</v>
      </c>
      <c r="BS103" s="2" t="s">
        <v>635</v>
      </c>
      <c r="BT103" s="2" t="s">
        <v>635</v>
      </c>
      <c r="BU103" s="2" t="s">
        <v>635</v>
      </c>
      <c r="BV103" s="2" t="s">
        <v>635</v>
      </c>
      <c r="BW103" s="2" t="s">
        <v>635</v>
      </c>
      <c r="BX103" s="2" t="s">
        <v>635</v>
      </c>
      <c r="BY103" s="2" t="s">
        <v>635</v>
      </c>
      <c r="BZ103" s="2" t="s">
        <v>635</v>
      </c>
      <c r="CA103" s="2" t="s">
        <v>635</v>
      </c>
      <c r="CB103" s="2" t="s">
        <v>635</v>
      </c>
      <c r="CC103" s="2" t="s">
        <v>635</v>
      </c>
      <c r="CD103" s="2" t="s">
        <v>635</v>
      </c>
    </row>
    <row r="104" spans="1:82" x14ac:dyDescent="0.25">
      <c r="A104" s="2" t="s">
        <v>488</v>
      </c>
      <c r="B104" s="2" t="s">
        <v>489</v>
      </c>
      <c r="C104" s="2" t="s">
        <v>635</v>
      </c>
      <c r="D104" s="2" t="s">
        <v>635</v>
      </c>
      <c r="E104" s="2" t="s">
        <v>462</v>
      </c>
      <c r="F104" s="2" t="s">
        <v>329</v>
      </c>
      <c r="G104" s="2" t="s">
        <v>330</v>
      </c>
      <c r="H104" s="2" t="s">
        <v>635</v>
      </c>
      <c r="I104" s="2" t="s">
        <v>430</v>
      </c>
      <c r="J104" s="2" t="s">
        <v>635</v>
      </c>
      <c r="K104" s="2" t="s">
        <v>997</v>
      </c>
      <c r="L104" s="2"/>
      <c r="M104" s="2" t="s">
        <v>635</v>
      </c>
      <c r="N104" s="2" t="s">
        <v>1064</v>
      </c>
      <c r="O104" s="2" t="s">
        <v>1022</v>
      </c>
      <c r="P104" s="2" t="s">
        <v>635</v>
      </c>
      <c r="Q104" s="2" t="s">
        <v>635</v>
      </c>
      <c r="S104" s="2" t="s">
        <v>635</v>
      </c>
      <c r="T104" s="2" t="s">
        <v>635</v>
      </c>
      <c r="U104" s="2" t="s">
        <v>13</v>
      </c>
      <c r="V104" s="2" t="s">
        <v>635</v>
      </c>
      <c r="W104" s="2" t="s">
        <v>635</v>
      </c>
      <c r="X104" s="2" t="s">
        <v>635</v>
      </c>
      <c r="Y104" s="2" t="s">
        <v>826</v>
      </c>
      <c r="Z104" s="2"/>
      <c r="AA104" s="2" t="s">
        <v>635</v>
      </c>
      <c r="AB104" s="2" t="s">
        <v>635</v>
      </c>
      <c r="AC104">
        <v>0</v>
      </c>
      <c r="AD104" s="2" t="s">
        <v>678</v>
      </c>
      <c r="AE104" s="2" t="s">
        <v>635</v>
      </c>
      <c r="AF104">
        <v>0</v>
      </c>
      <c r="AG104" s="2" t="s">
        <v>635</v>
      </c>
      <c r="AH104" s="2" t="s">
        <v>827</v>
      </c>
      <c r="AI104">
        <v>1</v>
      </c>
      <c r="AJ104" s="2">
        <v>0</v>
      </c>
      <c r="AK104">
        <v>0</v>
      </c>
      <c r="AL104" s="2"/>
      <c r="AM104">
        <v>1</v>
      </c>
      <c r="AN104" s="2" t="s">
        <v>827</v>
      </c>
      <c r="AO104" s="2">
        <v>0</v>
      </c>
      <c r="AP104" s="2">
        <v>0</v>
      </c>
      <c r="AQ104" s="2" t="s">
        <v>635</v>
      </c>
      <c r="AR104" s="2" t="s">
        <v>148</v>
      </c>
      <c r="AS104" s="2" t="s">
        <v>11</v>
      </c>
      <c r="AT104" s="2" t="s">
        <v>331</v>
      </c>
      <c r="AU104" s="2" t="s">
        <v>1065</v>
      </c>
      <c r="AV104" s="2" t="s">
        <v>635</v>
      </c>
      <c r="AW104" s="2" t="s">
        <v>490</v>
      </c>
      <c r="AX104" s="2" t="s">
        <v>144</v>
      </c>
      <c r="AY104" s="2" t="s">
        <v>828</v>
      </c>
      <c r="AZ104" s="2" t="s">
        <v>142</v>
      </c>
      <c r="BA104" s="2" t="s">
        <v>663</v>
      </c>
      <c r="BB104" s="2" t="s">
        <v>635</v>
      </c>
      <c r="BC104" s="2" t="s">
        <v>635</v>
      </c>
      <c r="BD104" s="2" t="s">
        <v>1066</v>
      </c>
      <c r="BE104" s="2" t="s">
        <v>635</v>
      </c>
      <c r="BF104" s="2" t="s">
        <v>635</v>
      </c>
      <c r="BG104" s="2" t="s">
        <v>635</v>
      </c>
      <c r="BH104" s="2" t="s">
        <v>635</v>
      </c>
      <c r="BI104" s="2" t="s">
        <v>635</v>
      </c>
      <c r="BJ104" s="2" t="s">
        <v>635</v>
      </c>
      <c r="BK104" s="2" t="s">
        <v>635</v>
      </c>
      <c r="BL104" s="2" t="s">
        <v>635</v>
      </c>
      <c r="BM104" s="2" t="s">
        <v>635</v>
      </c>
      <c r="BN104" s="2" t="s">
        <v>635</v>
      </c>
      <c r="BO104" s="2" t="s">
        <v>635</v>
      </c>
      <c r="BP104" s="2" t="s">
        <v>635</v>
      </c>
      <c r="BQ104" s="2" t="s">
        <v>635</v>
      </c>
      <c r="BR104" s="2" t="s">
        <v>635</v>
      </c>
      <c r="BS104" s="2" t="s">
        <v>635</v>
      </c>
      <c r="BT104" s="2" t="s">
        <v>635</v>
      </c>
      <c r="BU104" s="2" t="s">
        <v>635</v>
      </c>
      <c r="BV104" s="2" t="s">
        <v>635</v>
      </c>
      <c r="BW104" s="2" t="s">
        <v>635</v>
      </c>
      <c r="BX104" s="2" t="s">
        <v>635</v>
      </c>
      <c r="BY104" s="2" t="s">
        <v>635</v>
      </c>
      <c r="BZ104" s="2" t="s">
        <v>635</v>
      </c>
      <c r="CA104" s="2" t="s">
        <v>635</v>
      </c>
      <c r="CB104" s="2" t="s">
        <v>635</v>
      </c>
      <c r="CC104" s="2" t="s">
        <v>635</v>
      </c>
      <c r="CD104" s="2" t="s">
        <v>635</v>
      </c>
    </row>
    <row r="105" spans="1:82" x14ac:dyDescent="0.25">
      <c r="A105" s="2" t="s">
        <v>1067</v>
      </c>
      <c r="B105" s="2" t="s">
        <v>635</v>
      </c>
      <c r="C105" s="2" t="s">
        <v>635</v>
      </c>
      <c r="D105" s="2" t="s">
        <v>635</v>
      </c>
      <c r="E105" s="2" t="s">
        <v>635</v>
      </c>
      <c r="F105" s="2" t="s">
        <v>635</v>
      </c>
      <c r="G105" s="2" t="s">
        <v>635</v>
      </c>
      <c r="H105" s="2" t="s">
        <v>635</v>
      </c>
      <c r="I105" s="2" t="s">
        <v>635</v>
      </c>
      <c r="J105" s="2" t="s">
        <v>635</v>
      </c>
      <c r="K105" s="2" t="s">
        <v>635</v>
      </c>
      <c r="L105" s="2"/>
      <c r="M105" s="2" t="s">
        <v>635</v>
      </c>
      <c r="N105" s="2" t="s">
        <v>635</v>
      </c>
      <c r="O105" s="2" t="s">
        <v>635</v>
      </c>
      <c r="P105" s="2" t="s">
        <v>635</v>
      </c>
      <c r="Q105" s="2" t="s">
        <v>635</v>
      </c>
      <c r="S105" s="2" t="s">
        <v>635</v>
      </c>
      <c r="T105" s="2" t="s">
        <v>635</v>
      </c>
      <c r="U105" s="2" t="s">
        <v>635</v>
      </c>
      <c r="V105" s="2" t="s">
        <v>635</v>
      </c>
      <c r="W105" s="2" t="s">
        <v>635</v>
      </c>
      <c r="X105" s="2" t="s">
        <v>635</v>
      </c>
      <c r="Y105" s="2" t="s">
        <v>635</v>
      </c>
      <c r="Z105" s="2"/>
      <c r="AA105" s="2" t="s">
        <v>635</v>
      </c>
      <c r="AB105" s="2" t="s">
        <v>635</v>
      </c>
      <c r="AD105" s="2" t="s">
        <v>635</v>
      </c>
      <c r="AE105" s="2" t="s">
        <v>635</v>
      </c>
      <c r="AG105" s="2" t="s">
        <v>635</v>
      </c>
      <c r="AH105" s="2" t="s">
        <v>635</v>
      </c>
      <c r="AJ105" s="2"/>
      <c r="AL105" s="2"/>
      <c r="AN105" s="2" t="s">
        <v>635</v>
      </c>
      <c r="AO105" s="2"/>
      <c r="AP105" s="2"/>
      <c r="AQ105" s="2" t="s">
        <v>635</v>
      </c>
      <c r="AR105" s="2" t="s">
        <v>635</v>
      </c>
      <c r="AS105" s="2" t="s">
        <v>635</v>
      </c>
      <c r="AT105" s="2" t="s">
        <v>635</v>
      </c>
      <c r="AU105" s="2" t="s">
        <v>635</v>
      </c>
      <c r="AV105" s="2" t="s">
        <v>635</v>
      </c>
      <c r="AW105" s="2" t="s">
        <v>635</v>
      </c>
      <c r="AX105" s="2" t="s">
        <v>635</v>
      </c>
      <c r="AY105" s="2" t="s">
        <v>635</v>
      </c>
      <c r="AZ105" s="2" t="s">
        <v>635</v>
      </c>
      <c r="BA105" s="2" t="s">
        <v>635</v>
      </c>
      <c r="BB105" s="2" t="s">
        <v>635</v>
      </c>
      <c r="BC105" s="2" t="s">
        <v>635</v>
      </c>
      <c r="BD105" s="2" t="s">
        <v>635</v>
      </c>
      <c r="BE105" s="2" t="s">
        <v>635</v>
      </c>
      <c r="BF105" s="2" t="s">
        <v>635</v>
      </c>
      <c r="BG105" s="2" t="s">
        <v>635</v>
      </c>
      <c r="BH105" s="2" t="s">
        <v>635</v>
      </c>
      <c r="BI105" s="2" t="s">
        <v>635</v>
      </c>
      <c r="BJ105" s="2" t="s">
        <v>635</v>
      </c>
      <c r="BK105" s="2" t="s">
        <v>635</v>
      </c>
      <c r="BL105" s="2" t="s">
        <v>635</v>
      </c>
      <c r="BM105" s="2" t="s">
        <v>635</v>
      </c>
      <c r="BN105" s="2" t="s">
        <v>635</v>
      </c>
      <c r="BO105" s="2" t="s">
        <v>635</v>
      </c>
      <c r="BP105" s="2" t="s">
        <v>635</v>
      </c>
      <c r="BQ105" s="2" t="s">
        <v>635</v>
      </c>
      <c r="BR105" s="2" t="s">
        <v>635</v>
      </c>
      <c r="BS105" s="2" t="s">
        <v>635</v>
      </c>
      <c r="BT105" s="2" t="s">
        <v>635</v>
      </c>
      <c r="BU105" s="2" t="s">
        <v>635</v>
      </c>
      <c r="BV105" s="2" t="s">
        <v>635</v>
      </c>
      <c r="BW105" s="2" t="s">
        <v>635</v>
      </c>
      <c r="BX105" s="2" t="s">
        <v>635</v>
      </c>
      <c r="BY105" s="2" t="s">
        <v>635</v>
      </c>
      <c r="BZ105" s="2" t="s">
        <v>635</v>
      </c>
      <c r="CA105" s="2" t="s">
        <v>635</v>
      </c>
      <c r="CB105" s="2" t="s">
        <v>635</v>
      </c>
      <c r="CC105" s="2" t="s">
        <v>635</v>
      </c>
      <c r="CD105" s="2" t="s">
        <v>635</v>
      </c>
    </row>
    <row r="106" spans="1:82" x14ac:dyDescent="0.25">
      <c r="A106" s="2" t="s">
        <v>1068</v>
      </c>
      <c r="B106" s="2" t="s">
        <v>635</v>
      </c>
      <c r="C106" s="2" t="s">
        <v>635</v>
      </c>
      <c r="D106" s="2" t="s">
        <v>635</v>
      </c>
      <c r="E106" s="2" t="s">
        <v>635</v>
      </c>
      <c r="F106" s="2" t="s">
        <v>635</v>
      </c>
      <c r="G106" s="2" t="s">
        <v>491</v>
      </c>
      <c r="H106" s="2" t="s">
        <v>635</v>
      </c>
      <c r="I106" s="2" t="s">
        <v>635</v>
      </c>
      <c r="J106" s="2" t="s">
        <v>23</v>
      </c>
      <c r="K106" s="2" t="s">
        <v>635</v>
      </c>
      <c r="L106" s="2"/>
      <c r="M106" s="2" t="s">
        <v>635</v>
      </c>
      <c r="N106" s="2" t="s">
        <v>143</v>
      </c>
      <c r="O106" s="2" t="s">
        <v>635</v>
      </c>
      <c r="P106" s="2" t="s">
        <v>635</v>
      </c>
      <c r="Q106" s="2" t="s">
        <v>838</v>
      </c>
      <c r="S106" s="2" t="s">
        <v>146</v>
      </c>
      <c r="T106" s="2" t="s">
        <v>46</v>
      </c>
      <c r="U106" s="2" t="s">
        <v>1069</v>
      </c>
      <c r="V106" s="2" t="s">
        <v>635</v>
      </c>
      <c r="W106" s="2" t="s">
        <v>635</v>
      </c>
      <c r="X106" s="2" t="s">
        <v>635</v>
      </c>
      <c r="Y106" s="2" t="s">
        <v>635</v>
      </c>
      <c r="Z106" s="2"/>
      <c r="AA106" s="2" t="s">
        <v>635</v>
      </c>
      <c r="AB106" s="2" t="s">
        <v>635</v>
      </c>
      <c r="AD106" s="2" t="s">
        <v>635</v>
      </c>
      <c r="AE106" s="2" t="s">
        <v>635</v>
      </c>
      <c r="AG106" s="2" t="s">
        <v>635</v>
      </c>
      <c r="AH106" s="2" t="s">
        <v>635</v>
      </c>
      <c r="AJ106" s="2"/>
      <c r="AL106" s="2"/>
      <c r="AN106" s="2" t="s">
        <v>635</v>
      </c>
      <c r="AO106" s="2"/>
      <c r="AP106" s="2"/>
      <c r="AQ106" s="2" t="s">
        <v>635</v>
      </c>
      <c r="AR106" s="2" t="s">
        <v>635</v>
      </c>
      <c r="AS106" s="2" t="s">
        <v>635</v>
      </c>
      <c r="AT106" s="2" t="s">
        <v>635</v>
      </c>
      <c r="AU106" s="2" t="s">
        <v>635</v>
      </c>
      <c r="AV106" s="2" t="s">
        <v>635</v>
      </c>
      <c r="AW106" s="2" t="s">
        <v>635</v>
      </c>
      <c r="AX106" s="2" t="s">
        <v>635</v>
      </c>
      <c r="AY106" s="2" t="s">
        <v>635</v>
      </c>
      <c r="AZ106" s="2" t="s">
        <v>635</v>
      </c>
      <c r="BA106" s="2" t="s">
        <v>635</v>
      </c>
      <c r="BB106" s="2" t="s">
        <v>635</v>
      </c>
      <c r="BC106" s="2" t="s">
        <v>635</v>
      </c>
      <c r="BD106" s="2" t="s">
        <v>635</v>
      </c>
      <c r="BE106" s="2" t="s">
        <v>635</v>
      </c>
      <c r="BF106" s="2" t="s">
        <v>635</v>
      </c>
      <c r="BG106" s="2" t="s">
        <v>635</v>
      </c>
      <c r="BH106" s="2" t="s">
        <v>635</v>
      </c>
      <c r="BI106" s="2" t="s">
        <v>635</v>
      </c>
      <c r="BJ106" s="2" t="s">
        <v>635</v>
      </c>
      <c r="BK106" s="2" t="s">
        <v>635</v>
      </c>
      <c r="BL106" s="2" t="s">
        <v>635</v>
      </c>
      <c r="BM106" s="2" t="s">
        <v>635</v>
      </c>
      <c r="BN106" s="2" t="s">
        <v>635</v>
      </c>
      <c r="BO106" s="2" t="s">
        <v>635</v>
      </c>
      <c r="BP106" s="2" t="s">
        <v>635</v>
      </c>
      <c r="BQ106" s="2" t="s">
        <v>635</v>
      </c>
      <c r="BR106" s="2" t="s">
        <v>635</v>
      </c>
      <c r="BS106" s="2" t="s">
        <v>635</v>
      </c>
      <c r="BT106" s="2" t="s">
        <v>635</v>
      </c>
      <c r="BU106" s="2" t="s">
        <v>635</v>
      </c>
      <c r="BV106" s="2" t="s">
        <v>635</v>
      </c>
      <c r="BW106" s="2" t="s">
        <v>635</v>
      </c>
      <c r="BX106" s="2" t="s">
        <v>635</v>
      </c>
      <c r="BY106" s="2" t="s">
        <v>635</v>
      </c>
      <c r="BZ106" s="2" t="s">
        <v>635</v>
      </c>
      <c r="CA106" s="2" t="s">
        <v>635</v>
      </c>
      <c r="CB106" s="2" t="s">
        <v>635</v>
      </c>
      <c r="CC106" s="2" t="s">
        <v>635</v>
      </c>
      <c r="CD106" s="2" t="s">
        <v>635</v>
      </c>
    </row>
    <row r="107" spans="1:82" x14ac:dyDescent="0.25">
      <c r="A107" s="2" t="s">
        <v>1070</v>
      </c>
      <c r="B107" s="2" t="s">
        <v>635</v>
      </c>
      <c r="C107" s="2" t="s">
        <v>635</v>
      </c>
      <c r="D107" s="2" t="s">
        <v>635</v>
      </c>
      <c r="E107" s="2" t="s">
        <v>635</v>
      </c>
      <c r="F107" s="2" t="s">
        <v>635</v>
      </c>
      <c r="G107" s="2" t="s">
        <v>635</v>
      </c>
      <c r="H107" s="2" t="s">
        <v>635</v>
      </c>
      <c r="I107" s="2" t="s">
        <v>635</v>
      </c>
      <c r="J107" s="2" t="s">
        <v>635</v>
      </c>
      <c r="K107" s="2" t="s">
        <v>635</v>
      </c>
      <c r="L107" s="2"/>
      <c r="M107" s="2" t="s">
        <v>635</v>
      </c>
      <c r="N107" s="2" t="s">
        <v>635</v>
      </c>
      <c r="O107" s="2" t="s">
        <v>635</v>
      </c>
      <c r="P107" s="2" t="s">
        <v>635</v>
      </c>
      <c r="Q107" s="2" t="s">
        <v>635</v>
      </c>
      <c r="S107" s="2" t="s">
        <v>635</v>
      </c>
      <c r="T107" s="2" t="s">
        <v>635</v>
      </c>
      <c r="U107" s="2" t="s">
        <v>635</v>
      </c>
      <c r="V107" s="2" t="s">
        <v>635</v>
      </c>
      <c r="W107" s="2" t="s">
        <v>635</v>
      </c>
      <c r="X107" s="2" t="s">
        <v>635</v>
      </c>
      <c r="Y107" s="2" t="s">
        <v>635</v>
      </c>
      <c r="Z107" s="2"/>
      <c r="AA107" s="2" t="s">
        <v>635</v>
      </c>
      <c r="AB107" s="2" t="s">
        <v>635</v>
      </c>
      <c r="AD107" s="2" t="s">
        <v>635</v>
      </c>
      <c r="AE107" s="2" t="s">
        <v>635</v>
      </c>
      <c r="AG107" s="2" t="s">
        <v>635</v>
      </c>
      <c r="AH107" s="2" t="s">
        <v>635</v>
      </c>
      <c r="AJ107" s="2"/>
      <c r="AL107" s="2"/>
      <c r="AN107" s="2" t="s">
        <v>635</v>
      </c>
      <c r="AO107" s="2"/>
      <c r="AP107" s="2"/>
      <c r="AQ107" s="2" t="s">
        <v>635</v>
      </c>
      <c r="AR107" s="2" t="s">
        <v>635</v>
      </c>
      <c r="AS107" s="2" t="s">
        <v>635</v>
      </c>
      <c r="AT107" s="2" t="s">
        <v>635</v>
      </c>
      <c r="AU107" s="2" t="s">
        <v>635</v>
      </c>
      <c r="AV107" s="2" t="s">
        <v>635</v>
      </c>
      <c r="AW107" s="2" t="s">
        <v>635</v>
      </c>
      <c r="AX107" s="2" t="s">
        <v>635</v>
      </c>
      <c r="AY107" s="2" t="s">
        <v>635</v>
      </c>
      <c r="AZ107" s="2" t="s">
        <v>635</v>
      </c>
      <c r="BA107" s="2" t="s">
        <v>635</v>
      </c>
      <c r="BB107" s="2" t="s">
        <v>635</v>
      </c>
      <c r="BC107" s="2" t="s">
        <v>635</v>
      </c>
      <c r="BD107" s="2" t="s">
        <v>635</v>
      </c>
      <c r="BE107" s="2" t="s">
        <v>635</v>
      </c>
      <c r="BF107" s="2" t="s">
        <v>635</v>
      </c>
      <c r="BG107" s="2" t="s">
        <v>635</v>
      </c>
      <c r="BH107" s="2" t="s">
        <v>635</v>
      </c>
      <c r="BI107" s="2" t="s">
        <v>635</v>
      </c>
      <c r="BJ107" s="2" t="s">
        <v>635</v>
      </c>
      <c r="BK107" s="2" t="s">
        <v>635</v>
      </c>
      <c r="BL107" s="2" t="s">
        <v>635</v>
      </c>
      <c r="BM107" s="2" t="s">
        <v>635</v>
      </c>
      <c r="BN107" s="2" t="s">
        <v>635</v>
      </c>
      <c r="BO107" s="2" t="s">
        <v>635</v>
      </c>
      <c r="BP107" s="2" t="s">
        <v>635</v>
      </c>
      <c r="BQ107" s="2" t="s">
        <v>635</v>
      </c>
      <c r="BR107" s="2" t="s">
        <v>635</v>
      </c>
      <c r="BS107" s="2" t="s">
        <v>635</v>
      </c>
      <c r="BT107" s="2" t="s">
        <v>635</v>
      </c>
      <c r="BU107" s="2" t="s">
        <v>635</v>
      </c>
      <c r="BV107" s="2" t="s">
        <v>635</v>
      </c>
      <c r="BW107" s="2" t="s">
        <v>635</v>
      </c>
      <c r="BX107" s="2" t="s">
        <v>635</v>
      </c>
      <c r="BY107" s="2" t="s">
        <v>635</v>
      </c>
      <c r="BZ107" s="2" t="s">
        <v>635</v>
      </c>
      <c r="CA107" s="2" t="s">
        <v>635</v>
      </c>
      <c r="CB107" s="2" t="s">
        <v>635</v>
      </c>
      <c r="CC107" s="2" t="s">
        <v>635</v>
      </c>
      <c r="CD107" s="2" t="s">
        <v>635</v>
      </c>
    </row>
    <row r="108" spans="1:82" x14ac:dyDescent="0.25">
      <c r="A108" s="2" t="s">
        <v>1071</v>
      </c>
      <c r="B108" s="2" t="s">
        <v>635</v>
      </c>
      <c r="C108" s="2" t="s">
        <v>147</v>
      </c>
      <c r="D108" s="2" t="s">
        <v>145</v>
      </c>
      <c r="E108" s="2" t="s">
        <v>149</v>
      </c>
      <c r="F108" s="2" t="s">
        <v>635</v>
      </c>
      <c r="G108" s="2" t="s">
        <v>635</v>
      </c>
      <c r="H108" s="2" t="s">
        <v>635</v>
      </c>
      <c r="I108" s="2" t="s">
        <v>635</v>
      </c>
      <c r="J108" s="2" t="s">
        <v>635</v>
      </c>
      <c r="K108" s="2" t="s">
        <v>635</v>
      </c>
      <c r="L108" s="2"/>
      <c r="M108" s="2" t="s">
        <v>635</v>
      </c>
      <c r="N108" s="2" t="s">
        <v>635</v>
      </c>
      <c r="O108" s="2" t="s">
        <v>635</v>
      </c>
      <c r="P108" s="2" t="s">
        <v>635</v>
      </c>
      <c r="Q108" s="2" t="s">
        <v>635</v>
      </c>
      <c r="S108" s="2" t="s">
        <v>635</v>
      </c>
      <c r="T108" s="2" t="s">
        <v>635</v>
      </c>
      <c r="U108" s="2" t="s">
        <v>635</v>
      </c>
      <c r="V108" s="2" t="s">
        <v>635</v>
      </c>
      <c r="W108" s="2" t="s">
        <v>635</v>
      </c>
      <c r="X108" s="2" t="s">
        <v>635</v>
      </c>
      <c r="Y108" s="2" t="s">
        <v>635</v>
      </c>
      <c r="Z108" s="2"/>
      <c r="AA108" s="2" t="s">
        <v>635</v>
      </c>
      <c r="AB108" s="2" t="s">
        <v>635</v>
      </c>
      <c r="AD108" s="2" t="s">
        <v>635</v>
      </c>
      <c r="AE108" s="2" t="s">
        <v>635</v>
      </c>
      <c r="AG108" s="2" t="s">
        <v>635</v>
      </c>
      <c r="AH108" s="2" t="s">
        <v>635</v>
      </c>
      <c r="AJ108" s="2"/>
      <c r="AL108" s="2"/>
      <c r="AN108" s="2" t="s">
        <v>635</v>
      </c>
      <c r="AO108" s="2"/>
      <c r="AP108" s="2"/>
      <c r="AQ108" s="2" t="s">
        <v>635</v>
      </c>
      <c r="AR108" s="2" t="s">
        <v>635</v>
      </c>
      <c r="AS108" s="2" t="s">
        <v>635</v>
      </c>
      <c r="AT108" s="2" t="s">
        <v>635</v>
      </c>
      <c r="AU108" s="2" t="s">
        <v>635</v>
      </c>
      <c r="AV108" s="2" t="s">
        <v>635</v>
      </c>
      <c r="AW108" s="2" t="s">
        <v>635</v>
      </c>
      <c r="AX108" s="2" t="s">
        <v>635</v>
      </c>
      <c r="AY108" s="2" t="s">
        <v>635</v>
      </c>
      <c r="AZ108" s="2" t="s">
        <v>635</v>
      </c>
      <c r="BA108" s="2" t="s">
        <v>635</v>
      </c>
      <c r="BB108" s="2" t="s">
        <v>635</v>
      </c>
      <c r="BC108" s="2" t="s">
        <v>635</v>
      </c>
      <c r="BD108" s="2" t="s">
        <v>635</v>
      </c>
      <c r="BE108" s="2" t="s">
        <v>635</v>
      </c>
      <c r="BF108" s="2" t="s">
        <v>635</v>
      </c>
      <c r="BG108" s="2" t="s">
        <v>635</v>
      </c>
      <c r="BH108" s="2" t="s">
        <v>635</v>
      </c>
      <c r="BI108" s="2" t="s">
        <v>635</v>
      </c>
      <c r="BJ108" s="2" t="s">
        <v>635</v>
      </c>
      <c r="BK108" s="2" t="s">
        <v>635</v>
      </c>
      <c r="BL108" s="2" t="s">
        <v>635</v>
      </c>
      <c r="BM108" s="2" t="s">
        <v>635</v>
      </c>
      <c r="BN108" s="2" t="s">
        <v>635</v>
      </c>
      <c r="BO108" s="2" t="s">
        <v>635</v>
      </c>
      <c r="BP108" s="2" t="s">
        <v>635</v>
      </c>
      <c r="BQ108" s="2" t="s">
        <v>635</v>
      </c>
      <c r="BR108" s="2" t="s">
        <v>635</v>
      </c>
      <c r="BS108" s="2" t="s">
        <v>635</v>
      </c>
      <c r="BT108" s="2" t="s">
        <v>635</v>
      </c>
      <c r="BU108" s="2" t="s">
        <v>635</v>
      </c>
      <c r="BV108" s="2" t="s">
        <v>635</v>
      </c>
      <c r="BW108" s="2" t="s">
        <v>635</v>
      </c>
      <c r="BX108" s="2" t="s">
        <v>635</v>
      </c>
      <c r="BY108" s="2" t="s">
        <v>635</v>
      </c>
      <c r="BZ108" s="2" t="s">
        <v>635</v>
      </c>
      <c r="CA108" s="2" t="s">
        <v>635</v>
      </c>
      <c r="CB108" s="2" t="s">
        <v>635</v>
      </c>
      <c r="CC108" s="2" t="s">
        <v>635</v>
      </c>
      <c r="CD108" s="2" t="s">
        <v>635</v>
      </c>
    </row>
    <row r="109" spans="1:82" x14ac:dyDescent="0.25">
      <c r="A109" s="2" t="s">
        <v>492</v>
      </c>
      <c r="B109" s="2" t="s">
        <v>493</v>
      </c>
      <c r="C109" s="2" t="s">
        <v>635</v>
      </c>
      <c r="D109" s="2" t="s">
        <v>635</v>
      </c>
      <c r="E109" s="2" t="s">
        <v>346</v>
      </c>
      <c r="F109" s="2" t="s">
        <v>329</v>
      </c>
      <c r="G109" s="2" t="s">
        <v>330</v>
      </c>
      <c r="H109" s="2" t="s">
        <v>635</v>
      </c>
      <c r="I109" s="2" t="s">
        <v>175</v>
      </c>
      <c r="J109" s="2" t="s">
        <v>635</v>
      </c>
      <c r="K109" s="2" t="s">
        <v>635</v>
      </c>
      <c r="L109" s="2"/>
      <c r="M109" s="2" t="s">
        <v>635</v>
      </c>
      <c r="N109" s="2" t="s">
        <v>1072</v>
      </c>
      <c r="O109" s="2" t="s">
        <v>1073</v>
      </c>
      <c r="P109" s="2" t="s">
        <v>635</v>
      </c>
      <c r="Q109" s="2" t="s">
        <v>635</v>
      </c>
      <c r="S109" s="2" t="s">
        <v>635</v>
      </c>
      <c r="T109" s="2" t="s">
        <v>635</v>
      </c>
      <c r="U109" s="2" t="s">
        <v>35</v>
      </c>
      <c r="V109" s="2" t="s">
        <v>635</v>
      </c>
      <c r="W109" s="2" t="s">
        <v>494</v>
      </c>
      <c r="X109" s="2" t="s">
        <v>364</v>
      </c>
      <c r="Y109" s="2" t="s">
        <v>826</v>
      </c>
      <c r="Z109" s="2"/>
      <c r="AA109" s="2" t="s">
        <v>635</v>
      </c>
      <c r="AB109" s="2" t="s">
        <v>635</v>
      </c>
      <c r="AC109">
        <v>1</v>
      </c>
      <c r="AD109" s="2" t="s">
        <v>678</v>
      </c>
      <c r="AE109" s="2" t="s">
        <v>635</v>
      </c>
      <c r="AF109">
        <v>0</v>
      </c>
      <c r="AG109" s="2" t="s">
        <v>635</v>
      </c>
      <c r="AH109" s="2" t="s">
        <v>827</v>
      </c>
      <c r="AI109">
        <v>0</v>
      </c>
      <c r="AJ109" s="2">
        <v>0</v>
      </c>
      <c r="AK109">
        <v>0</v>
      </c>
      <c r="AL109" s="2"/>
      <c r="AM109">
        <v>0</v>
      </c>
      <c r="AN109" s="2" t="s">
        <v>827</v>
      </c>
      <c r="AO109" s="2">
        <v>0</v>
      </c>
      <c r="AP109" s="2">
        <v>0</v>
      </c>
      <c r="AQ109" s="2" t="s">
        <v>635</v>
      </c>
      <c r="AR109" s="2" t="s">
        <v>206</v>
      </c>
      <c r="AS109" s="2" t="s">
        <v>11</v>
      </c>
      <c r="AT109" s="2" t="s">
        <v>331</v>
      </c>
      <c r="AU109" s="2" t="s">
        <v>635</v>
      </c>
      <c r="AV109" s="2" t="s">
        <v>635</v>
      </c>
      <c r="AW109" s="2" t="s">
        <v>635</v>
      </c>
      <c r="AX109" s="2" t="s">
        <v>205</v>
      </c>
      <c r="AY109" s="2" t="s">
        <v>828</v>
      </c>
      <c r="AZ109" s="2" t="s">
        <v>203</v>
      </c>
      <c r="BA109" s="2" t="s">
        <v>664</v>
      </c>
      <c r="BB109" s="2" t="s">
        <v>635</v>
      </c>
      <c r="BC109" s="2" t="s">
        <v>635</v>
      </c>
      <c r="BD109" s="2" t="s">
        <v>804</v>
      </c>
      <c r="BE109" s="2" t="s">
        <v>635</v>
      </c>
      <c r="BF109" s="2" t="s">
        <v>865</v>
      </c>
      <c r="BG109" s="2" t="s">
        <v>635</v>
      </c>
      <c r="BH109" s="2" t="s">
        <v>635</v>
      </c>
      <c r="BI109" s="2" t="s">
        <v>635</v>
      </c>
      <c r="BJ109" s="2" t="s">
        <v>204</v>
      </c>
      <c r="BK109" s="2" t="s">
        <v>635</v>
      </c>
      <c r="BL109" s="2" t="s">
        <v>635</v>
      </c>
      <c r="BM109" s="2" t="s">
        <v>14</v>
      </c>
      <c r="BN109" s="2" t="s">
        <v>635</v>
      </c>
      <c r="BO109" s="2" t="s">
        <v>635</v>
      </c>
      <c r="BP109" s="2" t="s">
        <v>635</v>
      </c>
      <c r="BQ109" s="2" t="s">
        <v>204</v>
      </c>
      <c r="BR109" s="2" t="s">
        <v>635</v>
      </c>
      <c r="BS109" s="2" t="s">
        <v>635</v>
      </c>
      <c r="BT109" s="2" t="s">
        <v>1074</v>
      </c>
      <c r="BU109" s="2" t="s">
        <v>635</v>
      </c>
      <c r="BV109" s="2" t="s">
        <v>200</v>
      </c>
      <c r="BW109" s="2" t="s">
        <v>635</v>
      </c>
      <c r="BX109" s="2" t="s">
        <v>863</v>
      </c>
      <c r="BY109" s="2" t="s">
        <v>635</v>
      </c>
      <c r="BZ109" s="2" t="s">
        <v>635</v>
      </c>
      <c r="CA109" s="2" t="s">
        <v>635</v>
      </c>
      <c r="CB109" s="2" t="s">
        <v>635</v>
      </c>
      <c r="CC109" s="2" t="s">
        <v>635</v>
      </c>
      <c r="CD109" s="2" t="s">
        <v>635</v>
      </c>
    </row>
    <row r="110" spans="1:82" x14ac:dyDescent="0.25">
      <c r="A110" s="2" t="s">
        <v>1075</v>
      </c>
      <c r="B110" s="2" t="s">
        <v>865</v>
      </c>
      <c r="C110" s="2" t="s">
        <v>201</v>
      </c>
      <c r="D110" s="2" t="s">
        <v>6</v>
      </c>
      <c r="E110" s="2" t="s">
        <v>207</v>
      </c>
      <c r="F110" s="2" t="s">
        <v>635</v>
      </c>
      <c r="G110" s="2" t="s">
        <v>635</v>
      </c>
      <c r="H110" s="2" t="s">
        <v>635</v>
      </c>
      <c r="I110" s="2" t="s">
        <v>635</v>
      </c>
      <c r="J110" s="2" t="s">
        <v>635</v>
      </c>
      <c r="K110" s="2" t="s">
        <v>635</v>
      </c>
      <c r="L110" s="2"/>
      <c r="M110" s="2" t="s">
        <v>635</v>
      </c>
      <c r="N110" s="2" t="s">
        <v>635</v>
      </c>
      <c r="O110" s="2" t="s">
        <v>635</v>
      </c>
      <c r="P110" s="2" t="s">
        <v>635</v>
      </c>
      <c r="Q110" s="2" t="s">
        <v>635</v>
      </c>
      <c r="S110" s="2" t="s">
        <v>635</v>
      </c>
      <c r="T110" s="2" t="s">
        <v>635</v>
      </c>
      <c r="U110" s="2" t="s">
        <v>635</v>
      </c>
      <c r="V110" s="2" t="s">
        <v>635</v>
      </c>
      <c r="W110" s="2" t="s">
        <v>635</v>
      </c>
      <c r="X110" s="2" t="s">
        <v>635</v>
      </c>
      <c r="Y110" s="2" t="s">
        <v>635</v>
      </c>
      <c r="Z110" s="2"/>
      <c r="AA110" s="2" t="s">
        <v>635</v>
      </c>
      <c r="AB110" s="2" t="s">
        <v>635</v>
      </c>
      <c r="AD110" s="2" t="s">
        <v>635</v>
      </c>
      <c r="AE110" s="2" t="s">
        <v>635</v>
      </c>
      <c r="AG110" s="2" t="s">
        <v>635</v>
      </c>
      <c r="AH110" s="2" t="s">
        <v>635</v>
      </c>
      <c r="AJ110" s="2"/>
      <c r="AL110" s="2"/>
      <c r="AN110" s="2" t="s">
        <v>635</v>
      </c>
      <c r="AO110" s="2"/>
      <c r="AP110" s="2"/>
      <c r="AQ110" s="2" t="s">
        <v>635</v>
      </c>
      <c r="AR110" s="2" t="s">
        <v>635</v>
      </c>
      <c r="AS110" s="2" t="s">
        <v>635</v>
      </c>
      <c r="AT110" s="2" t="s">
        <v>635</v>
      </c>
      <c r="AU110" s="2" t="s">
        <v>635</v>
      </c>
      <c r="AV110" s="2" t="s">
        <v>635</v>
      </c>
      <c r="AW110" s="2" t="s">
        <v>635</v>
      </c>
      <c r="AX110" s="2" t="s">
        <v>635</v>
      </c>
      <c r="AY110" s="2" t="s">
        <v>635</v>
      </c>
      <c r="AZ110" s="2" t="s">
        <v>635</v>
      </c>
      <c r="BA110" s="2" t="s">
        <v>635</v>
      </c>
      <c r="BB110" s="2" t="s">
        <v>635</v>
      </c>
      <c r="BC110" s="2" t="s">
        <v>635</v>
      </c>
      <c r="BD110" s="2" t="s">
        <v>635</v>
      </c>
      <c r="BE110" s="2" t="s">
        <v>635</v>
      </c>
      <c r="BF110" s="2" t="s">
        <v>635</v>
      </c>
      <c r="BG110" s="2" t="s">
        <v>635</v>
      </c>
      <c r="BH110" s="2" t="s">
        <v>635</v>
      </c>
      <c r="BI110" s="2" t="s">
        <v>635</v>
      </c>
      <c r="BJ110" s="2" t="s">
        <v>635</v>
      </c>
      <c r="BK110" s="2" t="s">
        <v>635</v>
      </c>
      <c r="BL110" s="2" t="s">
        <v>635</v>
      </c>
      <c r="BM110" s="2" t="s">
        <v>635</v>
      </c>
      <c r="BN110" s="2" t="s">
        <v>635</v>
      </c>
      <c r="BO110" s="2" t="s">
        <v>635</v>
      </c>
      <c r="BP110" s="2" t="s">
        <v>635</v>
      </c>
      <c r="BQ110" s="2" t="s">
        <v>635</v>
      </c>
      <c r="BR110" s="2" t="s">
        <v>635</v>
      </c>
      <c r="BS110" s="2" t="s">
        <v>635</v>
      </c>
      <c r="BT110" s="2" t="s">
        <v>635</v>
      </c>
      <c r="BU110" s="2" t="s">
        <v>635</v>
      </c>
      <c r="BV110" s="2" t="s">
        <v>635</v>
      </c>
      <c r="BW110" s="2" t="s">
        <v>635</v>
      </c>
      <c r="BX110" s="2" t="s">
        <v>635</v>
      </c>
      <c r="BY110" s="2" t="s">
        <v>635</v>
      </c>
      <c r="BZ110" s="2" t="s">
        <v>635</v>
      </c>
      <c r="CA110" s="2" t="s">
        <v>635</v>
      </c>
      <c r="CB110" s="2" t="s">
        <v>635</v>
      </c>
      <c r="CC110" s="2" t="s">
        <v>635</v>
      </c>
      <c r="CD110" s="2" t="s">
        <v>635</v>
      </c>
    </row>
  </sheetData>
  <phoneticPr fontId="1"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A80D-A4E9-4CE7-ADDD-1E697CC32377}">
  <dimension ref="A1:A2"/>
  <sheetViews>
    <sheetView workbookViewId="0">
      <selection activeCell="A4" sqref="A4"/>
    </sheetView>
  </sheetViews>
  <sheetFormatPr defaultRowHeight="15" x14ac:dyDescent="0.25"/>
  <cols>
    <col min="1" max="1" width="70.7109375" bestFit="1" customWidth="1"/>
  </cols>
  <sheetData>
    <row r="1" spans="1:1" x14ac:dyDescent="0.25">
      <c r="A1" t="s">
        <v>685</v>
      </c>
    </row>
    <row r="2" spans="1:1" x14ac:dyDescent="0.25">
      <c r="A2" t="str" cm="1">
        <f t="array" aca="1" ref="A2" ca="1">LEFT(CELL("filename",A2),FIND("[",CELL("filename",A2))-1)&amp;"CsvSeedTables\"</f>
        <v>C:\code\CollectaMundo.Tests\TestResources\CsvSeedTables\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D6BE17-380E-43F8-B6B8-AC07F8C52E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AllCardsViz</vt:lpstr>
      <vt:lpstr>sets</vt:lpstr>
      <vt:lpstr>MyCollectionViz</vt:lpstr>
      <vt:lpstr>myCollection</vt:lpstr>
      <vt:lpstr>tokens</vt:lpstr>
      <vt:lpstr>cards</vt:lpstr>
      <vt:lpstr>cards_old</vt:lpstr>
      <vt:lpstr>Query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2025-08-27T20:22:57Z</dcterms:created>
  <dcterms:modified xsi:type="dcterms:W3CDTF">2026-02-05T06:47:35Z</dcterms:modified>
</cp:coreProperties>
</file>