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code\CollectaMundo\CollectaMundo.Tests\TestResources\"/>
    </mc:Choice>
  </mc:AlternateContent>
  <xr:revisionPtr revIDLastSave="0" documentId="13_ncr:20001_{85F6B421-7156-4B30-B11E-8F5DC04C3798}" xr6:coauthVersionLast="47" xr6:coauthVersionMax="47" xr10:uidLastSave="{00000000-0000-0000-0000-000000000000}"/>
  <bookViews>
    <workbookView xWindow="-120" yWindow="-120" windowWidth="51840" windowHeight="21120" xr2:uid="{1056F946-CA43-4E81-91BB-673BA1E4A007}"/>
  </bookViews>
  <sheets>
    <sheet name="Cards" sheetId="1" r:id="rId1"/>
    <sheet name="MyCollection" sheetId="3" r:id="rId2"/>
    <sheet name="Query" sheetId="2" r:id="rId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4" i="3"/>
  <c r="B5" i="3"/>
  <c r="B6" i="3"/>
  <c r="B7" i="3"/>
  <c r="B8" i="3"/>
  <c r="B9" i="3"/>
  <c r="B10" i="3"/>
  <c r="B11" i="3"/>
  <c r="B12" i="3"/>
  <c r="B13" i="3"/>
  <c r="B14" i="3"/>
  <c r="B15" i="3"/>
  <c r="B16" i="3"/>
  <c r="B17" i="3"/>
  <c r="B18" i="3"/>
  <c r="B19" i="3"/>
  <c r="B20" i="3"/>
  <c r="B21" i="3"/>
  <c r="B22" i="3"/>
  <c r="B23" i="3"/>
  <c r="B2" i="3"/>
</calcChain>
</file>

<file path=xl/sharedStrings.xml><?xml version="1.0" encoding="utf-8"?>
<sst xmlns="http://schemas.openxmlformats.org/spreadsheetml/2006/main" count="971" uniqueCount="543">
  <si>
    <t>SELECT * from view_allCards</t>
  </si>
  <si>
    <t>where uuid in (</t>
  </si>
  <si>
    <t>'011a9246-7f7c-50c7-ab99-3fc13469c13b',</t>
  </si>
  <si>
    <t>'078d4e89-af80-58ae-9be8-7efd5eab2269',</t>
  </si>
  <si>
    <t>'0b952d69-5db0-59c2-810b-d4b10d452872',</t>
  </si>
  <si>
    <t>'0fc5756d-2258-5d14-b4c4-65aa4efa8f3e',</t>
  </si>
  <si>
    <t>'16d88c3b-e766-50ba-8086-917159167368',</t>
  </si>
  <si>
    <t>'4767463a-62d8-5706-89e5-6e1155cd4d3e',</t>
  </si>
  <si>
    <t>'49481296-5e87-500b-9d95-8011f432466a',</t>
  </si>
  <si>
    <t>'62118980-b180-5006-80c4-cdc91d1ca44a',</t>
  </si>
  <si>
    <t>'6f222117-73e0-5b15-8f8d-529bfa2cdbc1',</t>
  </si>
  <si>
    <t>'701dcbc1-659a-5b77-8eda-2157fec85d8d',</t>
  </si>
  <si>
    <t>'75e2741e-f3e4-5f9d-bebd-c591e0c36430',</t>
  </si>
  <si>
    <t>'978e07d3-d388-5379-8c20-f67c6af0936d',</t>
  </si>
  <si>
    <t>'aaf9b28b-4552-5665-b719-b8711215002b',</t>
  </si>
  <si>
    <t>'b3f7e41e-3606-56d0-88c5-82360063aecd',</t>
  </si>
  <si>
    <t>'d4588e8f-e5a0-53e5-ac90-0a5183f0d118',</t>
  </si>
  <si>
    <t>'db939e9b-b7c1-5084-9880-1856f29766c5',</t>
  </si>
  <si>
    <t>'e4dcfe4f-8441-5eec-9f74-a7b3672e90e0',</t>
  </si>
  <si>
    <t>'f0bb7e06-9698-5952-b890-442096073675',</t>
  </si>
  <si>
    <t>'f565a88d-d448-5c12-90b3-23922d47b9f9',</t>
  </si>
  <si>
    <t>'f7161b69-1d04-5f7b-92fe-ea2fd8bf8e88',</t>
  </si>
  <si>
    <t>'fcfa94d1-04fc-5ef5-bee3-a1296627c4c1',</t>
  </si>
  <si>
    <t>'0add0930-720f-5bf5-bcf5-ee208eeb9040',</t>
  </si>
  <si>
    <t>'154a09f3-65e3-5821-bc02-bd972b3be676',</t>
  </si>
  <si>
    <t>'16f1c97a-b896-59d0-80ab-6f00a6ea1d28',</t>
  </si>
  <si>
    <t>'1c1aafc6-e078-5951-a22e-4d386aef8140',</t>
  </si>
  <si>
    <t>'1fb6b965-6d0e-536c-8593-63140f3c6e9f',</t>
  </si>
  <si>
    <t>'28a21701-487e-5d54-9bb2-22f862734499',</t>
  </si>
  <si>
    <t>'358c5647-9f47-5f5d-9497-36336d8c7bb9',</t>
  </si>
  <si>
    <t>'413e11a5-35a1-51c7-928b-219b4453a094',</t>
  </si>
  <si>
    <t>'43b41a9c-56c7-5aa9-80bf-dc90211351ab',</t>
  </si>
  <si>
    <t>'5ce32715-8dee-5c47-986a-88d00e87c506',</t>
  </si>
  <si>
    <t>'5e6a3099-2597-5755-8a6f-67f1569a3b8a',</t>
  </si>
  <si>
    <t>'66124810-2a79-5c4f-a43f-181400aa8c4f',</t>
  </si>
  <si>
    <t>'66dae17d-a742-51b4-ba09-0b37d7c64265',</t>
  </si>
  <si>
    <t>'6955a085-32f8-5582-9533-c506ef88213b',</t>
  </si>
  <si>
    <t>'7be5b8a9-0d68-5125-b729-ff1063dd3ed0',</t>
  </si>
  <si>
    <t>'83ff4169-cecd-5fe5-9fe0-721f276c6f2c',</t>
  </si>
  <si>
    <t>'8d6b22fe-8583-5908-b964-05e3174e3154',</t>
  </si>
  <si>
    <t>'91556c5f-b11e-573d-a3bb-627dfa6c2926',</t>
  </si>
  <si>
    <t>'9c015664-e6e8-53a4-ad48-276138b18098',</t>
  </si>
  <si>
    <t>'9ce99de8-bbd0-5043-9670-7f69ec41c1eb',</t>
  </si>
  <si>
    <t>'a4072135-41e9-54e1-8905-4a853e6cf9ff',</t>
  </si>
  <si>
    <t>'a499b95b-8f0f-56e2-ba4e-077e5bc6979e',</t>
  </si>
  <si>
    <t>'a8b3fc41-5f35-5fe2-bc74-7e015a836fd3',</t>
  </si>
  <si>
    <t>'aa480225-6f03-5f0f-85af-41af75e515aa',</t>
  </si>
  <si>
    <t>'aff7557c-2e85-5bda-8231-d8f1e46b43c8',</t>
  </si>
  <si>
    <t>'b23e355d-5190-5db8-ad5a-5ff9d0fe9bea',</t>
  </si>
  <si>
    <t>'b473e6ca-2c93-5244-b821-a8bc41061ddb',</t>
  </si>
  <si>
    <t>'bafac74c-f4f8-5c71-8a6b-0bd02c536c47',</t>
  </si>
  <si>
    <t>'bf2540bd-5984-569c-b6ab-c5d77db981bd',</t>
  </si>
  <si>
    <t>'cc6ce5a2-49d0-59de-a17e-362f47b67773',</t>
  </si>
  <si>
    <t>'d0bcc932-d1f2-509c-90de-42512b6fef75',</t>
  </si>
  <si>
    <t>'d54b922f-006e-59ff-bfeb-f96f3278fc7b',</t>
  </si>
  <si>
    <t>'e7613acb-a554-5a49-aa38-88fff17503fe',</t>
  </si>
  <si>
    <t>'e9325157-a5ff-5ee4-a392-28829db53b10',</t>
  </si>
  <si>
    <t>'f1e4acc1-1bb7-57ea-9d61-edb3e803ab5c',</t>
  </si>
  <si>
    <t>'f4198239-6754-5db7-9229-4cc9e264151e',</t>
  </si>
  <si>
    <t>'fcdd9620-9c54-5a56-adc4-13a277babc20',</t>
  </si>
  <si>
    <t>'fd1183ad-ae98-5c4b-b93d-97d32b74d999',</t>
  </si>
  <si>
    <t>'3c389f9c-e459-5b16-87b5-d51644f05b25',</t>
  </si>
  <si>
    <t>'5bb79a0f-ad7d-5383-8c9d-04bc757bcb4f'</t>
  </si>
  <si>
    <t>)</t>
  </si>
  <si>
    <t>Name</t>
  </si>
  <si>
    <t>SetName</t>
  </si>
  <si>
    <t>SetCode</t>
  </si>
  <si>
    <t>ReleaseDate</t>
  </si>
  <si>
    <t>ManaCost</t>
  </si>
  <si>
    <t>Types</t>
  </si>
  <si>
    <t>Colors</t>
  </si>
  <si>
    <t>SuperTypes</t>
  </si>
  <si>
    <t>SubTypes</t>
  </si>
  <si>
    <t>Type</t>
  </si>
  <si>
    <t>Keywords</t>
  </si>
  <si>
    <t>RulesText</t>
  </si>
  <si>
    <t>ManaValue</t>
  </si>
  <si>
    <t>Language</t>
  </si>
  <si>
    <t>Uuid</t>
  </si>
  <si>
    <t>Finishes</t>
  </si>
  <si>
    <t>Side</t>
  </si>
  <si>
    <t>Rarity</t>
  </si>
  <si>
    <t>NormalPrice</t>
  </si>
  <si>
    <t>FoilPrice</t>
  </si>
  <si>
    <t>EtchedPrice</t>
  </si>
  <si>
    <t>Boundary Lands Ranger</t>
  </si>
  <si>
    <t>Pioneer Masters</t>
  </si>
  <si>
    <t>PIO</t>
  </si>
  <si>
    <t>{1}{R}</t>
  </si>
  <si>
    <t>Creature</t>
  </si>
  <si>
    <t>R</t>
  </si>
  <si>
    <t>Human, Ranger</t>
  </si>
  <si>
    <t>Creature — Human Ranger</t>
  </si>
  <si>
    <t>At the beginning of combat on your turn, if you control a creature with power 4 or greater, you may discard a card. If you do, draw a card.</t>
  </si>
  <si>
    <t>2.0</t>
  </si>
  <si>
    <t>English</t>
  </si>
  <si>
    <t>bf2540bd-5984-569c-b6ab-c5d77db981bd</t>
  </si>
  <si>
    <t>nonfoil</t>
  </si>
  <si>
    <t>common</t>
  </si>
  <si>
    <t>Ancient Greenwarden</t>
  </si>
  <si>
    <t>Foundations Jumpstart</t>
  </si>
  <si>
    <t>J25</t>
  </si>
  <si>
    <t>{4}{G}{G}</t>
  </si>
  <si>
    <t>G</t>
  </si>
  <si>
    <t>Elemental</t>
  </si>
  <si>
    <t>Creature — Elemental</t>
  </si>
  <si>
    <t>Reach</t>
  </si>
  <si>
    <t>Reach (This creature can block creatures with flying.)\nYou may play lands from your graveyard.\nIf a land entering causes a triggered ability of a permanent you control to trigger, that ability triggers an additional time.</t>
  </si>
  <si>
    <t>6.0</t>
  </si>
  <si>
    <t>83ff4169-cecd-5fe5-9fe0-721f276c6f2c</t>
  </si>
  <si>
    <t>mythic</t>
  </si>
  <si>
    <t>Warriors</t>
  </si>
  <si>
    <t>Foundations Jumpstart Front Cards</t>
  </si>
  <si>
    <t>FJ25</t>
  </si>
  <si>
    <t>Card</t>
  </si>
  <si>
    <t>(Theme color: {R}.)</t>
  </si>
  <si>
    <t>0fc5756d-2258-5d14-b4c4-65aa4efa8f3e</t>
  </si>
  <si>
    <t>Devil</t>
  </si>
  <si>
    <t>Duskmourn: House of Horror Commander</t>
  </si>
  <si>
    <t>TDSC</t>
  </si>
  <si>
    <t>Token, Creature</t>
  </si>
  <si>
    <t>Token Creature — Devil</t>
  </si>
  <si>
    <t>When this creature dies, it deals 1 damage to any target.</t>
  </si>
  <si>
    <t>db939e9b-b7c1-5084-9880-1856f29766c5</t>
  </si>
  <si>
    <t>nonfoil, foil</t>
  </si>
  <si>
    <t>Otter</t>
  </si>
  <si>
    <t>Bloomburrow</t>
  </si>
  <si>
    <t>TBLB</t>
  </si>
  <si>
    <t>R, U</t>
  </si>
  <si>
    <t>Token Creature — Otter</t>
  </si>
  <si>
    <t>Prowess</t>
  </si>
  <si>
    <t>Prowess (Whenever you cast a noncreature spell, this creature gets +1/+1 until end of turn.)</t>
  </si>
  <si>
    <t>49481296-5e87-500b-9d95-8011f432466a</t>
  </si>
  <si>
    <t>Sokrates, Athenian Teacher</t>
  </si>
  <si>
    <t>Assassin's Creed</t>
  </si>
  <si>
    <t>ACR</t>
  </si>
  <si>
    <t>{1}{W}{U}</t>
  </si>
  <si>
    <t>U,W</t>
  </si>
  <si>
    <t>Legendary</t>
  </si>
  <si>
    <t>Human, Advisor</t>
  </si>
  <si>
    <t>Legendary Creature — Human Advisor</t>
  </si>
  <si>
    <t>Defender, Sokratic Dialogue</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</si>
  <si>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</si>
  <si>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3.0</t>
  </si>
  <si>
    <t>Ancient Greek</t>
  </si>
  <si>
    <t>3c389f9c-e459-5b16-87b5-d51644f05b25</t>
  </si>
  <si>
    <t>foil</t>
  </si>
  <si>
    <t>rare</t>
  </si>
  <si>
    <t>Rampant Frogantua // Rampant Frogantua</t>
  </si>
  <si>
    <t>Modern Horizons 3 Art Series</t>
  </si>
  <si>
    <t>AMH3</t>
  </si>
  <si>
    <t>aaf9b28b-4552-5665-b719-b8711215002b</t>
  </si>
  <si>
    <t>nonfoil, foil, signed</t>
  </si>
  <si>
    <t>a</t>
  </si>
  <si>
    <t>Goblin</t>
  </si>
  <si>
    <t>Modern Horizons 3 Commander</t>
  </si>
  <si>
    <t>TM3C</t>
  </si>
  <si>
    <t>Token Creature — Goblin</t>
  </si>
  <si>
    <t>f0bb7e06-9698-5952-b890-442096073675</t>
  </si>
  <si>
    <t>Dog</t>
  </si>
  <si>
    <t>Murders at Karlov Manor</t>
  </si>
  <si>
    <t>TMKM</t>
  </si>
  <si>
    <t>W</t>
  </si>
  <si>
    <t>Token Creature — Dog</t>
  </si>
  <si>
    <t>6f222117-73e0-5b15-8f8d-529bfa2cdbc1</t>
  </si>
  <si>
    <t>Prismatic Vista</t>
  </si>
  <si>
    <t>Special Guests</t>
  </si>
  <si>
    <t>SPG</t>
  </si>
  <si>
    <t>Land</t>
  </si>
  <si>
    <t>{T}, Pay 1 life, Sacrifice this land: Search your library for a basic land card, put it onto the battlefield, then shuffle.</t>
  </si>
  <si>
    <t>0.0</t>
  </si>
  <si>
    <t>e9325157-a5ff-5ee4-a392-28829db53b10</t>
  </si>
  <si>
    <t>The Thirteenth Doctor</t>
  </si>
  <si>
    <t>Doctor Who</t>
  </si>
  <si>
    <t>WHO</t>
  </si>
  <si>
    <t>{1}{G}{U}</t>
  </si>
  <si>
    <t>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</si>
  <si>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</si>
  <si>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</si>
  <si>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</si>
  <si>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</si>
  <si>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</si>
  <si>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</si>
  <si>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Phyrexia: All Will Be One Art Series</t>
  </si>
  <si>
    <t>AONE</t>
  </si>
  <si>
    <t>75e2741e-f3e4-5f9d-bebd-c591e0c36430</t>
  </si>
  <si>
    <t>Jan Jansen, Chaos Crafter // Jan Jansen, Chaos Crafter</t>
  </si>
  <si>
    <t>Battle for Baldur's Gate Art Series</t>
  </si>
  <si>
    <t>ACLB</t>
  </si>
  <si>
    <t>f7161b69-1d04-5f7b-92fe-ea2fd8bf8e88</t>
  </si>
  <si>
    <t>Bloodvial Purveyor // Bloodvial Purveyor</t>
  </si>
  <si>
    <t>Crimson Vow Art Series</t>
  </si>
  <si>
    <t>AVOW</t>
  </si>
  <si>
    <t>078d4e89-af80-58ae-9be8-7efd5eab2269</t>
  </si>
  <si>
    <t>Forest</t>
  </si>
  <si>
    <t>Innistrad: Midnight Hunt</t>
  </si>
  <si>
    <t>MID</t>
  </si>
  <si>
    <t>Basic</t>
  </si>
  <si>
    <t>Basic Land — Forest</t>
  </si>
  <si>
    <t>({T}: Add {G}.)</t>
  </si>
  <si>
    <t>a499b95b-8f0f-56e2-ba4e-077e5bc6979e</t>
  </si>
  <si>
    <t>0.11</t>
  </si>
  <si>
    <t>Unblinking Observer // Unblinking Observer</t>
  </si>
  <si>
    <t>Midnight Hunt Art Series</t>
  </si>
  <si>
    <t>AMID</t>
  </si>
  <si>
    <t>fcfa94d1-04fc-5ef5-bee3-a1296627c4c1</t>
  </si>
  <si>
    <t>Prismatic Ending</t>
  </si>
  <si>
    <t>Modern Horizons 2</t>
  </si>
  <si>
    <t>MH2</t>
  </si>
  <si>
    <t>{X}{W}</t>
  </si>
  <si>
    <t>Sorcery</t>
  </si>
  <si>
    <t>Converge</t>
  </si>
  <si>
    <t>Converge — Exile target nonland permanent if its mana value is less than or equal to the number of colors of mana spent to cast this spell.</t>
  </si>
  <si>
    <t>1.0</t>
  </si>
  <si>
    <t>bafac74c-f4f8-5c71-8a6b-0bd02c536c47</t>
  </si>
  <si>
    <t>nonfoil, foil, etched</t>
  </si>
  <si>
    <t>uncommon</t>
  </si>
  <si>
    <t>Sythis, Harvest's Hand // Sythis, Harvest's Hand</t>
  </si>
  <si>
    <t>Modern Horizons 2 Art Series</t>
  </si>
  <si>
    <t>AMH2</t>
  </si>
  <si>
    <t>62118980-b180-5006-80c4-cdc91d1ca44a</t>
  </si>
  <si>
    <t>Blossoming Calm // Blossoming Calm</t>
  </si>
  <si>
    <t>978e07d3-d388-5379-8c20-f67c6af0936d</t>
  </si>
  <si>
    <t>nonfoil, signed</t>
  </si>
  <si>
    <t>Shadrix Silverquill // Shadrix Silverquill</t>
  </si>
  <si>
    <t>Strixhaven Art Series</t>
  </si>
  <si>
    <t>ASTX</t>
  </si>
  <si>
    <t>4767463a-62d8-5706-89e5-6e1155cd4d3e</t>
  </si>
  <si>
    <t>Realmwalker</t>
  </si>
  <si>
    <t>Kaldheim Promos</t>
  </si>
  <si>
    <t>PKHM</t>
  </si>
  <si>
    <t>{2}{G}</t>
  </si>
  <si>
    <t>Shapeshifter</t>
  </si>
  <si>
    <t>Creature — Shapeshifter</t>
  </si>
  <si>
    <t>Changeling</t>
  </si>
  <si>
    <t>Changeling (This card is every creature type.)\nAs this creature enters, choose a creature type.\nYou may look at the top card of your library any time.\nYou may cast creature spells of the chosen type from the top of your library.</t>
  </si>
  <si>
    <t>66124810-2a79-5c4f-a43f-181400aa8c4f</t>
  </si>
  <si>
    <t>3.05</t>
  </si>
  <si>
    <t>4.19</t>
  </si>
  <si>
    <t>Deftblade Elite</t>
  </si>
  <si>
    <t>The List</t>
  </si>
  <si>
    <t>PLST</t>
  </si>
  <si>
    <t>{W}</t>
  </si>
  <si>
    <t>Human, Soldier</t>
  </si>
  <si>
    <t>Creature — Human Soldier</t>
  </si>
  <si>
    <t>Provoke</t>
  </si>
  <si>
    <t>Provoke (Whenever this creature attacks, you may have target creature defending player controls untap and block it if able.)\n{1}{W}: Prevent all combat damage that would be dealt to and dealt by this creature this turn.</t>
  </si>
  <si>
    <t>a8b3fc41-5f35-5fe2-bc74-7e015a836fd3</t>
  </si>
  <si>
    <t>Snapping Sailback</t>
  </si>
  <si>
    <t>{4}{G}</t>
  </si>
  <si>
    <t>Dinosaur</t>
  </si>
  <si>
    <t>Creature — Dinosaur</t>
  </si>
  <si>
    <t>Enrage, Flash</t>
  </si>
  <si>
    <t>Flash\nEnrage — Whenever this creature is dealt damage, put a +1/+1 counter on it. (It must survive the damage to get the counter.)</t>
  </si>
  <si>
    <t>5.0</t>
  </si>
  <si>
    <t>154a09f3-65e3-5821-bc02-bd972b3be676</t>
  </si>
  <si>
    <t>0.16</t>
  </si>
  <si>
    <t>Dragonscale Boon</t>
  </si>
  <si>
    <t>{3}{G}</t>
  </si>
  <si>
    <t>Instant</t>
  </si>
  <si>
    <t>Put two +1/+1 counters on target creature and untap it.</t>
  </si>
  <si>
    <t>4.0</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</si>
  <si>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</si>
  <si>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</si>
  <si>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</si>
  <si>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</si>
  <si>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</si>
  <si>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</si>
  <si>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Amonkhet Remastered</t>
  </si>
  <si>
    <t>AKR</t>
  </si>
  <si>
    <t>{X}{G}{U}</t>
  </si>
  <si>
    <t>Planeswalker</t>
  </si>
  <si>
    <t>Nissa</t>
  </si>
  <si>
    <t>Legendary Planeswalker — Nissa</t>
  </si>
  <si>
    <t>Scry</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</si>
  <si>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</si>
  <si>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fcdd9620-9c54-5a56-adc4-13a277babc20</t>
  </si>
  <si>
    <t>Staying Power</t>
  </si>
  <si>
    <t>Unsanctioned</t>
  </si>
  <si>
    <t>UND</t>
  </si>
  <si>
    <t>{2}{W}</t>
  </si>
  <si>
    <t>Enchantment</t>
  </si>
  <si>
    <t>"Until end of turn" and "this turn" effects don't end.</t>
  </si>
  <si>
    <t>b23e355d-5190-5db8-ad5a-5ff9d0fe9bea</t>
  </si>
  <si>
    <t>0.2</t>
  </si>
  <si>
    <t>2.17</t>
  </si>
  <si>
    <t>Deny the Divine</t>
  </si>
  <si>
    <t>Theros Beyond Death</t>
  </si>
  <si>
    <t>THB</t>
  </si>
  <si>
    <t>{2}{U}</t>
  </si>
  <si>
    <t>U</t>
  </si>
  <si>
    <t>Counter target creature or enchantment spell. If that spell is countered this way, exile it instead of putting it into its owner's graveyard.</t>
  </si>
  <si>
    <t>6955a085-32f8-5582-9533-c506ef88213b</t>
  </si>
  <si>
    <t>0.06</t>
  </si>
  <si>
    <t>0.15</t>
  </si>
  <si>
    <t>Once Upon a Time</t>
  </si>
  <si>
    <t>Throne of Eldraine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</si>
  <si>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</si>
  <si>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</si>
  <si>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</si>
  <si>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</si>
  <si>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</si>
  <si>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Modern Horizons Art Series</t>
  </si>
  <si>
    <t>AMH1</t>
  </si>
  <si>
    <t>0b952d69-5db0-59c2-810b-d4b10d452872</t>
  </si>
  <si>
    <t>Ranger-Captain of Eos // Ranger-Captain of Eos</t>
  </si>
  <si>
    <t>701dcbc1-659a-5b77-8eda-2157fec85d8d</t>
  </si>
  <si>
    <t>Chillerpillar // Chillerpillar</t>
  </si>
  <si>
    <t>d4588e8f-e5a0-53e5-ac90-0a5183f0d118</t>
  </si>
  <si>
    <t>Dead Weight</t>
  </si>
  <si>
    <t>Guilds of Ravnica</t>
  </si>
  <si>
    <t>GRN</t>
  </si>
  <si>
    <t>{B}</t>
  </si>
  <si>
    <t>B</t>
  </si>
  <si>
    <t>Aura</t>
  </si>
  <si>
    <t>Enchantment — Aura</t>
  </si>
  <si>
    <t>Enchant</t>
  </si>
  <si>
    <t>Enchant creature\nEnchanted creature gets -2/-2.</t>
  </si>
  <si>
    <t>43b41a9c-56c7-5aa9-80bf-dc90211351ab</t>
  </si>
  <si>
    <t>0.07</t>
  </si>
  <si>
    <t>Karox Bladewing</t>
  </si>
  <si>
    <t>Dominaria</t>
  </si>
  <si>
    <t>TDOM</t>
  </si>
  <si>
    <t>Dragon</t>
  </si>
  <si>
    <t>Token Legendary Creature — Dragon</t>
  </si>
  <si>
    <t>Flying</t>
  </si>
  <si>
    <t>e4dcfe4f-8441-5eec-9f74-a7b3672e90e0</t>
  </si>
  <si>
    <t>0.55</t>
  </si>
  <si>
    <t>Bubbling Cauldron</t>
  </si>
  <si>
    <t>Iconic Masters</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</si>
  <si>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</si>
  <si>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</si>
  <si>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</si>
  <si>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</si>
  <si>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</si>
  <si>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</si>
  <si>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Eldritch Moon</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</si>
  <si>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</si>
  <si>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</si>
  <si>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</si>
  <si>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</si>
  <si>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</si>
  <si>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</si>
  <si>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</si>
  <si>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</si>
  <si>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Oath of the Gatewatch</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</si>
  <si>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</si>
  <si>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</si>
  <si>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</si>
  <si>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</si>
  <si>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</si>
  <si>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</si>
  <si>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</si>
  <si>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</si>
  <si>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Battle for Zendikar</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</si>
  <si>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</si>
  <si>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</si>
  <si>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</si>
  <si>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</si>
  <si>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</si>
  <si>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</si>
  <si>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</si>
  <si>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</si>
  <si>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0.04</t>
  </si>
  <si>
    <t>Font of Ire</t>
  </si>
  <si>
    <t>Journey into Nyx</t>
  </si>
  <si>
    <t>JOU</t>
  </si>
  <si>
    <t>{3}{R}, Sacrifice this enchantment: It deals 5 damage to target player or planeswalker.</t>
  </si>
  <si>
    <t>e7613acb-a554-5a49-aa38-88fff17503fe</t>
  </si>
  <si>
    <t>0.03</t>
  </si>
  <si>
    <t>0.17</t>
  </si>
  <si>
    <t>Guild Feud</t>
  </si>
  <si>
    <t>Return to Ravnica</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</si>
  <si>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</si>
  <si>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</si>
  <si>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</si>
  <si>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</si>
  <si>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</si>
  <si>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</si>
  <si>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Avacyn Restored Promos</t>
  </si>
  <si>
    <t>PAVR</t>
  </si>
  <si>
    <t>{5}{W}{W}</t>
  </si>
  <si>
    <t>Angel</t>
  </si>
  <si>
    <t>Creature — Angel</t>
  </si>
  <si>
    <t>Flying\nWhen this creature enters, exile all Zombies, then return all Human creature cards from your graveyard to the battlefield.</t>
  </si>
  <si>
    <t>7.0</t>
  </si>
  <si>
    <t>aff7557c-2e85-5bda-8231-d8f1e46b43c8</t>
  </si>
  <si>
    <t>Zombie</t>
  </si>
  <si>
    <t>Magic 2011</t>
  </si>
  <si>
    <t>TM11</t>
  </si>
  <si>
    <t>Token Creature — Zombie</t>
  </si>
  <si>
    <t>011a9246-7f7c-50c7-ab99-3fc13469c13b</t>
  </si>
  <si>
    <t>Grazing Gladehart</t>
  </si>
  <si>
    <t>Zendikar</t>
  </si>
  <si>
    <t>ZEN</t>
  </si>
  <si>
    <t>Antelope</t>
  </si>
  <si>
    <t>Creature — Antelope</t>
  </si>
  <si>
    <t>Landfall</t>
  </si>
  <si>
    <t>Landfall — Whenever a land you control enters, you may gain 2 life.</t>
  </si>
  <si>
    <t>5ce32715-8dee-5c47-986a-88d00e87c506</t>
  </si>
  <si>
    <t>Plains</t>
  </si>
  <si>
    <t>Masters Edition III</t>
  </si>
  <si>
    <t>ME3</t>
  </si>
  <si>
    <t>Basic Land — Plains</t>
  </si>
  <si>
    <t>({T}: Add {W}.)</t>
  </si>
  <si>
    <t>d54b922f-006e-59ff-bfeb-f96f3278fc7b</t>
  </si>
  <si>
    <t>Glarewielder</t>
  </si>
  <si>
    <t>Lorwyn</t>
  </si>
  <si>
    <t>LRW</t>
  </si>
  <si>
    <t>{4}{R}</t>
  </si>
  <si>
    <t>Elemental, Shaman</t>
  </si>
  <si>
    <t>Creature — Elemental Shaman</t>
  </si>
  <si>
    <t>Evoke, Haste</t>
  </si>
  <si>
    <t>Haste\nWhen this creature enters, up to two target creatures can't block this turn.\nEvoke {1}{R} (You may cast this spell for its evoke cost. If you do, it's sacrificed when it enters.)</t>
  </si>
  <si>
    <t>28a21701-487e-5d54-9bb2-22f862734499</t>
  </si>
  <si>
    <t>0.34</t>
  </si>
  <si>
    <t>Leave No Trace</t>
  </si>
  <si>
    <t>Ravnica: City of Guilds</t>
  </si>
  <si>
    <t>RAV</t>
  </si>
  <si>
    <t>{1}{W}</t>
  </si>
  <si>
    <t>Radiance</t>
  </si>
  <si>
    <t>Radiance — Destroy target enchantment and each other enchantment that shares a color with it.</t>
  </si>
  <si>
    <t>5e6a3099-2597-5755-8a6f-67f1569a3b8a</t>
  </si>
  <si>
    <t>1.69</t>
  </si>
  <si>
    <t>Ouphe Vandals</t>
  </si>
  <si>
    <t>Fifth Dawn</t>
  </si>
  <si>
    <t>5DN</t>
  </si>
  <si>
    <t>Ouphe, Rogue</t>
  </si>
  <si>
    <t>Creature — Ouphe Rogue</t>
  </si>
  <si>
    <t>{G}, Sacrifice this creature: Counter target activated ability from an artifact source and destroy that artifact if it's on the battlefield. (Mana abilities can't be targeted.)</t>
  </si>
  <si>
    <t>cc6ce5a2-49d0-59de-a17e-362f47b67773</t>
  </si>
  <si>
    <t>0.44</t>
  </si>
  <si>
    <t>Syphon Soul</t>
  </si>
  <si>
    <t>Onslaught</t>
  </si>
  <si>
    <t>ONS</t>
  </si>
  <si>
    <t>{2}{B}</t>
  </si>
  <si>
    <t>Syphon Soul deals 2 damage to each other player. You gain life equal to the damage dealt this way.</t>
  </si>
  <si>
    <t>9c015664-e6e8-53a4-ad48-276138b18098</t>
  </si>
  <si>
    <t>0.12</t>
  </si>
  <si>
    <t>Gixian Puppeteer</t>
  </si>
  <si>
    <t>Magic Online Promos</t>
  </si>
  <si>
    <t>PRM</t>
  </si>
  <si>
    <t>{3}{B}</t>
  </si>
  <si>
    <t>Phyrexian, Warlock</t>
  </si>
  <si>
    <t>Creature — Phyrexian Warlock</t>
  </si>
  <si>
    <t>Whenever you draw your second card each turn, each opponent loses 2 life and you gain 2 life.\nWhen this creature dies, return another target creature card with mana value 3 or less from your graveyard to the battlefield.</t>
  </si>
  <si>
    <t>1c1aafc6-e078-5951-a22e-4d386aef8140</t>
  </si>
  <si>
    <t>Hypnotic Cloud</t>
  </si>
  <si>
    <t>Invasion</t>
  </si>
  <si>
    <t>INV</t>
  </si>
  <si>
    <t>Kicker</t>
  </si>
  <si>
    <t>Kicker {4} (You may pay an additional {4} as you cast this spell.)\nTarget player discards a card. If this spell was kicked, that player discards three cards instead.</t>
  </si>
  <si>
    <t>413e11a5-35a1-51c7-928b-219b4453a094</t>
  </si>
  <si>
    <t>Crenellated Wall</t>
  </si>
  <si>
    <t>Mercadian Masques</t>
  </si>
  <si>
    <t>MMQ</t>
  </si>
  <si>
    <t>{4}</t>
  </si>
  <si>
    <t>Artifact, Creature</t>
  </si>
  <si>
    <t>Wall</t>
  </si>
  <si>
    <t>Artifact Creature — Wall</t>
  </si>
  <si>
    <t>Defender</t>
  </si>
  <si>
    <t>Defender (This creature can't attack.)\n{T}: Target creature gets +0/+4 until end of turn.</t>
  </si>
  <si>
    <t>f1e4acc1-1bb7-57ea-9d61-edb3e803ab5c</t>
  </si>
  <si>
    <t>2.32</t>
  </si>
  <si>
    <t>Renounce</t>
  </si>
  <si>
    <t>Sacrifice any number of permanents. You gain 2 life for each permanent sacrificed this way.</t>
  </si>
  <si>
    <t>f4198239-6754-5db7-9229-4cc9e264151e</t>
  </si>
  <si>
    <t>0.32</t>
  </si>
  <si>
    <t>5.57</t>
  </si>
  <si>
    <t>Viashino Runner</t>
  </si>
  <si>
    <t>Urza's Saga</t>
  </si>
  <si>
    <t>USG</t>
  </si>
  <si>
    <t>Lizard</t>
  </si>
  <si>
    <t>Creature — Lizard</t>
  </si>
  <si>
    <t>Menace</t>
  </si>
  <si>
    <t>Menace (This creature can't be blocked except by two or more creatures.)</t>
  </si>
  <si>
    <t>aa480225-6f03-5f0f-85af-41af75e515aa</t>
  </si>
  <si>
    <t>Hungry Mist</t>
  </si>
  <si>
    <t>Homelands</t>
  </si>
  <si>
    <t>HML</t>
  </si>
  <si>
    <t>{2}{G}{G}</t>
  </si>
  <si>
    <t>At the beginning of your upkeep, sacrifice this creature unless you pay {G}{G}.</t>
  </si>
  <si>
    <t>91556c5f-b11e-573d-a3bb-627dfa6c2926</t>
  </si>
  <si>
    <t>Vexing Arcanix</t>
  </si>
  <si>
    <t>Ice Age</t>
  </si>
  <si>
    <t>ICE</t>
  </si>
  <si>
    <t>{3}, {T}: Target player chooses a card name, then reveals the top card of their library. If that card has the chosen name, that player puts it into their hand. Otherwise, they put it into their graveyard and this artifact deals 2 damage to them.</t>
  </si>
  <si>
    <t>66dae17d-a742-51b4-ba09-0b37d7c64265</t>
  </si>
  <si>
    <t>0.52</t>
  </si>
  <si>
    <t>Thallid Devourer</t>
  </si>
  <si>
    <t>Fallen Empires</t>
  </si>
  <si>
    <t>FEM</t>
  </si>
  <si>
    <t>{1}{G}{G}</t>
  </si>
  <si>
    <t>Fungus</t>
  </si>
  <si>
    <t>Creature — Fungus</t>
  </si>
  <si>
    <t>At the beginning of your upkeep, put a spore counter on this creature.\nRemove three spore counters from this creature: Create a 1/1 green Saproling creature token.\nSacrifice a Saproling: This creature gets +1/+2 until end of turn.</t>
  </si>
  <si>
    <t>8d6b22fe-8583-5908-b964-05e3174e3154</t>
  </si>
  <si>
    <t>Resurrection</t>
  </si>
  <si>
    <t>Revised Edition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</si>
  <si>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</si>
  <si>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</si>
  <si>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</si>
  <si>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</si>
  <si>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</si>
  <si>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</si>
  <si>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</si>
  <si>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</si>
  <si>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</si>
  <si>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</si>
  <si>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</si>
  <si>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</si>
  <si>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</si>
  <si>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</si>
  <si>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</si>
  <si>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</si>
  <si>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</si>
  <si>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</si>
  <si>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</si>
  <si>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9.01</t>
  </si>
  <si>
    <t>35.63</t>
  </si>
  <si>
    <t>85.32</t>
  </si>
  <si>
    <t>0.09</t>
  </si>
  <si>
    <t>0.13</t>
  </si>
  <si>
    <t>0.79</t>
  </si>
  <si>
    <t>2.41</t>
  </si>
  <si>
    <t>0.23</t>
  </si>
  <si>
    <t>1.14</t>
  </si>
  <si>
    <t>4.22</t>
  </si>
  <si>
    <t>0.05</t>
  </si>
  <si>
    <t>0.27</t>
  </si>
  <si>
    <t>11.83</t>
  </si>
  <si>
    <t>22.49</t>
  </si>
  <si>
    <t>0.3</t>
  </si>
  <si>
    <t>0.21</t>
  </si>
  <si>
    <t>1.76</t>
  </si>
  <si>
    <t>0.14</t>
  </si>
  <si>
    <t>0.5</t>
  </si>
  <si>
    <t>0.02</t>
  </si>
  <si>
    <t>0.67</t>
  </si>
  <si>
    <t>0.31</t>
  </si>
  <si>
    <t>0.47</t>
  </si>
  <si>
    <t>0.45</t>
  </si>
  <si>
    <t>0.56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</si>
</sst>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0"/>
      <color rgb="FF000000"/>
      <name val="Courier New"/>
      <family val="3"/>
    </font>
    <font>
      <i/>
      <sz val="10"/>
      <color rgb="FFC0C0C0"/>
      <name val="Courier New"/>
      <family val="3"/>
    </font>
  </fonts>
  <fills count="3">
    <fill>
      <patternFill patternType="none"/>
    </fill>
    <fill>
      <patternFill patternType="gray125"/>
    </fill>
    <fill>
      <patternFill patternType="solid">
        <fgColor rgb="FFFFFFFF"/>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16">
    <xf numFmtId="0" fontId="0" fillId="0" borderId="0" xfId="0"/>
    <xf numFmtId="0" fontId="2" fillId="2" borderId="1" xfId="0" applyFont="1" applyFill="1" applyBorder="1" applyAlignment="1">
      <alignment horizontal="left" vertical="center" wrapText="1"/>
    </xf>
    <xf numFmtId="14" fontId="2" fillId="2" borderId="1" xfId="0" applyNumberFormat="1" applyFont="1" applyFill="1" applyBorder="1" applyAlignment="1">
      <alignment horizontal="left" vertical="center" wrapText="1"/>
    </xf>
    <xf numFmtId="0" fontId="3" fillId="2" borderId="1" xfId="0" applyFont="1" applyFill="1" applyBorder="1" applyAlignment="1">
      <alignment horizontal="left" vertical="center" wrapText="1"/>
    </xf>
    <xf numFmtId="11" fontId="2" fillId="2" borderId="1" xfId="0" applyNumberFormat="1" applyFont="1" applyFill="1" applyBorder="1" applyAlignment="1">
      <alignment horizontal="left" vertical="center" wrapText="1"/>
    </xf>
    <xf numFmtId="0" fontId="2"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2" fillId="2" borderId="3" xfId="0" applyFont="1" applyFill="1" applyBorder="1" applyAlignment="1">
      <alignment horizontal="left" vertical="center" wrapText="1"/>
    </xf>
    <xf numFmtId="0" fontId="1" fillId="0" borderId="4"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2" fillId="2" borderId="7" xfId="0" applyFont="1" applyFill="1" applyBorder="1" applyAlignment="1">
      <alignment horizontal="left" vertical="center" wrapText="1"/>
    </xf>
    <xf numFmtId="0" fontId="2" fillId="2" borderId="8" xfId="0" applyFont="1" applyFill="1" applyBorder="1" applyAlignment="1">
      <alignment horizontal="left" vertical="center" wrapText="1"/>
    </xf>
    <xf numFmtId="14" fontId="2" fillId="2" borderId="8" xfId="0" applyNumberFormat="1" applyFont="1" applyFill="1" applyBorder="1" applyAlignment="1">
      <alignment horizontal="left" vertical="center" wrapText="1"/>
    </xf>
    <xf numFmtId="0" fontId="3" fillId="2" borderId="8" xfId="0" applyFont="1" applyFill="1" applyBorder="1" applyAlignment="1">
      <alignment horizontal="left" vertical="center" wrapText="1"/>
    </xf>
    <xf numFmtId="0" fontId="3" fillId="2" borderId="9" xfId="0" applyFont="1" applyFill="1" applyBorder="1" applyAlignment="1">
      <alignment horizontal="left" vertical="center" wrapText="1"/>
    </xf>
  </cellXfs>
  <cellStyles count="1">
    <cellStyle name="Normal" xfId="0" builtinId="0"/>
  </cellStyles>
  <dxfs count="27">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outline="0">
        <left style="thin">
          <color rgb="FF000000"/>
        </left>
        <right style="thin">
          <color rgb="FF000000"/>
        </right>
        <top/>
        <bottom/>
      </border>
    </dxf>
    <dxf>
      <font>
        <b val="0"/>
        <i/>
        <strike val="0"/>
        <condense val="0"/>
        <extend val="0"/>
        <outline val="0"/>
        <shadow val="0"/>
        <u val="none"/>
        <vertAlign val="baseline"/>
        <sz val="10"/>
        <color rgb="FFC0C0C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strike val="0"/>
        <condense val="0"/>
        <extend val="0"/>
        <outline val="0"/>
        <shadow val="0"/>
        <u val="none"/>
        <vertAlign val="baseline"/>
        <sz val="10"/>
        <color rgb="FFC0C0C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strike val="0"/>
        <condense val="0"/>
        <extend val="0"/>
        <outline val="0"/>
        <shadow val="0"/>
        <u val="none"/>
        <vertAlign val="baseline"/>
        <sz val="10"/>
        <color rgb="FFC0C0C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strike val="0"/>
        <condense val="0"/>
        <extend val="0"/>
        <outline val="0"/>
        <shadow val="0"/>
        <u val="none"/>
        <vertAlign val="baseline"/>
        <sz val="10"/>
        <color rgb="FFC0C0C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numFmt numFmtId="19" formatCode="dd/mm/yyyy"/>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ourier New"/>
        <family val="3"/>
        <scheme val="none"/>
      </font>
      <fill>
        <patternFill patternType="solid">
          <fgColor indexed="64"/>
          <bgColor rgb="FFFFFFFF"/>
        </patternFill>
      </fill>
      <alignment horizontal="left" vertical="center" textRotation="0" wrapText="1"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numFmt numFmtId="0" formatCode="General"/>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D6625AA-C673-4CB4-953B-F01D8DDD1FF6}" name="AllCards" displayName="AllCards" ref="A1:U59" totalsRowShown="0" headerRowDxfId="0" headerRowBorderDxfId="23" tableBorderDxfId="24" totalsRowBorderDxfId="22">
  <autoFilter ref="A1:U59" xr:uid="{2D6625AA-C673-4CB4-953B-F01D8DDD1FF6}"/>
  <tableColumns count="21">
    <tableColumn id="1" xr3:uid="{97E93D60-BF9C-4293-8AF5-C7EF8488C72F}" name="Name" dataDxfId="21"/>
    <tableColumn id="2" xr3:uid="{7114D166-EE36-4328-9304-4AA47C6FD7F1}" name="SetName" dataDxfId="20"/>
    <tableColumn id="3" xr3:uid="{1107FC9F-BAC7-4445-9EB1-9FCE252CA33D}" name="SetCode" dataDxfId="19"/>
    <tableColumn id="4" xr3:uid="{46751AD7-53DD-4661-BDED-C34FA801873F}" name="ReleaseDate" dataDxfId="18"/>
    <tableColumn id="5" xr3:uid="{52B78D15-5FF6-4FA6-8B6A-A1FC617B6E5A}" name="ManaCost" dataDxfId="17"/>
    <tableColumn id="6" xr3:uid="{E28E520F-757B-4F10-AB67-A0F67636E545}" name="Types" dataDxfId="16"/>
    <tableColumn id="7" xr3:uid="{0445EE7D-1E29-4EB7-BDEA-3C631D579FAB}" name="Colors" dataDxfId="15"/>
    <tableColumn id="8" xr3:uid="{D7FEC1AA-5C26-473E-828C-F1E0A72EEAF1}" name="SuperTypes" dataDxfId="14"/>
    <tableColumn id="9" xr3:uid="{976D6847-7772-4858-948D-E3EE6DA5CFFE}" name="SubTypes" dataDxfId="13"/>
    <tableColumn id="10" xr3:uid="{247661D1-E3D8-45D6-9A71-40C6AA7F437D}" name="Type" dataDxfId="12"/>
    <tableColumn id="11" xr3:uid="{A314873F-FDE7-44D9-A0F7-BFC07C06E4D9}" name="Keywords" dataDxfId="11"/>
    <tableColumn id="12" xr3:uid="{3D841918-EB0C-4242-AAAA-5D7867F61F28}" name="RulesText" dataDxfId="10"/>
    <tableColumn id="13" xr3:uid="{A9934BB2-D4CF-4E8B-B4F1-5E76B4EC45AF}" name="ManaValue" dataDxfId="9"/>
    <tableColumn id="14" xr3:uid="{E3B524BC-4319-4F62-8519-E23771866DEA}" name="Language" dataDxfId="8"/>
    <tableColumn id="15" xr3:uid="{A3E7BCC4-C3A0-4FD8-982A-1379A11F2E4A}" name="Uuid" dataDxfId="7"/>
    <tableColumn id="16" xr3:uid="{F1792F23-073C-49D2-86A6-2497C54DA7F8}" name="Finishes" dataDxfId="6"/>
    <tableColumn id="17" xr3:uid="{DCAD2CF9-0EE4-4BC7-B938-123A29BAF13A}" name="Side" dataDxfId="5"/>
    <tableColumn id="18" xr3:uid="{EF6D5A92-05A7-4708-8706-DE3AF1EA9F8E}" name="Rarity" dataDxfId="4"/>
    <tableColumn id="19" xr3:uid="{03FF7683-BCC0-4BC1-B7FD-24A07F53D1AC}" name="NormalPrice" dataDxfId="3"/>
    <tableColumn id="20" xr3:uid="{A7FFB998-1671-4F67-9D6E-45EE4D98061B}" name="FoilPrice" dataDxfId="2"/>
    <tableColumn id="21" xr3:uid="{D54496C6-2D18-4C64-B5BC-FF6B23FF6E67}" name="EtchedPrice" dataDxfId="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 displayName="MyCollection" ref="A1:G23" totalsRowShown="0">
  <autoFilter ref="A1:G23" xr:uid="{5F090A01-EB2B-477B-91E5-78F30EDA3DC0}"/>
  <tableColumns count="7">
    <tableColumn id="1" xr3:uid="{5AA2145E-1606-4D7D-ACF8-382AE417D1EE}" name="uuid" dataDxfId="26"/>
    <tableColumn id="2" xr3:uid="{0A36ED79-41DA-4933-B893-CA7152913021}" name="name" dataDxfId="25">
      <calculatedColumnFormula>INDEX(AllCards[],MATCH(MyCollection[[#This Row],[uuid]],AllCards[Uuid],0),1)</calculatedColumnFormula>
    </tableColumn>
    <tableColumn id="3" xr3:uid="{D175F054-B06E-4D5E-A2CC-1FF5C2DB0A3D}" name="cardsOwned"/>
    <tableColumn id="4" xr3:uid="{A07BAC82-BD20-4655-BE67-BABCF02B85AE}" name="cardsForTrade"/>
    <tableColumn id="5" xr3:uid="{A745DA14-952E-404B-B34F-72F527477D94}" name="condition"/>
    <tableColumn id="6" xr3:uid="{E2715A45-2EE9-4AF3-8DAA-32CF1C7028DC}" name="language"/>
    <tableColumn id="7" xr3:uid="{A6133949-1219-4B62-93DD-77F74A917FF8}" name="finish"/>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9"/>
  <sheetViews>
    <sheetView tabSelected="1" workbookViewId="0"/>
  </sheetViews>
  <sheetFormatPr defaultRowHeight="15" x14ac:dyDescent="0.25"/>
  <cols>
    <col min="1" max="1" width="67" bestFit="1" customWidth="1"/>
    <col min="2" max="2" width="43.28515625" bestFit="1" customWidth="1"/>
    <col min="3" max="3" width="13.42578125" bestFit="1" customWidth="1"/>
    <col min="4" max="4" width="17.140625" bestFit="1" customWidth="1"/>
    <col min="5" max="5" width="14.5703125" bestFit="1" customWidth="1"/>
    <col min="6" max="6" width="22" bestFit="1" customWidth="1"/>
    <col min="7" max="7" width="11.5703125" bestFit="1" customWidth="1"/>
    <col min="8" max="8" width="16.140625" bestFit="1" customWidth="1"/>
    <col min="9" max="9" width="22" bestFit="1" customWidth="1"/>
    <col min="10" max="10" width="44.42578125" bestFit="1" customWidth="1"/>
    <col min="11" max="11" width="43.28515625" bestFit="1" customWidth="1"/>
    <col min="12" max="12" width="63.7109375" customWidth="1"/>
    <col min="13" max="13" width="15.28515625" bestFit="1" customWidth="1"/>
    <col min="14" max="14" width="16" bestFit="1" customWidth="1"/>
    <col min="15" max="15" width="43.28515625" bestFit="1" customWidth="1"/>
    <col min="16" max="16" width="25.5703125" bestFit="1" customWidth="1"/>
    <col min="17" max="17" width="9.5703125" bestFit="1" customWidth="1"/>
    <col min="18" max="18" width="10.85546875" bestFit="1" customWidth="1"/>
    <col min="19" max="19" width="16.7109375" bestFit="1" customWidth="1"/>
    <col min="20" max="20" width="13.42578125" bestFit="1" customWidth="1"/>
    <col min="21" max="21" width="16.42578125" bestFit="1" customWidth="1"/>
  </cols>
  <sheetData>
    <row r="1" spans="1:21" ht="30" x14ac:dyDescent="0.25">
      <c r="A1" s="8" t="s">
        <v>64</v>
      </c>
      <c r="B1" s="9" t="s">
        <v>65</v>
      </c>
      <c r="C1" s="9" t="s">
        <v>66</v>
      </c>
      <c r="D1" s="9" t="s">
        <v>67</v>
      </c>
      <c r="E1" s="9" t="s">
        <v>68</v>
      </c>
      <c r="F1" s="9" t="s">
        <v>69</v>
      </c>
      <c r="G1" s="9" t="s">
        <v>70</v>
      </c>
      <c r="H1" s="9" t="s">
        <v>71</v>
      </c>
      <c r="I1" s="9" t="s">
        <v>72</v>
      </c>
      <c r="J1" s="9" t="s">
        <v>73</v>
      </c>
      <c r="K1" s="9" t="s">
        <v>74</v>
      </c>
      <c r="L1" s="9" t="s">
        <v>75</v>
      </c>
      <c r="M1" s="9" t="s">
        <v>76</v>
      </c>
      <c r="N1" s="9" t="s">
        <v>77</v>
      </c>
      <c r="O1" s="9" t="s">
        <v>78</v>
      </c>
      <c r="P1" s="9" t="s">
        <v>79</v>
      </c>
      <c r="Q1" s="9" t="s">
        <v>80</v>
      </c>
      <c r="R1" s="9" t="s">
        <v>81</v>
      </c>
      <c r="S1" s="9" t="s">
        <v>82</v>
      </c>
      <c r="T1" s="9" t="s">
        <v>83</v>
      </c>
      <c r="U1" s="10" t="s">
        <v>84</v>
      </c>
    </row>
    <row r="2" spans="1:21" ht="40.5" x14ac:dyDescent="0.25">
      <c r="A2" s="5" t="s">
        <v>85</v>
      </c>
      <c r="B2" s="1" t="s">
        <v>86</v>
      </c>
      <c r="C2" s="1" t="s">
        <v>87</v>
      </c>
      <c r="D2" s="2">
        <v>45636</v>
      </c>
      <c r="E2" s="1" t="s">
        <v>88</v>
      </c>
      <c r="F2" s="1" t="s">
        <v>89</v>
      </c>
      <c r="G2" s="1" t="s">
        <v>90</v>
      </c>
      <c r="H2" s="1"/>
      <c r="I2" s="1" t="s">
        <v>91</v>
      </c>
      <c r="J2" s="1" t="s">
        <v>92</v>
      </c>
      <c r="K2" s="3"/>
      <c r="L2" s="1" t="s">
        <v>93</v>
      </c>
      <c r="M2" s="1" t="s">
        <v>94</v>
      </c>
      <c r="N2" s="1" t="s">
        <v>95</v>
      </c>
      <c r="O2" s="1" t="s">
        <v>96</v>
      </c>
      <c r="P2" s="1" t="s">
        <v>97</v>
      </c>
      <c r="Q2" s="3"/>
      <c r="R2" s="1" t="s">
        <v>98</v>
      </c>
      <c r="S2" s="3"/>
      <c r="T2" s="3"/>
      <c r="U2" s="6"/>
    </row>
    <row r="3" spans="1:21" ht="67.5" x14ac:dyDescent="0.25">
      <c r="A3" s="5" t="s">
        <v>99</v>
      </c>
      <c r="B3" s="1" t="s">
        <v>100</v>
      </c>
      <c r="C3" s="1" t="s">
        <v>101</v>
      </c>
      <c r="D3" s="2">
        <v>45611</v>
      </c>
      <c r="E3" s="1" t="s">
        <v>102</v>
      </c>
      <c r="F3" s="1" t="s">
        <v>89</v>
      </c>
      <c r="G3" s="1" t="s">
        <v>103</v>
      </c>
      <c r="H3" s="1"/>
      <c r="I3" s="1" t="s">
        <v>104</v>
      </c>
      <c r="J3" s="1" t="s">
        <v>105</v>
      </c>
      <c r="K3" s="1" t="s">
        <v>106</v>
      </c>
      <c r="L3" s="1" t="s">
        <v>107</v>
      </c>
      <c r="M3" s="1" t="s">
        <v>108</v>
      </c>
      <c r="N3" s="1" t="s">
        <v>95</v>
      </c>
      <c r="O3" s="1" t="s">
        <v>109</v>
      </c>
      <c r="P3" s="1" t="s">
        <v>97</v>
      </c>
      <c r="Q3" s="3"/>
      <c r="R3" s="1" t="s">
        <v>110</v>
      </c>
      <c r="S3" s="1" t="s">
        <v>518</v>
      </c>
      <c r="T3" s="3"/>
      <c r="U3" s="6"/>
    </row>
    <row r="4" spans="1:21" x14ac:dyDescent="0.25">
      <c r="A4" s="5" t="s">
        <v>111</v>
      </c>
      <c r="B4" s="1" t="s">
        <v>112</v>
      </c>
      <c r="C4" s="1" t="s">
        <v>113</v>
      </c>
      <c r="D4" s="2">
        <v>45611</v>
      </c>
      <c r="E4" s="3"/>
      <c r="F4" s="1" t="s">
        <v>114</v>
      </c>
      <c r="G4" s="1"/>
      <c r="H4" s="1"/>
      <c r="I4" s="1"/>
      <c r="J4" s="1" t="s">
        <v>114</v>
      </c>
      <c r="K4" s="3"/>
      <c r="L4" s="1" t="s">
        <v>115</v>
      </c>
      <c r="M4" s="3"/>
      <c r="N4" s="1" t="s">
        <v>95</v>
      </c>
      <c r="O4" s="1" t="s">
        <v>116</v>
      </c>
      <c r="P4" s="1" t="s">
        <v>97</v>
      </c>
      <c r="Q4" s="3"/>
      <c r="R4" s="3"/>
      <c r="S4" s="3"/>
      <c r="T4" s="3"/>
      <c r="U4" s="6"/>
    </row>
    <row r="5" spans="1:21" ht="27" x14ac:dyDescent="0.25">
      <c r="A5" s="5" t="s">
        <v>117</v>
      </c>
      <c r="B5" s="1" t="s">
        <v>118</v>
      </c>
      <c r="C5" s="1" t="s">
        <v>119</v>
      </c>
      <c r="D5" s="2">
        <v>45562</v>
      </c>
      <c r="E5" s="3"/>
      <c r="F5" s="1" t="s">
        <v>120</v>
      </c>
      <c r="G5" s="1" t="s">
        <v>90</v>
      </c>
      <c r="H5" s="1"/>
      <c r="I5" s="1" t="s">
        <v>117</v>
      </c>
      <c r="J5" s="1" t="s">
        <v>121</v>
      </c>
      <c r="K5" s="3"/>
      <c r="L5" s="1" t="s">
        <v>122</v>
      </c>
      <c r="M5" s="3"/>
      <c r="N5" s="1" t="s">
        <v>95</v>
      </c>
      <c r="O5" s="1" t="s">
        <v>123</v>
      </c>
      <c r="P5" s="1" t="s">
        <v>124</v>
      </c>
      <c r="Q5" s="3"/>
      <c r="R5" s="3"/>
      <c r="S5" s="3"/>
      <c r="T5" s="3"/>
      <c r="U5" s="6"/>
    </row>
    <row r="6" spans="1:21" ht="27" x14ac:dyDescent="0.25">
      <c r="A6" s="5" t="s">
        <v>125</v>
      </c>
      <c r="B6" s="1" t="s">
        <v>126</v>
      </c>
      <c r="C6" s="1" t="s">
        <v>127</v>
      </c>
      <c r="D6" s="2">
        <v>45506</v>
      </c>
      <c r="E6" s="3"/>
      <c r="F6" s="1" t="s">
        <v>120</v>
      </c>
      <c r="G6" s="1" t="s">
        <v>128</v>
      </c>
      <c r="H6" s="1"/>
      <c r="I6" s="1" t="s">
        <v>125</v>
      </c>
      <c r="J6" s="1" t="s">
        <v>129</v>
      </c>
      <c r="K6" s="1" t="s">
        <v>130</v>
      </c>
      <c r="L6" s="1" t="s">
        <v>131</v>
      </c>
      <c r="M6" s="3"/>
      <c r="N6" s="1" t="s">
        <v>95</v>
      </c>
      <c r="O6" s="1" t="s">
        <v>132</v>
      </c>
      <c r="P6" s="1" t="s">
        <v>124</v>
      </c>
      <c r="Q6" s="3"/>
      <c r="R6" s="3"/>
      <c r="S6" s="3"/>
      <c r="T6" s="3"/>
      <c r="U6" s="6"/>
    </row>
    <row r="7" spans="1:21" ht="81" x14ac:dyDescent="0.25">
      <c r="A7" s="5" t="s">
        <v>133</v>
      </c>
      <c r="B7" s="1" t="s">
        <v>134</v>
      </c>
      <c r="C7" s="1" t="s">
        <v>135</v>
      </c>
      <c r="D7" s="2">
        <v>45478</v>
      </c>
      <c r="E7" s="1" t="s">
        <v>136</v>
      </c>
      <c r="F7" s="1" t="s">
        <v>89</v>
      </c>
      <c r="G7" s="1" t="s">
        <v>137</v>
      </c>
      <c r="H7" s="1" t="s">
        <v>138</v>
      </c>
      <c r="I7" s="1" t="s">
        <v>139</v>
      </c>
      <c r="J7" s="1" t="s">
        <v>140</v>
      </c>
      <c r="K7" s="1" t="s">
        <v>141</v>
      </c>
      <c r="L7" s="1" t="s">
        <v>142</v>
      </c>
      <c r="M7" s="1" t="s">
        <v>143</v>
      </c>
      <c r="N7" s="1" t="s">
        <v>144</v>
      </c>
      <c r="O7" s="1" t="s">
        <v>145</v>
      </c>
      <c r="P7" s="1" t="s">
        <v>146</v>
      </c>
      <c r="Q7" s="3"/>
      <c r="R7" s="1" t="s">
        <v>147</v>
      </c>
      <c r="S7" s="3"/>
      <c r="T7" s="3"/>
      <c r="U7" s="6"/>
    </row>
    <row r="8" spans="1:21" x14ac:dyDescent="0.25">
      <c r="A8" s="5" t="s">
        <v>148</v>
      </c>
      <c r="B8" s="1" t="s">
        <v>149</v>
      </c>
      <c r="C8" s="1" t="s">
        <v>150</v>
      </c>
      <c r="D8" s="2">
        <v>45457</v>
      </c>
      <c r="E8" s="3"/>
      <c r="F8" s="1" t="s">
        <v>114</v>
      </c>
      <c r="G8" s="1"/>
      <c r="H8" s="1"/>
      <c r="I8" s="1"/>
      <c r="J8" s="1" t="s">
        <v>114</v>
      </c>
      <c r="K8" s="3"/>
      <c r="L8" s="3"/>
      <c r="M8" s="3"/>
      <c r="N8" s="1" t="s">
        <v>95</v>
      </c>
      <c r="O8" s="1" t="s">
        <v>151</v>
      </c>
      <c r="P8" s="1" t="s">
        <v>152</v>
      </c>
      <c r="Q8" s="1" t="s">
        <v>153</v>
      </c>
      <c r="R8" s="3"/>
      <c r="S8" s="3"/>
      <c r="T8" s="3"/>
      <c r="U8" s="6"/>
    </row>
    <row r="9" spans="1:21" x14ac:dyDescent="0.25">
      <c r="A9" s="5" t="s">
        <v>154</v>
      </c>
      <c r="B9" s="1" t="s">
        <v>155</v>
      </c>
      <c r="C9" s="1" t="s">
        <v>156</v>
      </c>
      <c r="D9" s="2">
        <v>45457</v>
      </c>
      <c r="E9" s="3"/>
      <c r="F9" s="1" t="s">
        <v>120</v>
      </c>
      <c r="G9" s="1" t="s">
        <v>90</v>
      </c>
      <c r="H9" s="1"/>
      <c r="I9" s="1" t="s">
        <v>154</v>
      </c>
      <c r="J9" s="1" t="s">
        <v>157</v>
      </c>
      <c r="K9" s="3"/>
      <c r="L9" s="3"/>
      <c r="M9" s="3"/>
      <c r="N9" s="1" t="s">
        <v>95</v>
      </c>
      <c r="O9" s="1" t="s">
        <v>158</v>
      </c>
      <c r="P9" s="1" t="s">
        <v>124</v>
      </c>
      <c r="Q9" s="3"/>
      <c r="R9" s="3"/>
      <c r="S9" s="3"/>
      <c r="T9" s="3"/>
      <c r="U9" s="6"/>
    </row>
    <row r="10" spans="1:21" x14ac:dyDescent="0.25">
      <c r="A10" s="5" t="s">
        <v>159</v>
      </c>
      <c r="B10" s="1" t="s">
        <v>160</v>
      </c>
      <c r="C10" s="1" t="s">
        <v>161</v>
      </c>
      <c r="D10" s="2">
        <v>45331</v>
      </c>
      <c r="E10" s="3"/>
      <c r="F10" s="1" t="s">
        <v>120</v>
      </c>
      <c r="G10" s="1" t="s">
        <v>162</v>
      </c>
      <c r="H10" s="1"/>
      <c r="I10" s="1" t="s">
        <v>159</v>
      </c>
      <c r="J10" s="1" t="s">
        <v>163</v>
      </c>
      <c r="K10" s="3"/>
      <c r="L10" s="3"/>
      <c r="M10" s="3"/>
      <c r="N10" s="1" t="s">
        <v>95</v>
      </c>
      <c r="O10" s="1" t="s">
        <v>164</v>
      </c>
      <c r="P10" s="1" t="s">
        <v>124</v>
      </c>
      <c r="Q10" s="3"/>
      <c r="R10" s="3"/>
      <c r="S10" s="3"/>
      <c r="T10" s="3"/>
      <c r="U10" s="6"/>
    </row>
    <row r="11" spans="1:21" ht="40.5" x14ac:dyDescent="0.25">
      <c r="A11" s="5" t="s">
        <v>165</v>
      </c>
      <c r="B11" s="1" t="s">
        <v>166</v>
      </c>
      <c r="C11" s="1" t="s">
        <v>167</v>
      </c>
      <c r="D11" s="2">
        <v>45247</v>
      </c>
      <c r="E11" s="3"/>
      <c r="F11" s="1" t="s">
        <v>168</v>
      </c>
      <c r="G11" s="1"/>
      <c r="H11" s="1"/>
      <c r="I11" s="1"/>
      <c r="J11" s="1" t="s">
        <v>168</v>
      </c>
      <c r="K11" s="3"/>
      <c r="L11" s="1" t="s">
        <v>169</v>
      </c>
      <c r="M11" s="1" t="s">
        <v>170</v>
      </c>
      <c r="N11" s="1" t="s">
        <v>95</v>
      </c>
      <c r="O11" s="1" t="s">
        <v>171</v>
      </c>
      <c r="P11" s="1" t="s">
        <v>124</v>
      </c>
      <c r="Q11" s="3"/>
      <c r="R11" s="1" t="s">
        <v>110</v>
      </c>
      <c r="S11" s="1" t="s">
        <v>519</v>
      </c>
      <c r="T11" s="1" t="s">
        <v>520</v>
      </c>
      <c r="U11" s="6"/>
    </row>
    <row r="12" spans="1:21" ht="67.5" x14ac:dyDescent="0.25">
      <c r="A12" s="5" t="s">
        <v>172</v>
      </c>
      <c r="B12" s="1" t="s">
        <v>173</v>
      </c>
      <c r="C12" s="1" t="s">
        <v>174</v>
      </c>
      <c r="D12" s="2">
        <v>45212</v>
      </c>
      <c r="E12" s="1" t="s">
        <v>175</v>
      </c>
      <c r="F12" s="1" t="s">
        <v>89</v>
      </c>
      <c r="G12" s="1" t="s">
        <v>176</v>
      </c>
      <c r="H12" s="1" t="s">
        <v>138</v>
      </c>
      <c r="I12" s="1" t="s">
        <v>177</v>
      </c>
      <c r="J12" s="1" t="s">
        <v>178</v>
      </c>
      <c r="K12" s="1" t="s">
        <v>179</v>
      </c>
      <c r="L12" s="1" t="s">
        <v>180</v>
      </c>
      <c r="M12" s="1" t="s">
        <v>143</v>
      </c>
      <c r="N12" s="1" t="s">
        <v>95</v>
      </c>
      <c r="O12" s="1" t="s">
        <v>181</v>
      </c>
      <c r="P12" s="1" t="s">
        <v>124</v>
      </c>
      <c r="Q12" s="3"/>
      <c r="R12" s="1" t="s">
        <v>110</v>
      </c>
      <c r="S12" s="3"/>
      <c r="T12" s="3"/>
      <c r="U12" s="6"/>
    </row>
    <row r="13" spans="1:21" x14ac:dyDescent="0.25">
      <c r="A13" s="5" t="s">
        <v>182</v>
      </c>
      <c r="B13" s="1" t="s">
        <v>183</v>
      </c>
      <c r="C13" s="1" t="s">
        <v>184</v>
      </c>
      <c r="D13" s="2">
        <v>44960</v>
      </c>
      <c r="E13" s="3"/>
      <c r="F13" s="1" t="s">
        <v>114</v>
      </c>
      <c r="G13" s="1"/>
      <c r="H13" s="1"/>
      <c r="I13" s="1"/>
      <c r="J13" s="1" t="s">
        <v>114</v>
      </c>
      <c r="K13" s="3"/>
      <c r="L13" s="3"/>
      <c r="M13" s="3"/>
      <c r="N13" s="1" t="s">
        <v>95</v>
      </c>
      <c r="O13" s="4" t="s">
        <v>185</v>
      </c>
      <c r="P13" s="1" t="s">
        <v>152</v>
      </c>
      <c r="Q13" s="1" t="s">
        <v>153</v>
      </c>
      <c r="R13" s="3"/>
      <c r="S13" s="3"/>
      <c r="T13" s="3"/>
      <c r="U13" s="6"/>
    </row>
    <row r="14" spans="1:21" x14ac:dyDescent="0.25">
      <c r="A14" s="5" t="s">
        <v>186</v>
      </c>
      <c r="B14" s="1" t="s">
        <v>187</v>
      </c>
      <c r="C14" s="1" t="s">
        <v>188</v>
      </c>
      <c r="D14" s="2">
        <v>44722</v>
      </c>
      <c r="E14" s="3"/>
      <c r="F14" s="1" t="s">
        <v>114</v>
      </c>
      <c r="G14" s="1"/>
      <c r="H14" s="1"/>
      <c r="I14" s="1"/>
      <c r="J14" s="1" t="s">
        <v>114</v>
      </c>
      <c r="K14" s="3"/>
      <c r="L14" s="3"/>
      <c r="M14" s="3"/>
      <c r="N14" s="1" t="s">
        <v>95</v>
      </c>
      <c r="O14" s="1" t="s">
        <v>189</v>
      </c>
      <c r="P14" s="1" t="s">
        <v>152</v>
      </c>
      <c r="Q14" s="1" t="s">
        <v>153</v>
      </c>
      <c r="R14" s="3"/>
      <c r="S14" s="3"/>
      <c r="T14" s="3"/>
      <c r="U14" s="6"/>
    </row>
    <row r="15" spans="1:21" x14ac:dyDescent="0.25">
      <c r="A15" s="5" t="s">
        <v>190</v>
      </c>
      <c r="B15" s="1" t="s">
        <v>191</v>
      </c>
      <c r="C15" s="1" t="s">
        <v>192</v>
      </c>
      <c r="D15" s="2">
        <v>44519</v>
      </c>
      <c r="E15" s="3"/>
      <c r="F15" s="1" t="s">
        <v>114</v>
      </c>
      <c r="G15" s="1"/>
      <c r="H15" s="1"/>
      <c r="I15" s="1"/>
      <c r="J15" s="1" t="s">
        <v>114</v>
      </c>
      <c r="K15" s="3"/>
      <c r="L15" s="3"/>
      <c r="M15" s="3"/>
      <c r="N15" s="1" t="s">
        <v>95</v>
      </c>
      <c r="O15" s="1" t="s">
        <v>193</v>
      </c>
      <c r="P15" s="1" t="s">
        <v>152</v>
      </c>
      <c r="Q15" s="1" t="s">
        <v>153</v>
      </c>
      <c r="R15" s="3"/>
      <c r="S15" s="3"/>
      <c r="T15" s="3"/>
      <c r="U15" s="6"/>
    </row>
    <row r="16" spans="1:21" x14ac:dyDescent="0.25">
      <c r="A16" s="5" t="s">
        <v>194</v>
      </c>
      <c r="B16" s="1" t="s">
        <v>195</v>
      </c>
      <c r="C16" s="1" t="s">
        <v>196</v>
      </c>
      <c r="D16" s="2">
        <v>44463</v>
      </c>
      <c r="E16" s="3"/>
      <c r="F16" s="1" t="s">
        <v>168</v>
      </c>
      <c r="G16" s="1"/>
      <c r="H16" s="1" t="s">
        <v>197</v>
      </c>
      <c r="I16" s="1" t="s">
        <v>194</v>
      </c>
      <c r="J16" s="1" t="s">
        <v>198</v>
      </c>
      <c r="K16" s="3"/>
      <c r="L16" s="1" t="s">
        <v>199</v>
      </c>
      <c r="M16" s="1" t="s">
        <v>170</v>
      </c>
      <c r="N16" s="1" t="s">
        <v>95</v>
      </c>
      <c r="O16" s="1" t="s">
        <v>200</v>
      </c>
      <c r="P16" s="1" t="s">
        <v>124</v>
      </c>
      <c r="Q16" s="3"/>
      <c r="R16" s="1" t="s">
        <v>98</v>
      </c>
      <c r="S16" s="1" t="s">
        <v>521</v>
      </c>
      <c r="T16" s="1" t="s">
        <v>522</v>
      </c>
      <c r="U16" s="6"/>
    </row>
    <row r="17" spans="1:21" x14ac:dyDescent="0.25">
      <c r="A17" s="5" t="s">
        <v>202</v>
      </c>
      <c r="B17" s="1" t="s">
        <v>203</v>
      </c>
      <c r="C17" s="1" t="s">
        <v>204</v>
      </c>
      <c r="D17" s="2">
        <v>44463</v>
      </c>
      <c r="E17" s="3"/>
      <c r="F17" s="1" t="s">
        <v>114</v>
      </c>
      <c r="G17" s="1"/>
      <c r="H17" s="1"/>
      <c r="I17" s="1"/>
      <c r="J17" s="1" t="s">
        <v>114</v>
      </c>
      <c r="K17" s="3"/>
      <c r="L17" s="3"/>
      <c r="M17" s="3"/>
      <c r="N17" s="1" t="s">
        <v>95</v>
      </c>
      <c r="O17" s="1" t="s">
        <v>205</v>
      </c>
      <c r="P17" s="1" t="s">
        <v>152</v>
      </c>
      <c r="Q17" s="1" t="s">
        <v>153</v>
      </c>
      <c r="R17" s="3"/>
      <c r="S17" s="3"/>
      <c r="T17" s="3"/>
      <c r="U17" s="6"/>
    </row>
    <row r="18" spans="1:21" ht="40.5" x14ac:dyDescent="0.25">
      <c r="A18" s="5" t="s">
        <v>206</v>
      </c>
      <c r="B18" s="1" t="s">
        <v>207</v>
      </c>
      <c r="C18" s="1" t="s">
        <v>208</v>
      </c>
      <c r="D18" s="2">
        <v>44365</v>
      </c>
      <c r="E18" s="1" t="s">
        <v>209</v>
      </c>
      <c r="F18" s="1" t="s">
        <v>210</v>
      </c>
      <c r="G18" s="1" t="s">
        <v>162</v>
      </c>
      <c r="H18" s="1"/>
      <c r="I18" s="1"/>
      <c r="J18" s="1" t="s">
        <v>210</v>
      </c>
      <c r="K18" s="1" t="s">
        <v>211</v>
      </c>
      <c r="L18" s="1" t="s">
        <v>212</v>
      </c>
      <c r="M18" s="1" t="s">
        <v>213</v>
      </c>
      <c r="N18" s="1" t="s">
        <v>95</v>
      </c>
      <c r="O18" s="1" t="s">
        <v>214</v>
      </c>
      <c r="P18" s="1" t="s">
        <v>215</v>
      </c>
      <c r="Q18" s="3"/>
      <c r="R18" s="1" t="s">
        <v>216</v>
      </c>
      <c r="S18" s="1" t="s">
        <v>523</v>
      </c>
      <c r="T18" s="3"/>
      <c r="U18" s="7" t="s">
        <v>524</v>
      </c>
    </row>
    <row r="19" spans="1:21" x14ac:dyDescent="0.25">
      <c r="A19" s="5" t="s">
        <v>217</v>
      </c>
      <c r="B19" s="1" t="s">
        <v>218</v>
      </c>
      <c r="C19" s="1" t="s">
        <v>219</v>
      </c>
      <c r="D19" s="2">
        <v>44365</v>
      </c>
      <c r="E19" s="3"/>
      <c r="F19" s="1" t="s">
        <v>114</v>
      </c>
      <c r="G19" s="1"/>
      <c r="H19" s="1"/>
      <c r="I19" s="1"/>
      <c r="J19" s="1" t="s">
        <v>114</v>
      </c>
      <c r="K19" s="3"/>
      <c r="L19" s="3"/>
      <c r="M19" s="3"/>
      <c r="N19" s="1" t="s">
        <v>95</v>
      </c>
      <c r="O19" s="1" t="s">
        <v>220</v>
      </c>
      <c r="P19" s="1" t="s">
        <v>152</v>
      </c>
      <c r="Q19" s="1" t="s">
        <v>153</v>
      </c>
      <c r="R19" s="3"/>
      <c r="S19" s="3"/>
      <c r="T19" s="3"/>
      <c r="U19" s="6"/>
    </row>
    <row r="20" spans="1:21" x14ac:dyDescent="0.25">
      <c r="A20" s="5" t="s">
        <v>221</v>
      </c>
      <c r="B20" s="1" t="s">
        <v>218</v>
      </c>
      <c r="C20" s="1" t="s">
        <v>219</v>
      </c>
      <c r="D20" s="2">
        <v>44365</v>
      </c>
      <c r="E20" s="3"/>
      <c r="F20" s="1" t="s">
        <v>114</v>
      </c>
      <c r="G20" s="1"/>
      <c r="H20" s="1"/>
      <c r="I20" s="1"/>
      <c r="J20" s="1" t="s">
        <v>114</v>
      </c>
      <c r="K20" s="3"/>
      <c r="L20" s="3"/>
      <c r="M20" s="3"/>
      <c r="N20" s="1" t="s">
        <v>95</v>
      </c>
      <c r="O20" s="1" t="s">
        <v>222</v>
      </c>
      <c r="P20" s="1" t="s">
        <v>223</v>
      </c>
      <c r="Q20" s="1" t="s">
        <v>153</v>
      </c>
      <c r="R20" s="3"/>
      <c r="S20" s="3"/>
      <c r="T20" s="3"/>
      <c r="U20" s="6"/>
    </row>
    <row r="21" spans="1:21" x14ac:dyDescent="0.25">
      <c r="A21" s="5" t="s">
        <v>224</v>
      </c>
      <c r="B21" s="1" t="s">
        <v>225</v>
      </c>
      <c r="C21" s="1" t="s">
        <v>226</v>
      </c>
      <c r="D21" s="2">
        <v>44309</v>
      </c>
      <c r="E21" s="3"/>
      <c r="F21" s="1" t="s">
        <v>114</v>
      </c>
      <c r="G21" s="1"/>
      <c r="H21" s="1"/>
      <c r="I21" s="1"/>
      <c r="J21" s="1" t="s">
        <v>114</v>
      </c>
      <c r="K21" s="3"/>
      <c r="L21" s="3"/>
      <c r="M21" s="3"/>
      <c r="N21" s="1" t="s">
        <v>95</v>
      </c>
      <c r="O21" s="1" t="s">
        <v>227</v>
      </c>
      <c r="P21" s="1" t="s">
        <v>152</v>
      </c>
      <c r="Q21" s="1" t="s">
        <v>153</v>
      </c>
      <c r="R21" s="3"/>
      <c r="S21" s="3"/>
      <c r="T21" s="3"/>
      <c r="U21" s="6"/>
    </row>
    <row r="22" spans="1:21" ht="67.5" x14ac:dyDescent="0.25">
      <c r="A22" s="5" t="s">
        <v>228</v>
      </c>
      <c r="B22" s="1" t="s">
        <v>229</v>
      </c>
      <c r="C22" s="1" t="s">
        <v>230</v>
      </c>
      <c r="D22" s="2">
        <v>44232</v>
      </c>
      <c r="E22" s="1" t="s">
        <v>231</v>
      </c>
      <c r="F22" s="1" t="s">
        <v>89</v>
      </c>
      <c r="G22" s="1" t="s">
        <v>103</v>
      </c>
      <c r="H22" s="1"/>
      <c r="I22" s="1" t="s">
        <v>232</v>
      </c>
      <c r="J22" s="1" t="s">
        <v>233</v>
      </c>
      <c r="K22" s="1" t="s">
        <v>234</v>
      </c>
      <c r="L22" s="1" t="s">
        <v>235</v>
      </c>
      <c r="M22" s="1" t="s">
        <v>143</v>
      </c>
      <c r="N22" s="1" t="s">
        <v>95</v>
      </c>
      <c r="O22" s="1" t="s">
        <v>236</v>
      </c>
      <c r="P22" s="1" t="s">
        <v>146</v>
      </c>
      <c r="Q22" s="3"/>
      <c r="R22" s="1" t="s">
        <v>147</v>
      </c>
      <c r="S22" s="1" t="s">
        <v>237</v>
      </c>
      <c r="T22" s="1" t="s">
        <v>238</v>
      </c>
      <c r="U22" s="6"/>
    </row>
    <row r="23" spans="1:21" ht="67.5" x14ac:dyDescent="0.25">
      <c r="A23" s="5" t="s">
        <v>239</v>
      </c>
      <c r="B23" s="1" t="s">
        <v>240</v>
      </c>
      <c r="C23" s="1" t="s">
        <v>241</v>
      </c>
      <c r="D23" s="2">
        <v>44100</v>
      </c>
      <c r="E23" s="1" t="s">
        <v>242</v>
      </c>
      <c r="F23" s="1" t="s">
        <v>89</v>
      </c>
      <c r="G23" s="1" t="s">
        <v>162</v>
      </c>
      <c r="H23" s="1"/>
      <c r="I23" s="1" t="s">
        <v>243</v>
      </c>
      <c r="J23" s="1" t="s">
        <v>244</v>
      </c>
      <c r="K23" s="1" t="s">
        <v>245</v>
      </c>
      <c r="L23" s="1" t="s">
        <v>246</v>
      </c>
      <c r="M23" s="1" t="s">
        <v>213</v>
      </c>
      <c r="N23" s="1" t="s">
        <v>95</v>
      </c>
      <c r="O23" s="1" t="s">
        <v>247</v>
      </c>
      <c r="P23" s="1" t="s">
        <v>97</v>
      </c>
      <c r="Q23" s="3"/>
      <c r="R23" s="1" t="s">
        <v>98</v>
      </c>
      <c r="S23" s="3"/>
      <c r="T23" s="3"/>
      <c r="U23" s="6"/>
    </row>
    <row r="24" spans="1:21" ht="40.5" x14ac:dyDescent="0.25">
      <c r="A24" s="5" t="s">
        <v>248</v>
      </c>
      <c r="B24" s="1" t="s">
        <v>240</v>
      </c>
      <c r="C24" s="1" t="s">
        <v>241</v>
      </c>
      <c r="D24" s="2">
        <v>44100</v>
      </c>
      <c r="E24" s="1" t="s">
        <v>249</v>
      </c>
      <c r="F24" s="1" t="s">
        <v>89</v>
      </c>
      <c r="G24" s="1" t="s">
        <v>103</v>
      </c>
      <c r="H24" s="1"/>
      <c r="I24" s="1" t="s">
        <v>250</v>
      </c>
      <c r="J24" s="1" t="s">
        <v>251</v>
      </c>
      <c r="K24" s="1" t="s">
        <v>252</v>
      </c>
      <c r="L24" s="1" t="s">
        <v>253</v>
      </c>
      <c r="M24" s="1" t="s">
        <v>254</v>
      </c>
      <c r="N24" s="1" t="s">
        <v>95</v>
      </c>
      <c r="O24" s="1" t="s">
        <v>255</v>
      </c>
      <c r="P24" s="1" t="s">
        <v>97</v>
      </c>
      <c r="Q24" s="3"/>
      <c r="R24" s="1" t="s">
        <v>216</v>
      </c>
      <c r="S24" s="1" t="s">
        <v>256</v>
      </c>
      <c r="T24" s="3"/>
      <c r="U24" s="6"/>
    </row>
    <row r="25" spans="1:21" ht="27" x14ac:dyDescent="0.25">
      <c r="A25" s="5" t="s">
        <v>257</v>
      </c>
      <c r="B25" s="1" t="s">
        <v>240</v>
      </c>
      <c r="C25" s="1" t="s">
        <v>241</v>
      </c>
      <c r="D25" s="2">
        <v>44100</v>
      </c>
      <c r="E25" s="1" t="s">
        <v>258</v>
      </c>
      <c r="F25" s="1" t="s">
        <v>259</v>
      </c>
      <c r="G25" s="1" t="s">
        <v>103</v>
      </c>
      <c r="H25" s="1"/>
      <c r="I25" s="1"/>
      <c r="J25" s="1" t="s">
        <v>259</v>
      </c>
      <c r="K25" s="3"/>
      <c r="L25" s="1" t="s">
        <v>260</v>
      </c>
      <c r="M25" s="1" t="s">
        <v>261</v>
      </c>
      <c r="N25" s="1" t="s">
        <v>95</v>
      </c>
      <c r="O25" s="1" t="s">
        <v>262</v>
      </c>
      <c r="P25" s="1" t="s">
        <v>97</v>
      </c>
      <c r="Q25" s="3"/>
      <c r="R25" s="1" t="s">
        <v>98</v>
      </c>
      <c r="S25" s="1" t="s">
        <v>201</v>
      </c>
      <c r="T25" s="3"/>
      <c r="U25" s="6"/>
    </row>
    <row r="26" spans="1:21" ht="54" x14ac:dyDescent="0.25">
      <c r="A26" s="5" t="s">
        <v>263</v>
      </c>
      <c r="B26" s="1" t="s">
        <v>240</v>
      </c>
      <c r="C26" s="1" t="s">
        <v>241</v>
      </c>
      <c r="D26" s="2">
        <v>44100</v>
      </c>
      <c r="E26" s="1" t="s">
        <v>264</v>
      </c>
      <c r="F26" s="1" t="s">
        <v>210</v>
      </c>
      <c r="G26" s="1" t="s">
        <v>90</v>
      </c>
      <c r="H26" s="1"/>
      <c r="I26" s="1"/>
      <c r="J26" s="1" t="s">
        <v>210</v>
      </c>
      <c r="K26" s="3"/>
      <c r="L26" s="1" t="s">
        <v>265</v>
      </c>
      <c r="M26" s="1" t="s">
        <v>261</v>
      </c>
      <c r="N26" s="1" t="s">
        <v>95</v>
      </c>
      <c r="O26" s="1" t="s">
        <v>266</v>
      </c>
      <c r="P26" s="1" t="s">
        <v>97</v>
      </c>
      <c r="Q26" s="3"/>
      <c r="R26" s="1" t="s">
        <v>216</v>
      </c>
      <c r="S26" s="1" t="s">
        <v>522</v>
      </c>
      <c r="T26" s="3"/>
      <c r="U26" s="6"/>
    </row>
    <row r="27" spans="1:21" ht="108" x14ac:dyDescent="0.25">
      <c r="A27" s="5" t="s">
        <v>267</v>
      </c>
      <c r="B27" s="1" t="s">
        <v>268</v>
      </c>
      <c r="C27" s="1" t="s">
        <v>269</v>
      </c>
      <c r="D27" s="2">
        <v>44056</v>
      </c>
      <c r="E27" s="1" t="s">
        <v>270</v>
      </c>
      <c r="F27" s="1" t="s">
        <v>271</v>
      </c>
      <c r="G27" s="1" t="s">
        <v>176</v>
      </c>
      <c r="H27" s="1" t="s">
        <v>138</v>
      </c>
      <c r="I27" s="1" t="s">
        <v>272</v>
      </c>
      <c r="J27" s="1" t="s">
        <v>273</v>
      </c>
      <c r="K27" s="1" t="s">
        <v>274</v>
      </c>
      <c r="L27" s="1" t="s">
        <v>275</v>
      </c>
      <c r="M27" s="1" t="s">
        <v>94</v>
      </c>
      <c r="N27" s="1" t="s">
        <v>95</v>
      </c>
      <c r="O27" s="1" t="s">
        <v>276</v>
      </c>
      <c r="P27" s="1" t="s">
        <v>97</v>
      </c>
      <c r="Q27" s="3"/>
      <c r="R27" s="1" t="s">
        <v>110</v>
      </c>
      <c r="S27" s="3"/>
      <c r="T27" s="3"/>
      <c r="U27" s="6"/>
    </row>
    <row r="28" spans="1:21" ht="27" x14ac:dyDescent="0.25">
      <c r="A28" s="5" t="s">
        <v>277</v>
      </c>
      <c r="B28" s="1" t="s">
        <v>278</v>
      </c>
      <c r="C28" s="1" t="s">
        <v>279</v>
      </c>
      <c r="D28" s="2">
        <v>43890</v>
      </c>
      <c r="E28" s="1" t="s">
        <v>280</v>
      </c>
      <c r="F28" s="1" t="s">
        <v>281</v>
      </c>
      <c r="G28" s="1" t="s">
        <v>162</v>
      </c>
      <c r="H28" s="1"/>
      <c r="I28" s="1"/>
      <c r="J28" s="1" t="s">
        <v>281</v>
      </c>
      <c r="K28" s="3"/>
      <c r="L28" s="1" t="s">
        <v>282</v>
      </c>
      <c r="M28" s="1" t="s">
        <v>143</v>
      </c>
      <c r="N28" s="1" t="s">
        <v>95</v>
      </c>
      <c r="O28" s="1" t="s">
        <v>283</v>
      </c>
      <c r="P28" s="1" t="s">
        <v>97</v>
      </c>
      <c r="Q28" s="3"/>
      <c r="R28" s="1" t="s">
        <v>147</v>
      </c>
      <c r="S28" s="1" t="s">
        <v>525</v>
      </c>
      <c r="T28" s="1" t="s">
        <v>285</v>
      </c>
      <c r="U28" s="6"/>
    </row>
    <row r="29" spans="1:21" ht="40.5" x14ac:dyDescent="0.25">
      <c r="A29" s="5" t="s">
        <v>286</v>
      </c>
      <c r="B29" s="1" t="s">
        <v>287</v>
      </c>
      <c r="C29" s="1" t="s">
        <v>288</v>
      </c>
      <c r="D29" s="2">
        <v>43854</v>
      </c>
      <c r="E29" s="1" t="s">
        <v>289</v>
      </c>
      <c r="F29" s="1" t="s">
        <v>259</v>
      </c>
      <c r="G29" s="1" t="s">
        <v>290</v>
      </c>
      <c r="H29" s="1"/>
      <c r="I29" s="1"/>
      <c r="J29" s="1" t="s">
        <v>259</v>
      </c>
      <c r="K29" s="3"/>
      <c r="L29" s="1" t="s">
        <v>291</v>
      </c>
      <c r="M29" s="1" t="s">
        <v>143</v>
      </c>
      <c r="N29" s="1" t="s">
        <v>95</v>
      </c>
      <c r="O29" s="1" t="s">
        <v>292</v>
      </c>
      <c r="P29" s="1" t="s">
        <v>124</v>
      </c>
      <c r="Q29" s="3"/>
      <c r="R29" s="1" t="s">
        <v>98</v>
      </c>
      <c r="S29" s="1" t="s">
        <v>363</v>
      </c>
      <c r="T29" s="1" t="s">
        <v>294</v>
      </c>
      <c r="U29" s="6"/>
    </row>
    <row r="30" spans="1:21" ht="81" x14ac:dyDescent="0.25">
      <c r="A30" s="5" t="s">
        <v>295</v>
      </c>
      <c r="B30" s="1" t="s">
        <v>296</v>
      </c>
      <c r="C30" s="1" t="s">
        <v>297</v>
      </c>
      <c r="D30" s="2">
        <v>43742</v>
      </c>
      <c r="E30" s="1" t="s">
        <v>298</v>
      </c>
      <c r="F30" s="1" t="s">
        <v>259</v>
      </c>
      <c r="G30" s="1" t="s">
        <v>103</v>
      </c>
      <c r="H30" s="1"/>
      <c r="I30" s="1"/>
      <c r="J30" s="1" t="s">
        <v>259</v>
      </c>
      <c r="K30" s="3"/>
      <c r="L30" s="1" t="s">
        <v>299</v>
      </c>
      <c r="M30" s="1" t="s">
        <v>94</v>
      </c>
      <c r="N30" s="1" t="s">
        <v>95</v>
      </c>
      <c r="O30" s="1" t="s">
        <v>300</v>
      </c>
      <c r="P30" s="1" t="s">
        <v>124</v>
      </c>
      <c r="Q30" s="3"/>
      <c r="R30" s="1" t="s">
        <v>147</v>
      </c>
      <c r="S30" s="1" t="s">
        <v>526</v>
      </c>
      <c r="T30" s="1" t="s">
        <v>527</v>
      </c>
      <c r="U30" s="6"/>
    </row>
    <row r="31" spans="1:21" x14ac:dyDescent="0.25">
      <c r="A31" s="5" t="s">
        <v>301</v>
      </c>
      <c r="B31" s="1" t="s">
        <v>302</v>
      </c>
      <c r="C31" s="1" t="s">
        <v>303</v>
      </c>
      <c r="D31" s="2">
        <v>43621</v>
      </c>
      <c r="E31" s="3"/>
      <c r="F31" s="1" t="s">
        <v>114</v>
      </c>
      <c r="G31" s="1"/>
      <c r="H31" s="1"/>
      <c r="I31" s="1"/>
      <c r="J31" s="1" t="s">
        <v>114</v>
      </c>
      <c r="K31" s="3"/>
      <c r="L31" s="3"/>
      <c r="M31" s="3"/>
      <c r="N31" s="1" t="s">
        <v>95</v>
      </c>
      <c r="O31" s="1" t="s">
        <v>304</v>
      </c>
      <c r="P31" s="1" t="s">
        <v>223</v>
      </c>
      <c r="Q31" s="1" t="s">
        <v>153</v>
      </c>
      <c r="R31" s="3"/>
      <c r="S31" s="3"/>
      <c r="T31" s="3"/>
      <c r="U31" s="6"/>
    </row>
    <row r="32" spans="1:21" x14ac:dyDescent="0.25">
      <c r="A32" s="5" t="s">
        <v>305</v>
      </c>
      <c r="B32" s="1" t="s">
        <v>302</v>
      </c>
      <c r="C32" s="1" t="s">
        <v>303</v>
      </c>
      <c r="D32" s="2">
        <v>43621</v>
      </c>
      <c r="E32" s="3"/>
      <c r="F32" s="1" t="s">
        <v>114</v>
      </c>
      <c r="G32" s="1"/>
      <c r="H32" s="1"/>
      <c r="I32" s="1"/>
      <c r="J32" s="1" t="s">
        <v>114</v>
      </c>
      <c r="K32" s="3"/>
      <c r="L32" s="3"/>
      <c r="M32" s="3"/>
      <c r="N32" s="1" t="s">
        <v>95</v>
      </c>
      <c r="O32" s="1" t="s">
        <v>306</v>
      </c>
      <c r="P32" s="1" t="s">
        <v>223</v>
      </c>
      <c r="Q32" s="1" t="s">
        <v>153</v>
      </c>
      <c r="R32" s="3"/>
      <c r="S32" s="3"/>
      <c r="T32" s="3"/>
      <c r="U32" s="6"/>
    </row>
    <row r="33" spans="1:21" x14ac:dyDescent="0.25">
      <c r="A33" s="5" t="s">
        <v>307</v>
      </c>
      <c r="B33" s="1" t="s">
        <v>302</v>
      </c>
      <c r="C33" s="1" t="s">
        <v>303</v>
      </c>
      <c r="D33" s="2">
        <v>43621</v>
      </c>
      <c r="E33" s="3"/>
      <c r="F33" s="1" t="s">
        <v>114</v>
      </c>
      <c r="G33" s="1"/>
      <c r="H33" s="1"/>
      <c r="I33" s="1"/>
      <c r="J33" s="1" t="s">
        <v>114</v>
      </c>
      <c r="K33" s="3"/>
      <c r="L33" s="3"/>
      <c r="M33" s="3"/>
      <c r="N33" s="1" t="s">
        <v>95</v>
      </c>
      <c r="O33" s="1" t="s">
        <v>308</v>
      </c>
      <c r="P33" s="1" t="s">
        <v>223</v>
      </c>
      <c r="Q33" s="1" t="s">
        <v>153</v>
      </c>
      <c r="R33" s="3"/>
      <c r="S33" s="3"/>
      <c r="T33" s="3"/>
      <c r="U33" s="6"/>
    </row>
    <row r="34" spans="1:21" x14ac:dyDescent="0.25">
      <c r="A34" s="5" t="s">
        <v>309</v>
      </c>
      <c r="B34" s="1" t="s">
        <v>310</v>
      </c>
      <c r="C34" s="1" t="s">
        <v>311</v>
      </c>
      <c r="D34" s="2">
        <v>43378</v>
      </c>
      <c r="E34" s="1" t="s">
        <v>312</v>
      </c>
      <c r="F34" s="1" t="s">
        <v>281</v>
      </c>
      <c r="G34" s="1" t="s">
        <v>313</v>
      </c>
      <c r="H34" s="1"/>
      <c r="I34" s="1" t="s">
        <v>314</v>
      </c>
      <c r="J34" s="1" t="s">
        <v>315</v>
      </c>
      <c r="K34" s="1" t="s">
        <v>316</v>
      </c>
      <c r="L34" s="1" t="s">
        <v>317</v>
      </c>
      <c r="M34" s="1" t="s">
        <v>213</v>
      </c>
      <c r="N34" s="1" t="s">
        <v>95</v>
      </c>
      <c r="O34" s="1" t="s">
        <v>318</v>
      </c>
      <c r="P34" s="1" t="s">
        <v>124</v>
      </c>
      <c r="Q34" s="3"/>
      <c r="R34" s="1" t="s">
        <v>98</v>
      </c>
      <c r="S34" s="1" t="s">
        <v>528</v>
      </c>
      <c r="T34" s="1" t="s">
        <v>529</v>
      </c>
      <c r="U34" s="6"/>
    </row>
    <row r="35" spans="1:21" x14ac:dyDescent="0.25">
      <c r="A35" s="5" t="s">
        <v>320</v>
      </c>
      <c r="B35" s="1" t="s">
        <v>321</v>
      </c>
      <c r="C35" s="1" t="s">
        <v>322</v>
      </c>
      <c r="D35" s="2">
        <v>43217</v>
      </c>
      <c r="E35" s="3"/>
      <c r="F35" s="1" t="s">
        <v>120</v>
      </c>
      <c r="G35" s="1" t="s">
        <v>90</v>
      </c>
      <c r="H35" s="1" t="s">
        <v>138</v>
      </c>
      <c r="I35" s="1" t="s">
        <v>323</v>
      </c>
      <c r="J35" s="1" t="s">
        <v>324</v>
      </c>
      <c r="K35" s="1" t="s">
        <v>325</v>
      </c>
      <c r="L35" s="1" t="s">
        <v>325</v>
      </c>
      <c r="M35" s="3"/>
      <c r="N35" s="1" t="s">
        <v>95</v>
      </c>
      <c r="O35" s="1" t="s">
        <v>326</v>
      </c>
      <c r="P35" s="1" t="s">
        <v>97</v>
      </c>
      <c r="Q35" s="3"/>
      <c r="R35" s="3"/>
      <c r="S35" s="1" t="s">
        <v>488</v>
      </c>
      <c r="T35" s="3"/>
      <c r="U35" s="6"/>
    </row>
    <row r="36" spans="1:21" ht="54" x14ac:dyDescent="0.25">
      <c r="A36" s="5" t="s">
        <v>328</v>
      </c>
      <c r="B36" s="1" t="s">
        <v>329</v>
      </c>
      <c r="C36" s="1" t="s">
        <v>330</v>
      </c>
      <c r="D36" s="2">
        <v>43056</v>
      </c>
      <c r="E36" s="1" t="s">
        <v>331</v>
      </c>
      <c r="F36" s="1" t="s">
        <v>332</v>
      </c>
      <c r="G36" s="1"/>
      <c r="H36" s="1"/>
      <c r="I36" s="1"/>
      <c r="J36" s="1" t="s">
        <v>332</v>
      </c>
      <c r="K36" s="3"/>
      <c r="L36" s="1" t="s">
        <v>333</v>
      </c>
      <c r="M36" s="1" t="s">
        <v>94</v>
      </c>
      <c r="N36" s="1" t="s">
        <v>95</v>
      </c>
      <c r="O36" s="1" t="s">
        <v>334</v>
      </c>
      <c r="P36" s="1" t="s">
        <v>124</v>
      </c>
      <c r="Q36" s="3"/>
      <c r="R36" s="1" t="s">
        <v>216</v>
      </c>
      <c r="S36" s="1" t="s">
        <v>319</v>
      </c>
      <c r="T36" s="1" t="s">
        <v>525</v>
      </c>
      <c r="U36" s="6"/>
    </row>
    <row r="37" spans="1:21" ht="54" x14ac:dyDescent="0.25">
      <c r="A37" s="5" t="s">
        <v>335</v>
      </c>
      <c r="B37" s="1" t="s">
        <v>336</v>
      </c>
      <c r="C37" s="1" t="s">
        <v>337</v>
      </c>
      <c r="D37" s="2">
        <v>42573</v>
      </c>
      <c r="E37" s="1" t="s">
        <v>338</v>
      </c>
      <c r="F37" s="1" t="s">
        <v>89</v>
      </c>
      <c r="G37" s="1" t="s">
        <v>162</v>
      </c>
      <c r="H37" s="1" t="s">
        <v>138</v>
      </c>
      <c r="I37" s="1" t="s">
        <v>339</v>
      </c>
      <c r="J37" s="1" t="s">
        <v>340</v>
      </c>
      <c r="K37" s="1" t="s">
        <v>341</v>
      </c>
      <c r="L37" s="1" t="s">
        <v>342</v>
      </c>
      <c r="M37" s="1" t="s">
        <v>261</v>
      </c>
      <c r="N37" s="1" t="s">
        <v>95</v>
      </c>
      <c r="O37" s="1" t="s">
        <v>343</v>
      </c>
      <c r="P37" s="1" t="s">
        <v>124</v>
      </c>
      <c r="Q37" s="1" t="s">
        <v>153</v>
      </c>
      <c r="R37" s="1" t="s">
        <v>110</v>
      </c>
      <c r="S37" s="1" t="s">
        <v>530</v>
      </c>
      <c r="T37" s="1" t="s">
        <v>531</v>
      </c>
      <c r="U37" s="6"/>
    </row>
    <row r="38" spans="1:21" ht="40.5" x14ac:dyDescent="0.25">
      <c r="A38" s="5" t="s">
        <v>344</v>
      </c>
      <c r="B38" s="1" t="s">
        <v>345</v>
      </c>
      <c r="C38" s="1" t="s">
        <v>346</v>
      </c>
      <c r="D38" s="2">
        <v>42391</v>
      </c>
      <c r="E38" s="1" t="s">
        <v>347</v>
      </c>
      <c r="F38" s="1" t="s">
        <v>89</v>
      </c>
      <c r="G38" s="1"/>
      <c r="H38" s="1"/>
      <c r="I38" s="1" t="s">
        <v>348</v>
      </c>
      <c r="J38" s="1" t="s">
        <v>349</v>
      </c>
      <c r="K38" s="1" t="s">
        <v>350</v>
      </c>
      <c r="L38" s="1" t="s">
        <v>351</v>
      </c>
      <c r="M38" s="1" t="s">
        <v>261</v>
      </c>
      <c r="N38" s="1" t="s">
        <v>95</v>
      </c>
      <c r="O38" s="1" t="s">
        <v>352</v>
      </c>
      <c r="P38" s="1" t="s">
        <v>124</v>
      </c>
      <c r="Q38" s="3"/>
      <c r="R38" s="1" t="s">
        <v>216</v>
      </c>
      <c r="S38" s="1" t="s">
        <v>522</v>
      </c>
      <c r="T38" s="1" t="s">
        <v>532</v>
      </c>
      <c r="U38" s="6"/>
    </row>
    <row r="39" spans="1:21" ht="40.5" x14ac:dyDescent="0.25">
      <c r="A39" s="5" t="s">
        <v>353</v>
      </c>
      <c r="B39" s="1" t="s">
        <v>354</v>
      </c>
      <c r="C39" s="1" t="s">
        <v>355</v>
      </c>
      <c r="D39" s="2">
        <v>42279</v>
      </c>
      <c r="E39" s="1" t="s">
        <v>356</v>
      </c>
      <c r="F39" s="1" t="s">
        <v>89</v>
      </c>
      <c r="G39" s="1"/>
      <c r="H39" s="1"/>
      <c r="I39" s="1" t="s">
        <v>348</v>
      </c>
      <c r="J39" s="1" t="s">
        <v>349</v>
      </c>
      <c r="K39" s="1" t="s">
        <v>357</v>
      </c>
      <c r="L39" s="1" t="s">
        <v>358</v>
      </c>
      <c r="M39" s="1" t="s">
        <v>94</v>
      </c>
      <c r="N39" s="1" t="s">
        <v>95</v>
      </c>
      <c r="O39" s="1" t="s">
        <v>359</v>
      </c>
      <c r="P39" s="1" t="s">
        <v>124</v>
      </c>
      <c r="Q39" s="3"/>
      <c r="R39" s="1" t="s">
        <v>98</v>
      </c>
      <c r="S39" s="1" t="s">
        <v>363</v>
      </c>
      <c r="T39" s="1" t="s">
        <v>284</v>
      </c>
      <c r="U39" s="6"/>
    </row>
    <row r="40" spans="1:21" x14ac:dyDescent="0.25">
      <c r="A40" s="5" t="s">
        <v>360</v>
      </c>
      <c r="B40" s="1" t="s">
        <v>354</v>
      </c>
      <c r="C40" s="1" t="s">
        <v>355</v>
      </c>
      <c r="D40" s="2">
        <v>42279</v>
      </c>
      <c r="E40" s="1" t="s">
        <v>298</v>
      </c>
      <c r="F40" s="1" t="s">
        <v>259</v>
      </c>
      <c r="G40" s="1" t="s">
        <v>103</v>
      </c>
      <c r="H40" s="1"/>
      <c r="I40" s="1"/>
      <c r="J40" s="1" t="s">
        <v>259</v>
      </c>
      <c r="K40" s="3"/>
      <c r="L40" s="1" t="s">
        <v>361</v>
      </c>
      <c r="M40" s="1" t="s">
        <v>94</v>
      </c>
      <c r="N40" s="1" t="s">
        <v>95</v>
      </c>
      <c r="O40" s="1" t="s">
        <v>362</v>
      </c>
      <c r="P40" s="1" t="s">
        <v>124</v>
      </c>
      <c r="Q40" s="3"/>
      <c r="R40" s="1" t="s">
        <v>98</v>
      </c>
      <c r="S40" s="1" t="s">
        <v>363</v>
      </c>
      <c r="T40" s="1" t="s">
        <v>293</v>
      </c>
      <c r="U40" s="6"/>
    </row>
    <row r="41" spans="1:21" ht="27" x14ac:dyDescent="0.25">
      <c r="A41" s="5" t="s">
        <v>364</v>
      </c>
      <c r="B41" s="1" t="s">
        <v>365</v>
      </c>
      <c r="C41" s="1" t="s">
        <v>366</v>
      </c>
      <c r="D41" s="2">
        <v>41761</v>
      </c>
      <c r="E41" s="1" t="s">
        <v>88</v>
      </c>
      <c r="F41" s="1" t="s">
        <v>281</v>
      </c>
      <c r="G41" s="1" t="s">
        <v>90</v>
      </c>
      <c r="H41" s="1"/>
      <c r="I41" s="1"/>
      <c r="J41" s="1" t="s">
        <v>281</v>
      </c>
      <c r="K41" s="3"/>
      <c r="L41" s="1" t="s">
        <v>367</v>
      </c>
      <c r="M41" s="1" t="s">
        <v>94</v>
      </c>
      <c r="N41" s="1" t="s">
        <v>95</v>
      </c>
      <c r="O41" s="1" t="s">
        <v>368</v>
      </c>
      <c r="P41" s="1" t="s">
        <v>124</v>
      </c>
      <c r="Q41" s="3"/>
      <c r="R41" s="1" t="s">
        <v>98</v>
      </c>
      <c r="S41" s="1" t="s">
        <v>369</v>
      </c>
      <c r="T41" s="1" t="s">
        <v>370</v>
      </c>
      <c r="U41" s="6"/>
    </row>
    <row r="42" spans="1:21" ht="94.5" x14ac:dyDescent="0.25">
      <c r="A42" s="5" t="s">
        <v>371</v>
      </c>
      <c r="B42" s="1" t="s">
        <v>372</v>
      </c>
      <c r="C42" s="1" t="s">
        <v>373</v>
      </c>
      <c r="D42" s="2">
        <v>41187</v>
      </c>
      <c r="E42" s="1" t="s">
        <v>374</v>
      </c>
      <c r="F42" s="1" t="s">
        <v>281</v>
      </c>
      <c r="G42" s="1" t="s">
        <v>90</v>
      </c>
      <c r="H42" s="1"/>
      <c r="I42" s="1"/>
      <c r="J42" s="1" t="s">
        <v>281</v>
      </c>
      <c r="K42" s="1" t="s">
        <v>375</v>
      </c>
      <c r="L42" s="1" t="s">
        <v>376</v>
      </c>
      <c r="M42" s="1" t="s">
        <v>108</v>
      </c>
      <c r="N42" s="1" t="s">
        <v>95</v>
      </c>
      <c r="O42" s="1" t="s">
        <v>377</v>
      </c>
      <c r="P42" s="1" t="s">
        <v>124</v>
      </c>
      <c r="Q42" s="3"/>
      <c r="R42" s="1" t="s">
        <v>147</v>
      </c>
      <c r="S42" s="1" t="s">
        <v>533</v>
      </c>
      <c r="T42" s="1" t="s">
        <v>327</v>
      </c>
      <c r="U42" s="6"/>
    </row>
    <row r="43" spans="1:21" ht="40.5" x14ac:dyDescent="0.25">
      <c r="A43" s="5" t="s">
        <v>378</v>
      </c>
      <c r="B43" s="1" t="s">
        <v>379</v>
      </c>
      <c r="C43" s="1" t="s">
        <v>380</v>
      </c>
      <c r="D43" s="2">
        <v>41027</v>
      </c>
      <c r="E43" s="1" t="s">
        <v>381</v>
      </c>
      <c r="F43" s="1" t="s">
        <v>89</v>
      </c>
      <c r="G43" s="1" t="s">
        <v>162</v>
      </c>
      <c r="H43" s="1"/>
      <c r="I43" s="1" t="s">
        <v>382</v>
      </c>
      <c r="J43" s="1" t="s">
        <v>383</v>
      </c>
      <c r="K43" s="1" t="s">
        <v>325</v>
      </c>
      <c r="L43" s="1" t="s">
        <v>384</v>
      </c>
      <c r="M43" s="1" t="s">
        <v>385</v>
      </c>
      <c r="N43" s="1" t="s">
        <v>95</v>
      </c>
      <c r="O43" s="1" t="s">
        <v>386</v>
      </c>
      <c r="P43" s="1" t="s">
        <v>146</v>
      </c>
      <c r="Q43" s="3"/>
      <c r="R43" s="1" t="s">
        <v>147</v>
      </c>
      <c r="S43" s="3"/>
      <c r="T43" s="1" t="s">
        <v>534</v>
      </c>
      <c r="U43" s="6"/>
    </row>
    <row r="44" spans="1:21" x14ac:dyDescent="0.25">
      <c r="A44" s="5" t="s">
        <v>387</v>
      </c>
      <c r="B44" s="1" t="s">
        <v>388</v>
      </c>
      <c r="C44" s="1" t="s">
        <v>389</v>
      </c>
      <c r="D44" s="2">
        <v>40375</v>
      </c>
      <c r="E44" s="3"/>
      <c r="F44" s="1" t="s">
        <v>120</v>
      </c>
      <c r="G44" s="1" t="s">
        <v>313</v>
      </c>
      <c r="H44" s="1"/>
      <c r="I44" s="1" t="s">
        <v>387</v>
      </c>
      <c r="J44" s="1" t="s">
        <v>390</v>
      </c>
      <c r="K44" s="3"/>
      <c r="L44" s="3"/>
      <c r="M44" s="3"/>
      <c r="N44" s="1" t="s">
        <v>95</v>
      </c>
      <c r="O44" s="1" t="s">
        <v>391</v>
      </c>
      <c r="P44" s="1" t="s">
        <v>97</v>
      </c>
      <c r="Q44" s="3"/>
      <c r="R44" s="3"/>
      <c r="S44" s="1" t="s">
        <v>522</v>
      </c>
      <c r="T44" s="3"/>
      <c r="U44" s="6"/>
    </row>
    <row r="45" spans="1:21" ht="27" x14ac:dyDescent="0.25">
      <c r="A45" s="5" t="s">
        <v>392</v>
      </c>
      <c r="B45" s="1" t="s">
        <v>393</v>
      </c>
      <c r="C45" s="1" t="s">
        <v>394</v>
      </c>
      <c r="D45" s="2">
        <v>40088</v>
      </c>
      <c r="E45" s="1" t="s">
        <v>231</v>
      </c>
      <c r="F45" s="1" t="s">
        <v>89</v>
      </c>
      <c r="G45" s="1" t="s">
        <v>103</v>
      </c>
      <c r="H45" s="1"/>
      <c r="I45" s="1" t="s">
        <v>395</v>
      </c>
      <c r="J45" s="1" t="s">
        <v>396</v>
      </c>
      <c r="K45" s="1" t="s">
        <v>397</v>
      </c>
      <c r="L45" s="1" t="s">
        <v>398</v>
      </c>
      <c r="M45" s="1" t="s">
        <v>143</v>
      </c>
      <c r="N45" s="1" t="s">
        <v>95</v>
      </c>
      <c r="O45" s="1" t="s">
        <v>399</v>
      </c>
      <c r="P45" s="1" t="s">
        <v>124</v>
      </c>
      <c r="Q45" s="3"/>
      <c r="R45" s="1" t="s">
        <v>98</v>
      </c>
      <c r="S45" s="1" t="s">
        <v>535</v>
      </c>
      <c r="T45" s="1" t="s">
        <v>467</v>
      </c>
      <c r="U45" s="6"/>
    </row>
    <row r="46" spans="1:21" x14ac:dyDescent="0.25">
      <c r="A46" s="5" t="s">
        <v>400</v>
      </c>
      <c r="B46" s="1" t="s">
        <v>401</v>
      </c>
      <c r="C46" s="1" t="s">
        <v>402</v>
      </c>
      <c r="D46" s="2">
        <v>40063</v>
      </c>
      <c r="E46" s="3"/>
      <c r="F46" s="1" t="s">
        <v>168</v>
      </c>
      <c r="G46" s="1"/>
      <c r="H46" s="1" t="s">
        <v>197</v>
      </c>
      <c r="I46" s="1" t="s">
        <v>400</v>
      </c>
      <c r="J46" s="1" t="s">
        <v>403</v>
      </c>
      <c r="K46" s="3"/>
      <c r="L46" s="1" t="s">
        <v>404</v>
      </c>
      <c r="M46" s="1" t="s">
        <v>170</v>
      </c>
      <c r="N46" s="1" t="s">
        <v>95</v>
      </c>
      <c r="O46" s="1" t="s">
        <v>405</v>
      </c>
      <c r="P46" s="1" t="s">
        <v>124</v>
      </c>
      <c r="Q46" s="3"/>
      <c r="R46" s="1" t="s">
        <v>98</v>
      </c>
      <c r="S46" s="3"/>
      <c r="T46" s="3"/>
      <c r="U46" s="6"/>
    </row>
    <row r="47" spans="1:21" ht="54" x14ac:dyDescent="0.25">
      <c r="A47" s="5" t="s">
        <v>406</v>
      </c>
      <c r="B47" s="1" t="s">
        <v>407</v>
      </c>
      <c r="C47" s="1" t="s">
        <v>408</v>
      </c>
      <c r="D47" s="2">
        <v>39367</v>
      </c>
      <c r="E47" s="1" t="s">
        <v>409</v>
      </c>
      <c r="F47" s="1" t="s">
        <v>89</v>
      </c>
      <c r="G47" s="1" t="s">
        <v>90</v>
      </c>
      <c r="H47" s="1"/>
      <c r="I47" s="1" t="s">
        <v>410</v>
      </c>
      <c r="J47" s="1" t="s">
        <v>411</v>
      </c>
      <c r="K47" s="1" t="s">
        <v>412</v>
      </c>
      <c r="L47" s="1" t="s">
        <v>413</v>
      </c>
      <c r="M47" s="1" t="s">
        <v>254</v>
      </c>
      <c r="N47" s="1" t="s">
        <v>95</v>
      </c>
      <c r="O47" s="1" t="s">
        <v>414</v>
      </c>
      <c r="P47" s="1" t="s">
        <v>124</v>
      </c>
      <c r="Q47" s="3"/>
      <c r="R47" s="1" t="s">
        <v>216</v>
      </c>
      <c r="S47" s="1" t="s">
        <v>438</v>
      </c>
      <c r="T47" s="1" t="s">
        <v>415</v>
      </c>
      <c r="U47" s="6"/>
    </row>
    <row r="48" spans="1:21" ht="27" x14ac:dyDescent="0.25">
      <c r="A48" s="5" t="s">
        <v>416</v>
      </c>
      <c r="B48" s="1" t="s">
        <v>417</v>
      </c>
      <c r="C48" s="1" t="s">
        <v>418</v>
      </c>
      <c r="D48" s="2">
        <v>38632</v>
      </c>
      <c r="E48" s="1" t="s">
        <v>419</v>
      </c>
      <c r="F48" s="1" t="s">
        <v>259</v>
      </c>
      <c r="G48" s="1" t="s">
        <v>162</v>
      </c>
      <c r="H48" s="1"/>
      <c r="I48" s="1"/>
      <c r="J48" s="1" t="s">
        <v>259</v>
      </c>
      <c r="K48" s="1" t="s">
        <v>420</v>
      </c>
      <c r="L48" s="1" t="s">
        <v>421</v>
      </c>
      <c r="M48" s="1" t="s">
        <v>94</v>
      </c>
      <c r="N48" s="1" t="s">
        <v>95</v>
      </c>
      <c r="O48" s="1" t="s">
        <v>422</v>
      </c>
      <c r="P48" s="1" t="s">
        <v>124</v>
      </c>
      <c r="Q48" s="3"/>
      <c r="R48" s="1" t="s">
        <v>98</v>
      </c>
      <c r="S48" s="1" t="s">
        <v>533</v>
      </c>
      <c r="T48" s="1" t="s">
        <v>423</v>
      </c>
      <c r="U48" s="6"/>
    </row>
    <row r="49" spans="1:21" ht="54" x14ac:dyDescent="0.25">
      <c r="A49" s="5" t="s">
        <v>424</v>
      </c>
      <c r="B49" s="1" t="s">
        <v>425</v>
      </c>
      <c r="C49" s="1" t="s">
        <v>426</v>
      </c>
      <c r="D49" s="2">
        <v>38142</v>
      </c>
      <c r="E49" s="1" t="s">
        <v>231</v>
      </c>
      <c r="F49" s="1" t="s">
        <v>89</v>
      </c>
      <c r="G49" s="1" t="s">
        <v>103</v>
      </c>
      <c r="H49" s="1"/>
      <c r="I49" s="1" t="s">
        <v>427</v>
      </c>
      <c r="J49" s="1" t="s">
        <v>428</v>
      </c>
      <c r="K49" s="3"/>
      <c r="L49" s="1" t="s">
        <v>429</v>
      </c>
      <c r="M49" s="1" t="s">
        <v>143</v>
      </c>
      <c r="N49" s="1" t="s">
        <v>95</v>
      </c>
      <c r="O49" s="1" t="s">
        <v>430</v>
      </c>
      <c r="P49" s="1" t="s">
        <v>124</v>
      </c>
      <c r="Q49" s="3"/>
      <c r="R49" s="1" t="s">
        <v>216</v>
      </c>
      <c r="S49" s="1" t="s">
        <v>293</v>
      </c>
      <c r="T49" s="1" t="s">
        <v>431</v>
      </c>
      <c r="U49" s="6"/>
    </row>
    <row r="50" spans="1:21" ht="27" x14ac:dyDescent="0.25">
      <c r="A50" s="5" t="s">
        <v>432</v>
      </c>
      <c r="B50" s="1" t="s">
        <v>433</v>
      </c>
      <c r="C50" s="1" t="s">
        <v>434</v>
      </c>
      <c r="D50" s="2">
        <v>37536</v>
      </c>
      <c r="E50" s="1" t="s">
        <v>435</v>
      </c>
      <c r="F50" s="1" t="s">
        <v>210</v>
      </c>
      <c r="G50" s="1" t="s">
        <v>313</v>
      </c>
      <c r="H50" s="1"/>
      <c r="I50" s="1"/>
      <c r="J50" s="1" t="s">
        <v>210</v>
      </c>
      <c r="K50" s="3"/>
      <c r="L50" s="1" t="s">
        <v>436</v>
      </c>
      <c r="M50" s="1" t="s">
        <v>143</v>
      </c>
      <c r="N50" s="1" t="s">
        <v>95</v>
      </c>
      <c r="O50" s="1" t="s">
        <v>437</v>
      </c>
      <c r="P50" s="1" t="s">
        <v>124</v>
      </c>
      <c r="Q50" s="3"/>
      <c r="R50" s="1" t="s">
        <v>98</v>
      </c>
      <c r="S50" s="1" t="s">
        <v>438</v>
      </c>
      <c r="T50" s="1" t="s">
        <v>536</v>
      </c>
      <c r="U50" s="6"/>
    </row>
    <row r="51" spans="1:21" ht="67.5" x14ac:dyDescent="0.25">
      <c r="A51" s="5" t="s">
        <v>439</v>
      </c>
      <c r="B51" s="1" t="s">
        <v>440</v>
      </c>
      <c r="C51" s="1" t="s">
        <v>441</v>
      </c>
      <c r="D51" s="2">
        <v>37431</v>
      </c>
      <c r="E51" s="1" t="s">
        <v>442</v>
      </c>
      <c r="F51" s="1" t="s">
        <v>89</v>
      </c>
      <c r="G51" s="1" t="s">
        <v>313</v>
      </c>
      <c r="H51" s="1"/>
      <c r="I51" s="1" t="s">
        <v>443</v>
      </c>
      <c r="J51" s="1" t="s">
        <v>444</v>
      </c>
      <c r="K51" s="3"/>
      <c r="L51" s="1" t="s">
        <v>445</v>
      </c>
      <c r="M51" s="1" t="s">
        <v>261</v>
      </c>
      <c r="N51" s="1" t="s">
        <v>95</v>
      </c>
      <c r="O51" s="1" t="s">
        <v>446</v>
      </c>
      <c r="P51" s="1" t="s">
        <v>124</v>
      </c>
      <c r="Q51" s="3"/>
      <c r="R51" s="1" t="s">
        <v>147</v>
      </c>
      <c r="S51" s="3"/>
      <c r="T51" s="3"/>
      <c r="U51" s="6"/>
    </row>
    <row r="52" spans="1:21" ht="54" x14ac:dyDescent="0.25">
      <c r="A52" s="5" t="s">
        <v>447</v>
      </c>
      <c r="B52" s="1" t="s">
        <v>448</v>
      </c>
      <c r="C52" s="1" t="s">
        <v>449</v>
      </c>
      <c r="D52" s="2">
        <v>36801</v>
      </c>
      <c r="E52" s="1" t="s">
        <v>356</v>
      </c>
      <c r="F52" s="1" t="s">
        <v>210</v>
      </c>
      <c r="G52" s="1" t="s">
        <v>313</v>
      </c>
      <c r="H52" s="1"/>
      <c r="I52" s="1"/>
      <c r="J52" s="1" t="s">
        <v>210</v>
      </c>
      <c r="K52" s="1" t="s">
        <v>450</v>
      </c>
      <c r="L52" s="1" t="s">
        <v>451</v>
      </c>
      <c r="M52" s="1" t="s">
        <v>94</v>
      </c>
      <c r="N52" s="1" t="s">
        <v>95</v>
      </c>
      <c r="O52" s="1" t="s">
        <v>452</v>
      </c>
      <c r="P52" s="1" t="s">
        <v>124</v>
      </c>
      <c r="Q52" s="3"/>
      <c r="R52" s="1" t="s">
        <v>98</v>
      </c>
      <c r="S52" s="1" t="s">
        <v>537</v>
      </c>
      <c r="T52" s="1" t="s">
        <v>538</v>
      </c>
      <c r="U52" s="6"/>
    </row>
    <row r="53" spans="1:21" ht="27" x14ac:dyDescent="0.25">
      <c r="A53" s="5" t="s">
        <v>453</v>
      </c>
      <c r="B53" s="1" t="s">
        <v>454</v>
      </c>
      <c r="C53" s="1" t="s">
        <v>455</v>
      </c>
      <c r="D53" s="2">
        <v>36437</v>
      </c>
      <c r="E53" s="1" t="s">
        <v>456</v>
      </c>
      <c r="F53" s="1" t="s">
        <v>457</v>
      </c>
      <c r="G53" s="1"/>
      <c r="H53" s="1"/>
      <c r="I53" s="1" t="s">
        <v>458</v>
      </c>
      <c r="J53" s="1" t="s">
        <v>459</v>
      </c>
      <c r="K53" s="1" t="s">
        <v>460</v>
      </c>
      <c r="L53" s="1" t="s">
        <v>461</v>
      </c>
      <c r="M53" s="1" t="s">
        <v>261</v>
      </c>
      <c r="N53" s="1" t="s">
        <v>95</v>
      </c>
      <c r="O53" s="1" t="s">
        <v>462</v>
      </c>
      <c r="P53" s="1" t="s">
        <v>124</v>
      </c>
      <c r="Q53" s="3"/>
      <c r="R53" s="1" t="s">
        <v>216</v>
      </c>
      <c r="S53" s="1" t="s">
        <v>539</v>
      </c>
      <c r="T53" s="1" t="s">
        <v>463</v>
      </c>
      <c r="U53" s="6"/>
    </row>
    <row r="54" spans="1:21" ht="27" x14ac:dyDescent="0.25">
      <c r="A54" s="5" t="s">
        <v>464</v>
      </c>
      <c r="B54" s="1" t="s">
        <v>454</v>
      </c>
      <c r="C54" s="1" t="s">
        <v>455</v>
      </c>
      <c r="D54" s="2">
        <v>36437</v>
      </c>
      <c r="E54" s="1" t="s">
        <v>419</v>
      </c>
      <c r="F54" s="1" t="s">
        <v>259</v>
      </c>
      <c r="G54" s="1" t="s">
        <v>162</v>
      </c>
      <c r="H54" s="1"/>
      <c r="I54" s="1"/>
      <c r="J54" s="1" t="s">
        <v>259</v>
      </c>
      <c r="K54" s="3"/>
      <c r="L54" s="1" t="s">
        <v>465</v>
      </c>
      <c r="M54" s="1" t="s">
        <v>94</v>
      </c>
      <c r="N54" s="1" t="s">
        <v>95</v>
      </c>
      <c r="O54" s="1" t="s">
        <v>466</v>
      </c>
      <c r="P54" s="1" t="s">
        <v>124</v>
      </c>
      <c r="Q54" s="3"/>
      <c r="R54" s="1" t="s">
        <v>216</v>
      </c>
      <c r="S54" s="1" t="s">
        <v>284</v>
      </c>
      <c r="T54" s="1" t="s">
        <v>468</v>
      </c>
      <c r="U54" s="6"/>
    </row>
    <row r="55" spans="1:21" ht="27" x14ac:dyDescent="0.25">
      <c r="A55" s="5" t="s">
        <v>469</v>
      </c>
      <c r="B55" s="1" t="s">
        <v>470</v>
      </c>
      <c r="C55" s="1" t="s">
        <v>471</v>
      </c>
      <c r="D55" s="2">
        <v>36080</v>
      </c>
      <c r="E55" s="1" t="s">
        <v>264</v>
      </c>
      <c r="F55" s="1" t="s">
        <v>89</v>
      </c>
      <c r="G55" s="1" t="s">
        <v>90</v>
      </c>
      <c r="H55" s="1"/>
      <c r="I55" s="1" t="s">
        <v>472</v>
      </c>
      <c r="J55" s="1" t="s">
        <v>473</v>
      </c>
      <c r="K55" s="1" t="s">
        <v>474</v>
      </c>
      <c r="L55" s="1" t="s">
        <v>475</v>
      </c>
      <c r="M55" s="1" t="s">
        <v>261</v>
      </c>
      <c r="N55" s="1" t="s">
        <v>95</v>
      </c>
      <c r="O55" s="1" t="s">
        <v>476</v>
      </c>
      <c r="P55" s="1" t="s">
        <v>97</v>
      </c>
      <c r="Q55" s="3"/>
      <c r="R55" s="1" t="s">
        <v>98</v>
      </c>
      <c r="S55" s="1" t="s">
        <v>528</v>
      </c>
      <c r="T55" s="3"/>
      <c r="U55" s="6"/>
    </row>
    <row r="56" spans="1:21" ht="27" x14ac:dyDescent="0.25">
      <c r="A56" s="5" t="s">
        <v>477</v>
      </c>
      <c r="B56" s="1" t="s">
        <v>478</v>
      </c>
      <c r="C56" s="1" t="s">
        <v>479</v>
      </c>
      <c r="D56" s="2">
        <v>34973</v>
      </c>
      <c r="E56" s="1" t="s">
        <v>480</v>
      </c>
      <c r="F56" s="1" t="s">
        <v>89</v>
      </c>
      <c r="G56" s="1" t="s">
        <v>103</v>
      </c>
      <c r="H56" s="1"/>
      <c r="I56" s="1" t="s">
        <v>104</v>
      </c>
      <c r="J56" s="1" t="s">
        <v>105</v>
      </c>
      <c r="K56" s="3"/>
      <c r="L56" s="1" t="s">
        <v>481</v>
      </c>
      <c r="M56" s="1" t="s">
        <v>261</v>
      </c>
      <c r="N56" s="1" t="s">
        <v>95</v>
      </c>
      <c r="O56" s="1" t="s">
        <v>482</v>
      </c>
      <c r="P56" s="1" t="s">
        <v>97</v>
      </c>
      <c r="Q56" s="3"/>
      <c r="R56" s="1" t="s">
        <v>98</v>
      </c>
      <c r="S56" s="1" t="s">
        <v>363</v>
      </c>
      <c r="T56" s="3"/>
      <c r="U56" s="6"/>
    </row>
    <row r="57" spans="1:21" ht="67.5" x14ac:dyDescent="0.25">
      <c r="A57" s="5" t="s">
        <v>483</v>
      </c>
      <c r="B57" s="1" t="s">
        <v>484</v>
      </c>
      <c r="C57" s="1" t="s">
        <v>485</v>
      </c>
      <c r="D57" s="2">
        <v>34853</v>
      </c>
      <c r="E57" s="1" t="s">
        <v>456</v>
      </c>
      <c r="F57" s="1" t="s">
        <v>332</v>
      </c>
      <c r="G57" s="1"/>
      <c r="H57" s="1"/>
      <c r="I57" s="1"/>
      <c r="J57" s="1" t="s">
        <v>332</v>
      </c>
      <c r="K57" s="3"/>
      <c r="L57" s="1" t="s">
        <v>486</v>
      </c>
      <c r="M57" s="1" t="s">
        <v>261</v>
      </c>
      <c r="N57" s="1" t="s">
        <v>95</v>
      </c>
      <c r="O57" s="1" t="s">
        <v>487</v>
      </c>
      <c r="P57" s="1" t="s">
        <v>97</v>
      </c>
      <c r="Q57" s="3"/>
      <c r="R57" s="1" t="s">
        <v>147</v>
      </c>
      <c r="S57" s="1" t="s">
        <v>540</v>
      </c>
      <c r="T57" s="3"/>
      <c r="U57" s="6"/>
    </row>
    <row r="58" spans="1:21" ht="67.5" x14ac:dyDescent="0.25">
      <c r="A58" s="5" t="s">
        <v>489</v>
      </c>
      <c r="B58" s="1" t="s">
        <v>490</v>
      </c>
      <c r="C58" s="1" t="s">
        <v>491</v>
      </c>
      <c r="D58" s="2">
        <v>34639</v>
      </c>
      <c r="E58" s="1" t="s">
        <v>492</v>
      </c>
      <c r="F58" s="1" t="s">
        <v>89</v>
      </c>
      <c r="G58" s="1" t="s">
        <v>103</v>
      </c>
      <c r="H58" s="1"/>
      <c r="I58" s="1" t="s">
        <v>493</v>
      </c>
      <c r="J58" s="1" t="s">
        <v>494</v>
      </c>
      <c r="K58" s="3"/>
      <c r="L58" s="1" t="s">
        <v>495</v>
      </c>
      <c r="M58" s="1" t="s">
        <v>143</v>
      </c>
      <c r="N58" s="1" t="s">
        <v>95</v>
      </c>
      <c r="O58" s="1" t="s">
        <v>496</v>
      </c>
      <c r="P58" s="1" t="s">
        <v>97</v>
      </c>
      <c r="Q58" s="3"/>
      <c r="R58" s="1" t="s">
        <v>216</v>
      </c>
      <c r="S58" s="1" t="s">
        <v>541</v>
      </c>
      <c r="T58" s="3"/>
      <c r="U58" s="6"/>
    </row>
    <row r="59" spans="1:21" ht="27" x14ac:dyDescent="0.25">
      <c r="A59" s="11" t="s">
        <v>497</v>
      </c>
      <c r="B59" s="12" t="s">
        <v>498</v>
      </c>
      <c r="C59" s="12" t="s">
        <v>499</v>
      </c>
      <c r="D59" s="13">
        <v>34435</v>
      </c>
      <c r="E59" s="12" t="s">
        <v>338</v>
      </c>
      <c r="F59" s="12" t="s">
        <v>210</v>
      </c>
      <c r="G59" s="12" t="s">
        <v>162</v>
      </c>
      <c r="H59" s="12"/>
      <c r="I59" s="12"/>
      <c r="J59" s="12" t="s">
        <v>210</v>
      </c>
      <c r="K59" s="14"/>
      <c r="L59" s="12" t="s">
        <v>500</v>
      </c>
      <c r="M59" s="12" t="s">
        <v>261</v>
      </c>
      <c r="N59" s="12" t="s">
        <v>95</v>
      </c>
      <c r="O59" s="12" t="s">
        <v>501</v>
      </c>
      <c r="P59" s="12" t="s">
        <v>97</v>
      </c>
      <c r="Q59" s="14"/>
      <c r="R59" s="12" t="s">
        <v>216</v>
      </c>
      <c r="S59" s="12" t="s">
        <v>542</v>
      </c>
      <c r="T59" s="14"/>
      <c r="U59" s="15"/>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A7" sqref="A7"/>
    </sheetView>
  </sheetViews>
  <sheetFormatPr defaultRowHeight="15" x14ac:dyDescent="0.25"/>
  <cols>
    <col min="1" max="1" width="38.140625" bestFit="1" customWidth="1"/>
    <col min="2" max="2" width="21.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517</v>
      </c>
      <c r="B1" t="s">
        <v>516</v>
      </c>
      <c r="C1" t="s">
        <v>502</v>
      </c>
      <c r="D1" t="s">
        <v>503</v>
      </c>
      <c r="E1" t="s">
        <v>504</v>
      </c>
      <c r="F1" t="s">
        <v>505</v>
      </c>
      <c r="G1" t="s">
        <v>506</v>
      </c>
    </row>
    <row r="2" spans="1:7" x14ac:dyDescent="0.25">
      <c r="A2" t="s">
        <v>300</v>
      </c>
      <c r="B2" t="str">
        <f>INDEX(AllCards[],MATCH(MyCollection[[#This Row],[uuid]],AllCards[Uuid],0),1)</f>
        <v>Once Upon a Time</v>
      </c>
      <c r="C2">
        <v>1</v>
      </c>
      <c r="D2">
        <v>0</v>
      </c>
      <c r="E2" t="s">
        <v>507</v>
      </c>
      <c r="F2" t="s">
        <v>95</v>
      </c>
      <c r="G2" t="s">
        <v>508</v>
      </c>
    </row>
    <row r="3" spans="1:7" x14ac:dyDescent="0.25">
      <c r="A3" t="s">
        <v>255</v>
      </c>
      <c r="B3" t="str">
        <f>INDEX(AllCards[],MATCH(MyCollection[[#This Row],[uuid]],AllCards[Uuid],0),1)</f>
        <v>Snapping Sailback</v>
      </c>
      <c r="C3">
        <v>1</v>
      </c>
      <c r="D3">
        <v>0</v>
      </c>
      <c r="E3" t="s">
        <v>507</v>
      </c>
      <c r="F3" t="s">
        <v>95</v>
      </c>
      <c r="G3" t="s">
        <v>97</v>
      </c>
    </row>
    <row r="4" spans="1:7" x14ac:dyDescent="0.25">
      <c r="A4" t="s">
        <v>262</v>
      </c>
      <c r="B4" t="str">
        <f>INDEX(AllCards[],MATCH(MyCollection[[#This Row],[uuid]],AllCards[Uuid],0),1)</f>
        <v>Dragonscale Boon</v>
      </c>
      <c r="C4">
        <v>1</v>
      </c>
      <c r="D4">
        <v>0</v>
      </c>
      <c r="E4" t="s">
        <v>507</v>
      </c>
      <c r="F4" t="s">
        <v>95</v>
      </c>
      <c r="G4" t="s">
        <v>97</v>
      </c>
    </row>
    <row r="5" spans="1:7" x14ac:dyDescent="0.25">
      <c r="A5" t="s">
        <v>352</v>
      </c>
      <c r="B5" t="str">
        <f>INDEX(AllCards[],MATCH(MyCollection[[#This Row],[uuid]],AllCards[Uuid],0),1)</f>
        <v>Thought Harvester</v>
      </c>
      <c r="C5">
        <v>2</v>
      </c>
      <c r="D5">
        <v>0</v>
      </c>
      <c r="E5" t="s">
        <v>507</v>
      </c>
      <c r="F5" t="s">
        <v>95</v>
      </c>
      <c r="G5" t="s">
        <v>97</v>
      </c>
    </row>
    <row r="6" spans="1:7" x14ac:dyDescent="0.25">
      <c r="A6" t="s">
        <v>414</v>
      </c>
      <c r="B6" t="str">
        <f>INDEX(AllCards[],MATCH(MyCollection[[#This Row],[uuid]],AllCards[Uuid],0),1)</f>
        <v>Glarewielder</v>
      </c>
      <c r="C6">
        <v>1</v>
      </c>
      <c r="D6">
        <v>0</v>
      </c>
      <c r="E6" t="s">
        <v>509</v>
      </c>
      <c r="F6" t="s">
        <v>95</v>
      </c>
      <c r="G6" t="s">
        <v>97</v>
      </c>
    </row>
    <row r="7" spans="1:7" x14ac:dyDescent="0.25">
      <c r="A7" t="s">
        <v>362</v>
      </c>
      <c r="B7" t="str">
        <f>INDEX(AllCards[],MATCH(MyCollection[[#This Row],[uuid]],AllCards[Uuid],0),1)</f>
        <v>Plummet</v>
      </c>
      <c r="C7">
        <v>1</v>
      </c>
      <c r="D7">
        <v>0</v>
      </c>
      <c r="E7" t="s">
        <v>507</v>
      </c>
      <c r="F7" t="s">
        <v>95</v>
      </c>
      <c r="G7" t="s">
        <v>97</v>
      </c>
    </row>
    <row r="8" spans="1:7" x14ac:dyDescent="0.25">
      <c r="A8" t="s">
        <v>452</v>
      </c>
      <c r="B8" t="str">
        <f>INDEX(AllCards[],MATCH(MyCollection[[#This Row],[uuid]],AllCards[Uuid],0),1)</f>
        <v>Hypnotic Cloud</v>
      </c>
      <c r="C8">
        <v>1</v>
      </c>
      <c r="D8">
        <v>0</v>
      </c>
      <c r="E8" t="s">
        <v>507</v>
      </c>
      <c r="F8" t="s">
        <v>95</v>
      </c>
      <c r="G8" t="s">
        <v>97</v>
      </c>
    </row>
    <row r="9" spans="1:7" x14ac:dyDescent="0.25">
      <c r="A9" t="s">
        <v>399</v>
      </c>
      <c r="B9" t="str">
        <f>INDEX(AllCards[],MATCH(MyCollection[[#This Row],[uuid]],AllCards[Uuid],0),1)</f>
        <v>Grazing Gladehart</v>
      </c>
      <c r="C9">
        <v>1</v>
      </c>
      <c r="D9">
        <v>0</v>
      </c>
      <c r="E9" t="s">
        <v>507</v>
      </c>
      <c r="F9" t="s">
        <v>95</v>
      </c>
      <c r="G9" t="s">
        <v>146</v>
      </c>
    </row>
    <row r="10" spans="1:7" x14ac:dyDescent="0.25">
      <c r="A10" t="s">
        <v>422</v>
      </c>
      <c r="B10" t="str">
        <f>INDEX(AllCards[],MATCH(MyCollection[[#This Row],[uuid]],AllCards[Uuid],0),1)</f>
        <v>Leave No Trace</v>
      </c>
      <c r="C10">
        <v>4</v>
      </c>
      <c r="D10">
        <v>1</v>
      </c>
      <c r="E10" t="s">
        <v>509</v>
      </c>
      <c r="F10" t="s">
        <v>510</v>
      </c>
      <c r="G10" t="s">
        <v>97</v>
      </c>
    </row>
    <row r="11" spans="1:7" x14ac:dyDescent="0.25">
      <c r="A11" t="s">
        <v>487</v>
      </c>
      <c r="B11" t="str">
        <f>INDEX(AllCards[],MATCH(MyCollection[[#This Row],[uuid]],AllCards[Uuid],0),1)</f>
        <v>Vexing Arcanix</v>
      </c>
      <c r="C11">
        <v>1</v>
      </c>
      <c r="D11">
        <v>0</v>
      </c>
      <c r="E11" t="s">
        <v>507</v>
      </c>
      <c r="F11" t="s">
        <v>95</v>
      </c>
      <c r="G11" t="s">
        <v>97</v>
      </c>
    </row>
    <row r="12" spans="1:7" x14ac:dyDescent="0.25">
      <c r="A12" t="s">
        <v>501</v>
      </c>
      <c r="B12" t="str">
        <f>INDEX(AllCards[],MATCH(MyCollection[[#This Row],[uuid]],AllCards[Uuid],0),1)</f>
        <v>Resurrection</v>
      </c>
      <c r="C12">
        <v>2</v>
      </c>
      <c r="D12">
        <v>0</v>
      </c>
      <c r="E12" t="s">
        <v>507</v>
      </c>
      <c r="F12" t="s">
        <v>95</v>
      </c>
      <c r="G12" t="s">
        <v>97</v>
      </c>
    </row>
    <row r="13" spans="1:7" x14ac:dyDescent="0.25">
      <c r="A13" t="s">
        <v>496</v>
      </c>
      <c r="B13" t="str">
        <f>INDEX(AllCards[],MATCH(MyCollection[[#This Row],[uuid]],AllCards[Uuid],0),1)</f>
        <v>Thallid Devourer</v>
      </c>
      <c r="C13">
        <v>7</v>
      </c>
      <c r="D13">
        <v>3</v>
      </c>
      <c r="E13" t="s">
        <v>507</v>
      </c>
      <c r="F13" t="s">
        <v>95</v>
      </c>
      <c r="G13" t="s">
        <v>97</v>
      </c>
    </row>
    <row r="14" spans="1:7" x14ac:dyDescent="0.25">
      <c r="A14" t="s">
        <v>482</v>
      </c>
      <c r="B14" t="str">
        <f>INDEX(AllCards[],MATCH(MyCollection[[#This Row],[uuid]],AllCards[Uuid],0),1)</f>
        <v>Hungry Mist</v>
      </c>
      <c r="C14">
        <v>2</v>
      </c>
      <c r="D14">
        <v>0</v>
      </c>
      <c r="E14" t="s">
        <v>507</v>
      </c>
      <c r="F14" t="s">
        <v>95</v>
      </c>
      <c r="G14" t="s">
        <v>97</v>
      </c>
    </row>
    <row r="15" spans="1:7" x14ac:dyDescent="0.25">
      <c r="A15" t="s">
        <v>437</v>
      </c>
      <c r="B15" t="str">
        <f>INDEX(AllCards[],MATCH(MyCollection[[#This Row],[uuid]],AllCards[Uuid],0),1)</f>
        <v>Syphon Soul</v>
      </c>
      <c r="C15">
        <v>3</v>
      </c>
      <c r="D15">
        <v>0</v>
      </c>
      <c r="E15" t="s">
        <v>507</v>
      </c>
      <c r="F15" t="s">
        <v>95</v>
      </c>
      <c r="G15" t="s">
        <v>97</v>
      </c>
    </row>
    <row r="16" spans="1:7" x14ac:dyDescent="0.25">
      <c r="A16" t="s">
        <v>476</v>
      </c>
      <c r="B16" t="str">
        <f>INDEX(AllCards[],MATCH(MyCollection[[#This Row],[uuid]],AllCards[Uuid],0),1)</f>
        <v>Viashino Runner</v>
      </c>
      <c r="C16">
        <v>2</v>
      </c>
      <c r="D16">
        <v>0</v>
      </c>
      <c r="E16" t="s">
        <v>507</v>
      </c>
      <c r="F16" t="s">
        <v>511</v>
      </c>
      <c r="G16" t="s">
        <v>97</v>
      </c>
    </row>
    <row r="17" spans="1:7" x14ac:dyDescent="0.25">
      <c r="A17" t="s">
        <v>214</v>
      </c>
      <c r="B17" t="str">
        <f>INDEX(AllCards[],MATCH(MyCollection[[#This Row],[uuid]],AllCards[Uuid],0),1)</f>
        <v>Prismatic Ending</v>
      </c>
      <c r="C17">
        <v>1</v>
      </c>
      <c r="D17">
        <v>1</v>
      </c>
      <c r="E17" t="s">
        <v>507</v>
      </c>
      <c r="F17" t="s">
        <v>511</v>
      </c>
      <c r="G17" t="s">
        <v>97</v>
      </c>
    </row>
    <row r="18" spans="1:7" x14ac:dyDescent="0.25">
      <c r="A18" t="s">
        <v>430</v>
      </c>
      <c r="B18" t="str">
        <f>INDEX(AllCards[],MATCH(MyCollection[[#This Row],[uuid]],AllCards[Uuid],0),1)</f>
        <v>Ouphe Vandals</v>
      </c>
      <c r="C18">
        <v>1</v>
      </c>
      <c r="D18">
        <v>0</v>
      </c>
      <c r="E18" t="s">
        <v>512</v>
      </c>
      <c r="F18" t="s">
        <v>95</v>
      </c>
      <c r="G18" t="s">
        <v>97</v>
      </c>
    </row>
    <row r="19" spans="1:7" x14ac:dyDescent="0.25">
      <c r="A19" t="s">
        <v>377</v>
      </c>
      <c r="B19" t="str">
        <f>INDEX(AllCards[],MATCH(MyCollection[[#This Row],[uuid]],AllCards[Uuid],0),1)</f>
        <v>Guild Feud</v>
      </c>
      <c r="C19">
        <v>1</v>
      </c>
      <c r="D19">
        <v>0</v>
      </c>
      <c r="E19" t="s">
        <v>513</v>
      </c>
      <c r="F19" t="s">
        <v>95</v>
      </c>
      <c r="G19" t="s">
        <v>97</v>
      </c>
    </row>
    <row r="20" spans="1:7" x14ac:dyDescent="0.25">
      <c r="A20" t="s">
        <v>308</v>
      </c>
      <c r="B20" t="str">
        <f>INDEX(AllCards[],MATCH(MyCollection[[#This Row],[uuid]],AllCards[Uuid],0),1)</f>
        <v>Chillerpillar // Chillerpillar</v>
      </c>
      <c r="C20">
        <v>1</v>
      </c>
      <c r="D20">
        <v>1</v>
      </c>
      <c r="E20" t="s">
        <v>513</v>
      </c>
      <c r="F20" t="s">
        <v>95</v>
      </c>
      <c r="G20" t="s">
        <v>97</v>
      </c>
    </row>
    <row r="21" spans="1:7" x14ac:dyDescent="0.25">
      <c r="A21" t="s">
        <v>368</v>
      </c>
      <c r="B21" t="str">
        <f>INDEX(AllCards[],MATCH(MyCollection[[#This Row],[uuid]],AllCards[Uuid],0),1)</f>
        <v>Font of Ire</v>
      </c>
      <c r="C21">
        <v>4</v>
      </c>
      <c r="D21">
        <v>0</v>
      </c>
      <c r="E21" t="s">
        <v>507</v>
      </c>
      <c r="F21" t="s">
        <v>95</v>
      </c>
      <c r="G21" t="s">
        <v>97</v>
      </c>
    </row>
    <row r="22" spans="1:7" x14ac:dyDescent="0.25">
      <c r="A22" t="s">
        <v>462</v>
      </c>
      <c r="B22" t="str">
        <f>INDEX(AllCards[],MATCH(MyCollection[[#This Row],[uuid]],AllCards[Uuid],0),1)</f>
        <v>Crenellated Wall</v>
      </c>
      <c r="C22">
        <v>1</v>
      </c>
      <c r="D22">
        <v>0</v>
      </c>
      <c r="E22" t="s">
        <v>514</v>
      </c>
      <c r="F22" t="s">
        <v>95</v>
      </c>
      <c r="G22" t="s">
        <v>146</v>
      </c>
    </row>
    <row r="23" spans="1:7" x14ac:dyDescent="0.25">
      <c r="A23" t="s">
        <v>359</v>
      </c>
      <c r="B23" t="str">
        <f>INDEX(AllCards[],MATCH(MyCollection[[#This Row],[uuid]],AllCards[Uuid],0),1)</f>
        <v>Culling Drone</v>
      </c>
      <c r="C23">
        <v>4</v>
      </c>
      <c r="D23">
        <v>0</v>
      </c>
      <c r="E23" t="s">
        <v>515</v>
      </c>
      <c r="F23" t="s">
        <v>95</v>
      </c>
      <c r="G23" t="s">
        <v>146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64"/>
  <sheetViews>
    <sheetView topLeftCell="A10" workbookViewId="0">
      <selection sqref="A1:A64"/>
    </sheetView>
  </sheetViews>
  <sheetFormatPr defaultRowHeight="15" x14ac:dyDescent="0.25"/>
  <sheetData>
    <row r="1" spans="1:1" x14ac:dyDescent="0.25">
      <c r="A1" t="s">
        <v>0</v>
      </c>
    </row>
    <row r="2" spans="1:1" x14ac:dyDescent="0.25">
      <c r="A2" t="s">
        <v>1</v>
      </c>
    </row>
    <row r="3" spans="1:1" x14ac:dyDescent="0.25">
      <c r="A3" t="s">
        <v>2</v>
      </c>
    </row>
    <row r="4" spans="1:1" x14ac:dyDescent="0.25">
      <c r="A4" t="s">
        <v>3</v>
      </c>
    </row>
    <row r="5" spans="1:1" x14ac:dyDescent="0.25">
      <c r="A5" t="s">
        <v>4</v>
      </c>
    </row>
    <row r="6" spans="1:1" x14ac:dyDescent="0.25">
      <c r="A6" t="s">
        <v>5</v>
      </c>
    </row>
    <row r="7" spans="1:1" x14ac:dyDescent="0.25">
      <c r="A7" t="s">
        <v>6</v>
      </c>
    </row>
    <row r="8" spans="1:1" x14ac:dyDescent="0.25">
      <c r="A8" t="s">
        <v>7</v>
      </c>
    </row>
    <row r="9" spans="1:1" x14ac:dyDescent="0.25">
      <c r="A9" t="s">
        <v>8</v>
      </c>
    </row>
    <row r="10" spans="1:1" x14ac:dyDescent="0.25">
      <c r="A10" t="s">
        <v>9</v>
      </c>
    </row>
    <row r="11" spans="1:1" x14ac:dyDescent="0.25">
      <c r="A11" t="s">
        <v>10</v>
      </c>
    </row>
    <row r="12" spans="1:1" x14ac:dyDescent="0.25">
      <c r="A12" t="s">
        <v>11</v>
      </c>
    </row>
    <row r="13" spans="1:1" x14ac:dyDescent="0.25">
      <c r="A13" t="s">
        <v>12</v>
      </c>
    </row>
    <row r="14" spans="1:1" x14ac:dyDescent="0.25">
      <c r="A14" t="s">
        <v>13</v>
      </c>
    </row>
    <row r="15" spans="1:1" x14ac:dyDescent="0.25">
      <c r="A15" t="s">
        <v>14</v>
      </c>
    </row>
    <row r="16" spans="1:1" x14ac:dyDescent="0.25">
      <c r="A16" t="s">
        <v>15</v>
      </c>
    </row>
    <row r="17" spans="1:1" x14ac:dyDescent="0.25">
      <c r="A17" t="s">
        <v>16</v>
      </c>
    </row>
    <row r="18" spans="1:1" x14ac:dyDescent="0.25">
      <c r="A18" t="s">
        <v>17</v>
      </c>
    </row>
    <row r="19" spans="1:1" x14ac:dyDescent="0.25">
      <c r="A19" t="s">
        <v>18</v>
      </c>
    </row>
    <row r="20" spans="1:1" x14ac:dyDescent="0.25">
      <c r="A20" t="s">
        <v>19</v>
      </c>
    </row>
    <row r="21" spans="1:1" x14ac:dyDescent="0.25">
      <c r="A21" t="s">
        <v>20</v>
      </c>
    </row>
    <row r="22" spans="1:1" x14ac:dyDescent="0.25">
      <c r="A22" t="s">
        <v>21</v>
      </c>
    </row>
    <row r="23" spans="1:1" x14ac:dyDescent="0.25">
      <c r="A23" t="s">
        <v>22</v>
      </c>
    </row>
    <row r="24" spans="1:1" x14ac:dyDescent="0.25">
      <c r="A24" t="s">
        <v>23</v>
      </c>
    </row>
    <row r="25" spans="1:1" x14ac:dyDescent="0.25">
      <c r="A25" t="s">
        <v>24</v>
      </c>
    </row>
    <row r="26" spans="1:1" x14ac:dyDescent="0.25">
      <c r="A26" t="s">
        <v>25</v>
      </c>
    </row>
    <row r="27" spans="1:1" x14ac:dyDescent="0.25">
      <c r="A27" t="s">
        <v>26</v>
      </c>
    </row>
    <row r="28" spans="1:1" x14ac:dyDescent="0.25">
      <c r="A28" t="s">
        <v>27</v>
      </c>
    </row>
    <row r="29" spans="1:1" x14ac:dyDescent="0.25">
      <c r="A29" t="s">
        <v>28</v>
      </c>
    </row>
    <row r="30" spans="1:1" x14ac:dyDescent="0.25">
      <c r="A30" t="s">
        <v>29</v>
      </c>
    </row>
    <row r="31" spans="1:1" x14ac:dyDescent="0.25">
      <c r="A31" t="s">
        <v>30</v>
      </c>
    </row>
    <row r="32" spans="1:1" x14ac:dyDescent="0.25">
      <c r="A32" t="s">
        <v>31</v>
      </c>
    </row>
    <row r="33" spans="1:1" x14ac:dyDescent="0.25">
      <c r="A33" t="s">
        <v>32</v>
      </c>
    </row>
    <row r="34" spans="1:1" x14ac:dyDescent="0.25">
      <c r="A34" t="s">
        <v>33</v>
      </c>
    </row>
    <row r="35" spans="1:1" x14ac:dyDescent="0.25">
      <c r="A35" t="s">
        <v>34</v>
      </c>
    </row>
    <row r="36" spans="1:1" x14ac:dyDescent="0.25">
      <c r="A36" t="s">
        <v>35</v>
      </c>
    </row>
    <row r="37" spans="1:1" x14ac:dyDescent="0.25">
      <c r="A37" t="s">
        <v>36</v>
      </c>
    </row>
    <row r="38" spans="1:1" x14ac:dyDescent="0.25">
      <c r="A38" t="s">
        <v>37</v>
      </c>
    </row>
    <row r="39" spans="1:1" x14ac:dyDescent="0.25">
      <c r="A39" t="s">
        <v>38</v>
      </c>
    </row>
    <row r="40" spans="1:1" x14ac:dyDescent="0.25">
      <c r="A40" t="s">
        <v>39</v>
      </c>
    </row>
    <row r="41" spans="1:1" x14ac:dyDescent="0.25">
      <c r="A41" t="s">
        <v>40</v>
      </c>
    </row>
    <row r="42" spans="1:1" x14ac:dyDescent="0.25">
      <c r="A42" t="s">
        <v>41</v>
      </c>
    </row>
    <row r="43" spans="1:1" x14ac:dyDescent="0.25">
      <c r="A43" t="s">
        <v>42</v>
      </c>
    </row>
    <row r="44" spans="1:1" x14ac:dyDescent="0.25">
      <c r="A44" t="s">
        <v>43</v>
      </c>
    </row>
    <row r="45" spans="1:1" x14ac:dyDescent="0.25">
      <c r="A45" t="s">
        <v>44</v>
      </c>
    </row>
    <row r="46" spans="1:1" x14ac:dyDescent="0.25">
      <c r="A46" t="s">
        <v>45</v>
      </c>
    </row>
    <row r="47" spans="1:1" x14ac:dyDescent="0.25">
      <c r="A47" t="s">
        <v>46</v>
      </c>
    </row>
    <row r="48" spans="1:1" x14ac:dyDescent="0.25">
      <c r="A48" t="s">
        <v>47</v>
      </c>
    </row>
    <row r="49" spans="1:1" x14ac:dyDescent="0.25">
      <c r="A49" t="s">
        <v>48</v>
      </c>
    </row>
    <row r="50" spans="1:1" x14ac:dyDescent="0.25">
      <c r="A50" t="s">
        <v>49</v>
      </c>
    </row>
    <row r="51" spans="1:1" x14ac:dyDescent="0.25">
      <c r="A51" t="s">
        <v>50</v>
      </c>
    </row>
    <row r="52" spans="1:1" x14ac:dyDescent="0.25">
      <c r="A52" t="s">
        <v>51</v>
      </c>
    </row>
    <row r="53" spans="1:1" x14ac:dyDescent="0.25">
      <c r="A53" t="s">
        <v>52</v>
      </c>
    </row>
    <row r="54" spans="1:1" x14ac:dyDescent="0.25">
      <c r="A54" t="s">
        <v>53</v>
      </c>
    </row>
    <row r="55" spans="1:1" x14ac:dyDescent="0.25">
      <c r="A55" t="s">
        <v>54</v>
      </c>
    </row>
    <row r="56" spans="1:1" x14ac:dyDescent="0.25">
      <c r="A56" t="s">
        <v>55</v>
      </c>
    </row>
    <row r="57" spans="1:1" x14ac:dyDescent="0.25">
      <c r="A57" t="s">
        <v>56</v>
      </c>
    </row>
    <row r="58" spans="1:1" x14ac:dyDescent="0.25">
      <c r="A58" t="s">
        <v>57</v>
      </c>
    </row>
    <row r="59" spans="1:1" x14ac:dyDescent="0.25">
      <c r="A59" t="s">
        <v>58</v>
      </c>
    </row>
    <row r="60" spans="1:1" x14ac:dyDescent="0.25">
      <c r="A60" t="s">
        <v>59</v>
      </c>
    </row>
    <row r="61" spans="1:1" x14ac:dyDescent="0.25">
      <c r="A61" t="s">
        <v>60</v>
      </c>
    </row>
    <row r="62" spans="1:1" x14ac:dyDescent="0.25">
      <c r="A62" t="s">
        <v>61</v>
      </c>
    </row>
    <row r="63" spans="1:1" x14ac:dyDescent="0.25">
      <c r="A63" t="s">
        <v>62</v>
      </c>
    </row>
    <row r="64" spans="1:1" x14ac:dyDescent="0.25">
      <c r="A64" t="s">
        <v>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Cards</vt:lpstr>
      <vt:lpstr>MyCollection</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2025-08-28T19:36:31Z</dcterms:modified>
</cp:coreProperties>
</file>