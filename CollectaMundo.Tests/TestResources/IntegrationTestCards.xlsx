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code\CollectaMundo.Tests\TestResources\"/>
    </mc:Choice>
  </mc:AlternateContent>
  <xr:revisionPtr revIDLastSave="0" documentId="13_ncr:1_{11998E7E-75D8-4124-880D-A63BE1A4415E}" xr6:coauthVersionLast="47" xr6:coauthVersionMax="47" xr10:uidLastSave="{00000000-0000-0000-0000-000000000000}"/>
  <bookViews>
    <workbookView xWindow="-110" yWindow="-110" windowWidth="19420" windowHeight="11500" activeTab="1" xr2:uid="{1056F946-CA43-4E81-91BB-673BA1E4A007}"/>
  </bookViews>
  <sheets>
    <sheet name="AllCardsViz" sheetId="8" r:id="rId1"/>
    <sheet name="MyCollectionViz" sheetId="3" r:id="rId2"/>
    <sheet name="sets" sheetId="11" r:id="rId3"/>
    <sheet name="myCollection" sheetId="10" r:id="rId4"/>
    <sheet name="tokens" sheetId="6" r:id="rId5"/>
    <sheet name="cards" sheetId="14" r:id="rId6"/>
    <sheet name="Query" sheetId="2" r:id="rId7"/>
  </sheets>
  <definedNames>
    <definedName name="ExternalData_1" localSheetId="3" hidden="1">myCollection!$A$1:$G$23</definedName>
    <definedName name="ExternalData_2" localSheetId="5" hidden="1">'cards'!$A$1:$CB$47</definedName>
    <definedName name="ExternalData_2" localSheetId="2" hidden="1">sets!$A$1:$T$55</definedName>
    <definedName name="ExternalData_2" localSheetId="4" hidden="1">tokens!$A$1:$AY$24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8" l="1" a="1"/>
  <c r="A2" i="8" s="1"/>
  <c r="B2" i="8" s="1"/>
  <c r="A3" i="8" a="1"/>
  <c r="A3" i="8" s="1"/>
  <c r="B3" i="8" s="1"/>
  <c r="A4" i="8" a="1"/>
  <c r="A4" i="8" s="1"/>
  <c r="B4" i="8" s="1"/>
  <c r="A75" i="8" a="1"/>
  <c r="A75" i="8" s="1"/>
  <c r="F75" i="8" s="1"/>
  <c r="A5" i="8" a="1"/>
  <c r="A5" i="8" s="1"/>
  <c r="F5" i="8" s="1"/>
  <c r="A6" i="8" a="1"/>
  <c r="A6" i="8" s="1"/>
  <c r="F6" i="8" s="1"/>
  <c r="A7" i="8" a="1"/>
  <c r="A7" i="8" s="1"/>
  <c r="D7" i="8" s="1"/>
  <c r="H7" i="8" s="1"/>
  <c r="A8" i="8" a="1"/>
  <c r="A8" i="8" s="1"/>
  <c r="D8" i="8" s="1"/>
  <c r="H8" i="8" s="1"/>
  <c r="A9" i="8" a="1"/>
  <c r="A9" i="8" s="1"/>
  <c r="D9" i="8" s="1"/>
  <c r="H9" i="8" s="1"/>
  <c r="A10" i="8" a="1"/>
  <c r="A10" i="8" s="1"/>
  <c r="D10" i="8" s="1"/>
  <c r="H10" i="8" s="1"/>
  <c r="A11" i="8" a="1"/>
  <c r="A11" i="8" s="1"/>
  <c r="D11" i="8" s="1"/>
  <c r="H11" i="8" s="1"/>
  <c r="A59" i="8" a="1"/>
  <c r="A59" i="8" s="1"/>
  <c r="E59" i="8" s="1"/>
  <c r="A12" i="8" a="1"/>
  <c r="A12" i="8" s="1"/>
  <c r="E12" i="8" s="1"/>
  <c r="A13" i="8" a="1"/>
  <c r="A13" i="8" s="1"/>
  <c r="E13" i="8" s="1"/>
  <c r="A60" i="8" a="1"/>
  <c r="A60" i="8" s="1"/>
  <c r="E60" i="8" s="1"/>
  <c r="A14" i="8" a="1"/>
  <c r="A14" i="8" s="1"/>
  <c r="E14" i="8" s="1"/>
  <c r="A15" i="8" a="1"/>
  <c r="A15" i="8" s="1"/>
  <c r="B15" i="8" s="1"/>
  <c r="A16" i="8" a="1"/>
  <c r="A16" i="8" s="1"/>
  <c r="B16" i="8" s="1"/>
  <c r="A76" i="8" a="1"/>
  <c r="A76" i="8" s="1"/>
  <c r="B76" i="8" s="1"/>
  <c r="A17" i="8" a="1"/>
  <c r="A17" i="8" s="1"/>
  <c r="F17" i="8" s="1"/>
  <c r="A18" i="8" a="1"/>
  <c r="A18" i="8" s="1"/>
  <c r="F18" i="8" s="1"/>
  <c r="A61" i="8" a="1"/>
  <c r="A61" i="8" s="1"/>
  <c r="D61" i="8" s="1"/>
  <c r="H61" i="8" s="1"/>
  <c r="A19" i="8" a="1"/>
  <c r="A19" i="8" s="1"/>
  <c r="D19" i="8" s="1"/>
  <c r="H19" i="8" s="1"/>
  <c r="A20" i="8" a="1"/>
  <c r="A20" i="8" s="1"/>
  <c r="D20" i="8" s="1"/>
  <c r="H20" i="8" s="1"/>
  <c r="A21" i="8" a="1"/>
  <c r="A21" i="8" s="1"/>
  <c r="D21" i="8" s="1"/>
  <c r="H21" i="8" s="1"/>
  <c r="A22" i="8" a="1"/>
  <c r="A22" i="8" s="1"/>
  <c r="D22" i="8" s="1"/>
  <c r="H22" i="8" s="1"/>
  <c r="A23" i="8" a="1"/>
  <c r="A23" i="8" s="1"/>
  <c r="D23" i="8" s="1"/>
  <c r="H23" i="8" s="1"/>
  <c r="A24" i="8" a="1"/>
  <c r="A24" i="8" s="1"/>
  <c r="E24" i="8" s="1"/>
  <c r="A25" i="8" a="1"/>
  <c r="A25" i="8" s="1"/>
  <c r="E25" i="8" s="1"/>
  <c r="A26" i="8" a="1"/>
  <c r="A26" i="8" s="1"/>
  <c r="E26" i="8" s="1"/>
  <c r="A27" i="8" a="1"/>
  <c r="A27" i="8" s="1"/>
  <c r="E27" i="8" s="1"/>
  <c r="A28" i="8" a="1"/>
  <c r="A28" i="8" s="1"/>
  <c r="E28" i="8" s="1"/>
  <c r="A29" i="8" a="1"/>
  <c r="A29" i="8" s="1"/>
  <c r="B29" i="8" s="1"/>
  <c r="A30" i="8" a="1"/>
  <c r="A30" i="8" s="1"/>
  <c r="B30" i="8" s="1"/>
  <c r="A31" i="8" a="1"/>
  <c r="A31" i="8" s="1"/>
  <c r="B31" i="8" s="1"/>
  <c r="A32" i="8" a="1"/>
  <c r="A32" i="8" s="1"/>
  <c r="F32" i="8" s="1"/>
  <c r="A33" i="8" a="1"/>
  <c r="A33" i="8" s="1"/>
  <c r="F33" i="8" s="1"/>
  <c r="A34" i="8" a="1"/>
  <c r="A34" i="8" s="1"/>
  <c r="F34" i="8" s="1"/>
  <c r="A35" i="8" a="1"/>
  <c r="A35" i="8" s="1"/>
  <c r="D35" i="8" s="1"/>
  <c r="H35" i="8" s="1"/>
  <c r="A36" i="8" a="1"/>
  <c r="A36" i="8" s="1"/>
  <c r="D36" i="8" s="1"/>
  <c r="H36" i="8" s="1"/>
  <c r="A37" i="8" a="1"/>
  <c r="A37" i="8" s="1"/>
  <c r="D37" i="8" s="1"/>
  <c r="H37" i="8" s="1"/>
  <c r="A38" i="8" a="1"/>
  <c r="A38" i="8" s="1"/>
  <c r="D38" i="8" s="1"/>
  <c r="H38" i="8" s="1"/>
  <c r="A39" i="8" a="1"/>
  <c r="A39" i="8" s="1"/>
  <c r="D39" i="8" s="1"/>
  <c r="H39" i="8" s="1"/>
  <c r="A40" i="8" a="1"/>
  <c r="A40" i="8" s="1"/>
  <c r="E40" i="8" s="1"/>
  <c r="A41" i="8" a="1"/>
  <c r="A41" i="8" s="1"/>
  <c r="E41" i="8" s="1"/>
  <c r="A42" i="8" a="1"/>
  <c r="A42" i="8" s="1"/>
  <c r="E42" i="8" s="1"/>
  <c r="A62" i="8" a="1"/>
  <c r="A62" i="8" s="1"/>
  <c r="E62" i="8" s="1"/>
  <c r="A63" i="8" a="1"/>
  <c r="A63" i="8" s="1"/>
  <c r="E63" i="8" s="1"/>
  <c r="A43" i="8" a="1"/>
  <c r="A43" i="8" s="1"/>
  <c r="B43" i="8" s="1"/>
  <c r="A64" i="8" a="1"/>
  <c r="A64" i="8" s="1"/>
  <c r="B64" i="8" s="1"/>
  <c r="A65" i="8" a="1"/>
  <c r="A65" i="8" s="1"/>
  <c r="B65" i="8" s="1"/>
  <c r="A66" i="8" a="1"/>
  <c r="A66" i="8" s="1"/>
  <c r="F66" i="8" s="1"/>
  <c r="A67" i="8" a="1"/>
  <c r="A67" i="8" s="1"/>
  <c r="F67" i="8" s="1"/>
  <c r="A68" i="8" a="1"/>
  <c r="A68" i="8" s="1"/>
  <c r="F68" i="8" s="1"/>
  <c r="A69" i="8" a="1"/>
  <c r="A69" i="8" s="1"/>
  <c r="D69" i="8" s="1"/>
  <c r="H69" i="8" s="1"/>
  <c r="A77" i="8" a="1"/>
  <c r="A77" i="8" s="1"/>
  <c r="D77" i="8" s="1"/>
  <c r="H77" i="8" s="1"/>
  <c r="A70" i="8" a="1"/>
  <c r="A70" i="8" s="1"/>
  <c r="D70" i="8" s="1"/>
  <c r="H70" i="8" s="1"/>
  <c r="A78" i="8" a="1"/>
  <c r="A78" i="8" s="1"/>
  <c r="D78" i="8" s="1"/>
  <c r="H78" i="8" s="1"/>
  <c r="A71" i="8" a="1"/>
  <c r="A71" i="8" s="1"/>
  <c r="D71" i="8" s="1"/>
  <c r="H71" i="8" s="1"/>
  <c r="A72" i="8" a="1"/>
  <c r="A72" i="8" s="1"/>
  <c r="E72" i="8" s="1"/>
  <c r="A73" i="8" a="1"/>
  <c r="A73" i="8" s="1"/>
  <c r="E73" i="8" s="1"/>
  <c r="A74" i="8" a="1"/>
  <c r="A74" i="8" s="1"/>
  <c r="E74" i="8" s="1"/>
  <c r="A44" i="8" a="1"/>
  <c r="A44" i="8" s="1"/>
  <c r="E44" i="8" s="1"/>
  <c r="A45" i="8" a="1"/>
  <c r="A45" i="8" s="1"/>
  <c r="E45" i="8" s="1"/>
  <c r="A46" i="8" a="1"/>
  <c r="A46" i="8" s="1"/>
  <c r="B46" i="8" s="1"/>
  <c r="A47" i="8" a="1"/>
  <c r="A47" i="8" s="1"/>
  <c r="B47" i="8" s="1"/>
  <c r="A48" i="8" a="1"/>
  <c r="A48" i="8" s="1"/>
  <c r="B48" i="8" s="1"/>
  <c r="A49" i="8" a="1"/>
  <c r="A49" i="8" s="1"/>
  <c r="F49" i="8" s="1"/>
  <c r="A50" i="8" a="1"/>
  <c r="A50" i="8" s="1"/>
  <c r="F50" i="8" s="1"/>
  <c r="A51" i="8" a="1"/>
  <c r="A51" i="8" s="1"/>
  <c r="F51" i="8" s="1"/>
  <c r="A52" i="8" a="1"/>
  <c r="A52" i="8" s="1"/>
  <c r="D52" i="8" s="1"/>
  <c r="H52" i="8" s="1"/>
  <c r="A53" i="8" a="1"/>
  <c r="A53" i="8" s="1"/>
  <c r="D53" i="8" s="1"/>
  <c r="H53" i="8" s="1"/>
  <c r="A54" i="8" a="1"/>
  <c r="A54" i="8" s="1"/>
  <c r="D54" i="8" s="1"/>
  <c r="H54" i="8" s="1"/>
  <c r="A55" i="8" a="1"/>
  <c r="A55" i="8" s="1"/>
  <c r="D55" i="8" s="1"/>
  <c r="H55" i="8" s="1"/>
  <c r="A56" i="8" a="1"/>
  <c r="A56" i="8" s="1"/>
  <c r="D56" i="8" s="1"/>
  <c r="H56" i="8" s="1"/>
  <c r="A57" i="8" a="1"/>
  <c r="A57" i="8" s="1"/>
  <c r="E57" i="8" s="1"/>
  <c r="A58" i="8" a="1"/>
  <c r="A58" i="8" s="1"/>
  <c r="E58" i="8" s="1"/>
  <c r="A2" i="2" a="1"/>
  <c r="A2" i="2" s="1"/>
  <c r="A2" i="3"/>
  <c r="D2" i="3" s="1"/>
  <c r="A3" i="3"/>
  <c r="D3" i="3" s="1"/>
  <c r="A4" i="3"/>
  <c r="G4" i="3" s="1"/>
  <c r="A5" i="3"/>
  <c r="G5" i="3" s="1"/>
  <c r="A6" i="3"/>
  <c r="G6" i="3" s="1"/>
  <c r="A7" i="3"/>
  <c r="G7" i="3" s="1"/>
  <c r="A8" i="3"/>
  <c r="D8" i="3" s="1"/>
  <c r="A9" i="3"/>
  <c r="E9" i="3" s="1"/>
  <c r="A10" i="3"/>
  <c r="E10" i="3" s="1"/>
  <c r="A11" i="3"/>
  <c r="E11" i="3" s="1"/>
  <c r="A12" i="3"/>
  <c r="B12" i="3" s="1"/>
  <c r="A13" i="3"/>
  <c r="B13" i="3" s="1"/>
  <c r="A14" i="3"/>
  <c r="F14" i="3" s="1"/>
  <c r="A15" i="3"/>
  <c r="F15" i="3" s="1"/>
  <c r="A16" i="3"/>
  <c r="F16" i="3" s="1"/>
  <c r="A17" i="3"/>
  <c r="F17" i="3" s="1"/>
  <c r="A18" i="3"/>
  <c r="D18" i="3" s="1"/>
  <c r="A19" i="3"/>
  <c r="D19" i="3" s="1"/>
  <c r="A20" i="3"/>
  <c r="G20" i="3" s="1"/>
  <c r="A21" i="3"/>
  <c r="G21" i="3" s="1"/>
  <c r="A22" i="3"/>
  <c r="G22" i="3" s="1"/>
  <c r="A23" i="3"/>
  <c r="G23" i="3" s="1"/>
  <c r="G65" i="8" l="1"/>
  <c r="G49" i="8"/>
  <c r="G33" i="8"/>
  <c r="G17" i="8"/>
  <c r="G64" i="8"/>
  <c r="G48" i="8"/>
  <c r="G32" i="8"/>
  <c r="G16" i="8"/>
  <c r="G63" i="8"/>
  <c r="G47" i="8"/>
  <c r="G31" i="8"/>
  <c r="G15" i="8"/>
  <c r="G78" i="8"/>
  <c r="G62" i="8"/>
  <c r="G46" i="8"/>
  <c r="G30" i="8"/>
  <c r="G14" i="8"/>
  <c r="G77" i="8"/>
  <c r="G61" i="8"/>
  <c r="G45" i="8"/>
  <c r="G29" i="8"/>
  <c r="G13" i="8"/>
  <c r="G76" i="8"/>
  <c r="G60" i="8"/>
  <c r="G44" i="8"/>
  <c r="G28" i="8"/>
  <c r="G12" i="8"/>
  <c r="G75" i="8"/>
  <c r="G59" i="8"/>
  <c r="G43" i="8"/>
  <c r="G27" i="8"/>
  <c r="G11" i="8"/>
  <c r="G74" i="8"/>
  <c r="G58" i="8"/>
  <c r="G42" i="8"/>
  <c r="G26" i="8"/>
  <c r="G10" i="8"/>
  <c r="G73" i="8"/>
  <c r="G57" i="8"/>
  <c r="G41" i="8"/>
  <c r="G25" i="8"/>
  <c r="G9" i="8"/>
  <c r="G72" i="8"/>
  <c r="G56" i="8"/>
  <c r="G40" i="8"/>
  <c r="G24" i="8"/>
  <c r="G8" i="8"/>
  <c r="G71" i="8"/>
  <c r="G55" i="8"/>
  <c r="G39" i="8"/>
  <c r="G23" i="8"/>
  <c r="G7" i="8"/>
  <c r="G70" i="8"/>
  <c r="G54" i="8"/>
  <c r="G38" i="8"/>
  <c r="G22" i="8"/>
  <c r="G6" i="8"/>
  <c r="G69" i="8"/>
  <c r="G53" i="8"/>
  <c r="G37" i="8"/>
  <c r="G21" i="8"/>
  <c r="G5" i="8"/>
  <c r="G68" i="8"/>
  <c r="G52" i="8"/>
  <c r="G36" i="8"/>
  <c r="G20" i="8"/>
  <c r="G4" i="8"/>
  <c r="G67" i="8"/>
  <c r="G51" i="8"/>
  <c r="G35" i="8"/>
  <c r="G19" i="8"/>
  <c r="G3" i="8"/>
  <c r="G66" i="8"/>
  <c r="G50" i="8"/>
  <c r="G34" i="8"/>
  <c r="G18" i="8"/>
  <c r="G2" i="8"/>
  <c r="I65" i="8"/>
  <c r="I49" i="8"/>
  <c r="I33" i="8"/>
  <c r="I17" i="8"/>
  <c r="I64" i="8"/>
  <c r="I48" i="8"/>
  <c r="I32" i="8"/>
  <c r="I16" i="8"/>
  <c r="I63" i="8"/>
  <c r="I47" i="8"/>
  <c r="I31" i="8"/>
  <c r="I15" i="8"/>
  <c r="I78" i="8"/>
  <c r="I62" i="8"/>
  <c r="I46" i="8"/>
  <c r="I30" i="8"/>
  <c r="I14" i="8"/>
  <c r="I77" i="8"/>
  <c r="I61" i="8"/>
  <c r="I45" i="8"/>
  <c r="I29" i="8"/>
  <c r="I13" i="8"/>
  <c r="I76" i="8"/>
  <c r="I60" i="8"/>
  <c r="I44" i="8"/>
  <c r="I28" i="8"/>
  <c r="I12" i="8"/>
  <c r="I75" i="8"/>
  <c r="I59" i="8"/>
  <c r="I43" i="8"/>
  <c r="I27" i="8"/>
  <c r="I11" i="8"/>
  <c r="I74" i="8"/>
  <c r="I58" i="8"/>
  <c r="I42" i="8"/>
  <c r="I26" i="8"/>
  <c r="I10" i="8"/>
  <c r="I73" i="8"/>
  <c r="I57" i="8"/>
  <c r="I41" i="8"/>
  <c r="I25" i="8"/>
  <c r="I9" i="8"/>
  <c r="I72" i="8"/>
  <c r="I56" i="8"/>
  <c r="I40" i="8"/>
  <c r="I24" i="8"/>
  <c r="I8" i="8"/>
  <c r="I71" i="8"/>
  <c r="I55" i="8"/>
  <c r="I39" i="8"/>
  <c r="I23" i="8"/>
  <c r="I7" i="8"/>
  <c r="I70" i="8"/>
  <c r="I54" i="8"/>
  <c r="I38" i="8"/>
  <c r="I22" i="8"/>
  <c r="I6" i="8"/>
  <c r="I69" i="8"/>
  <c r="I53" i="8"/>
  <c r="I37" i="8"/>
  <c r="I21" i="8"/>
  <c r="I5" i="8"/>
  <c r="I68" i="8"/>
  <c r="I52" i="8"/>
  <c r="I36" i="8"/>
  <c r="I20" i="8"/>
  <c r="I4" i="8"/>
  <c r="I67" i="8"/>
  <c r="I51" i="8"/>
  <c r="I35" i="8"/>
  <c r="I19" i="8"/>
  <c r="I3" i="8"/>
  <c r="I66" i="8"/>
  <c r="I50" i="8"/>
  <c r="I34" i="8"/>
  <c r="I18" i="8"/>
  <c r="I2" i="8"/>
  <c r="F25" i="8"/>
  <c r="F12" i="8"/>
  <c r="F4" i="8"/>
  <c r="F3" i="8"/>
  <c r="F2" i="8"/>
  <c r="F44" i="8"/>
  <c r="F62" i="8"/>
  <c r="F27" i="8"/>
  <c r="F60" i="8"/>
  <c r="F74" i="8"/>
  <c r="F42" i="8"/>
  <c r="F26" i="8"/>
  <c r="F13" i="8"/>
  <c r="F58" i="8"/>
  <c r="F73" i="8"/>
  <c r="F41" i="8"/>
  <c r="F57" i="8"/>
  <c r="F72" i="8"/>
  <c r="F40" i="8"/>
  <c r="F24" i="8"/>
  <c r="F59" i="8"/>
  <c r="F56" i="8"/>
  <c r="F71" i="8"/>
  <c r="F39" i="8"/>
  <c r="F23" i="8"/>
  <c r="F11" i="8"/>
  <c r="F55" i="8"/>
  <c r="F78" i="8"/>
  <c r="F38" i="8"/>
  <c r="F22" i="8"/>
  <c r="F10" i="8"/>
  <c r="F54" i="8"/>
  <c r="F70" i="8"/>
  <c r="F37" i="8"/>
  <c r="F21" i="8"/>
  <c r="F9" i="8"/>
  <c r="F53" i="8"/>
  <c r="F77" i="8"/>
  <c r="F36" i="8"/>
  <c r="F20" i="8"/>
  <c r="F8" i="8"/>
  <c r="F52" i="8"/>
  <c r="F69" i="8"/>
  <c r="F35" i="8"/>
  <c r="F19" i="8"/>
  <c r="F7" i="8"/>
  <c r="F61" i="8"/>
  <c r="F48" i="8"/>
  <c r="F65" i="8"/>
  <c r="F31" i="8"/>
  <c r="F76" i="8"/>
  <c r="F47" i="8"/>
  <c r="F64" i="8"/>
  <c r="F30" i="8"/>
  <c r="F16" i="8"/>
  <c r="F46" i="8"/>
  <c r="F43" i="8"/>
  <c r="F29" i="8"/>
  <c r="F15" i="8"/>
  <c r="F45" i="8"/>
  <c r="F63" i="8"/>
  <c r="F28" i="8"/>
  <c r="F14" i="8"/>
  <c r="B4" i="3"/>
  <c r="B3" i="3"/>
  <c r="B2" i="3"/>
  <c r="E10" i="8"/>
  <c r="C13" i="8"/>
  <c r="E56" i="8"/>
  <c r="E71" i="8"/>
  <c r="E39" i="8"/>
  <c r="E23" i="8"/>
  <c r="E11" i="8"/>
  <c r="D48" i="8"/>
  <c r="H48" i="8" s="1"/>
  <c r="D65" i="8"/>
  <c r="H65" i="8" s="1"/>
  <c r="D31" i="8"/>
  <c r="H31" i="8" s="1"/>
  <c r="D76" i="8"/>
  <c r="H76" i="8" s="1"/>
  <c r="D4" i="8"/>
  <c r="H4" i="8" s="1"/>
  <c r="C45" i="8"/>
  <c r="C63" i="8"/>
  <c r="C28" i="8"/>
  <c r="C14" i="8"/>
  <c r="B45" i="8"/>
  <c r="B63" i="8"/>
  <c r="B28" i="8"/>
  <c r="B14" i="8"/>
  <c r="E55" i="8"/>
  <c r="E78" i="8"/>
  <c r="E38" i="8"/>
  <c r="E22" i="8"/>
  <c r="D47" i="8"/>
  <c r="H47" i="8" s="1"/>
  <c r="D64" i="8"/>
  <c r="H64" i="8" s="1"/>
  <c r="D30" i="8"/>
  <c r="H30" i="8" s="1"/>
  <c r="D16" i="8"/>
  <c r="H16" i="8" s="1"/>
  <c r="D3" i="8"/>
  <c r="H3" i="8" s="1"/>
  <c r="C44" i="8"/>
  <c r="C62" i="8"/>
  <c r="C27" i="8"/>
  <c r="C60" i="8"/>
  <c r="B44" i="8"/>
  <c r="B62" i="8"/>
  <c r="B27" i="8"/>
  <c r="B60" i="8"/>
  <c r="E54" i="8"/>
  <c r="E70" i="8"/>
  <c r="E37" i="8"/>
  <c r="E21" i="8"/>
  <c r="E9" i="8"/>
  <c r="D46" i="8"/>
  <c r="H46" i="8" s="1"/>
  <c r="D43" i="8"/>
  <c r="H43" i="8" s="1"/>
  <c r="D29" i="8"/>
  <c r="H29" i="8" s="1"/>
  <c r="D15" i="8"/>
  <c r="H15" i="8" s="1"/>
  <c r="D2" i="8"/>
  <c r="H2" i="8" s="1"/>
  <c r="C74" i="8"/>
  <c r="C42" i="8"/>
  <c r="C26" i="8"/>
  <c r="B74" i="8"/>
  <c r="B42" i="8"/>
  <c r="B26" i="8"/>
  <c r="B13" i="8"/>
  <c r="E53" i="8"/>
  <c r="E77" i="8"/>
  <c r="E36" i="8"/>
  <c r="E20" i="8"/>
  <c r="E8" i="8"/>
  <c r="D45" i="8"/>
  <c r="H45" i="8" s="1"/>
  <c r="D63" i="8"/>
  <c r="H63" i="8" s="1"/>
  <c r="D28" i="8"/>
  <c r="H28" i="8" s="1"/>
  <c r="D14" i="8"/>
  <c r="H14" i="8" s="1"/>
  <c r="C58" i="8"/>
  <c r="C73" i="8"/>
  <c r="C41" i="8"/>
  <c r="C25" i="8"/>
  <c r="C12" i="8"/>
  <c r="B58" i="8"/>
  <c r="B73" i="8"/>
  <c r="B41" i="8"/>
  <c r="B25" i="8"/>
  <c r="B12" i="8"/>
  <c r="E52" i="8"/>
  <c r="E69" i="8"/>
  <c r="E35" i="8"/>
  <c r="E19" i="8"/>
  <c r="E7" i="8"/>
  <c r="D44" i="8"/>
  <c r="H44" i="8" s="1"/>
  <c r="D62" i="8"/>
  <c r="H62" i="8" s="1"/>
  <c r="D27" i="8"/>
  <c r="H27" i="8" s="1"/>
  <c r="D60" i="8"/>
  <c r="H60" i="8" s="1"/>
  <c r="C57" i="8"/>
  <c r="C72" i="8"/>
  <c r="C40" i="8"/>
  <c r="C24" i="8"/>
  <c r="C59" i="8"/>
  <c r="B57" i="8"/>
  <c r="B72" i="8"/>
  <c r="B40" i="8"/>
  <c r="B24" i="8"/>
  <c r="B59" i="8"/>
  <c r="E51" i="8"/>
  <c r="E68" i="8"/>
  <c r="E34" i="8"/>
  <c r="E61" i="8"/>
  <c r="E6" i="8"/>
  <c r="D74" i="8"/>
  <c r="H74" i="8" s="1"/>
  <c r="D42" i="8"/>
  <c r="H42" i="8" s="1"/>
  <c r="D26" i="8"/>
  <c r="H26" i="8" s="1"/>
  <c r="D13" i="8"/>
  <c r="H13" i="8" s="1"/>
  <c r="C56" i="8"/>
  <c r="C71" i="8"/>
  <c r="C39" i="8"/>
  <c r="C23" i="8"/>
  <c r="C11" i="8"/>
  <c r="B56" i="8"/>
  <c r="B71" i="8"/>
  <c r="B39" i="8"/>
  <c r="B23" i="8"/>
  <c r="B11" i="8"/>
  <c r="E50" i="8"/>
  <c r="E67" i="8"/>
  <c r="E33" i="8"/>
  <c r="E18" i="8"/>
  <c r="E5" i="8"/>
  <c r="D58" i="8"/>
  <c r="H58" i="8" s="1"/>
  <c r="D73" i="8"/>
  <c r="H73" i="8" s="1"/>
  <c r="D41" i="8"/>
  <c r="H41" i="8" s="1"/>
  <c r="D25" i="8"/>
  <c r="H25" i="8" s="1"/>
  <c r="D12" i="8"/>
  <c r="H12" i="8" s="1"/>
  <c r="C55" i="8"/>
  <c r="C78" i="8"/>
  <c r="C38" i="8"/>
  <c r="C22" i="8"/>
  <c r="C10" i="8"/>
  <c r="B55" i="8"/>
  <c r="B78" i="8"/>
  <c r="B38" i="8"/>
  <c r="B22" i="8"/>
  <c r="B10" i="8"/>
  <c r="E49" i="8"/>
  <c r="E66" i="8"/>
  <c r="E32" i="8"/>
  <c r="E17" i="8"/>
  <c r="E75" i="8"/>
  <c r="D57" i="8"/>
  <c r="H57" i="8" s="1"/>
  <c r="D72" i="8"/>
  <c r="H72" i="8" s="1"/>
  <c r="D40" i="8"/>
  <c r="H40" i="8" s="1"/>
  <c r="D24" i="8"/>
  <c r="H24" i="8" s="1"/>
  <c r="D59" i="8"/>
  <c r="H59" i="8" s="1"/>
  <c r="C54" i="8"/>
  <c r="C70" i="8"/>
  <c r="C37" i="8"/>
  <c r="C21" i="8"/>
  <c r="C9" i="8"/>
  <c r="B54" i="8"/>
  <c r="B70" i="8"/>
  <c r="B37" i="8"/>
  <c r="B21" i="8"/>
  <c r="B9" i="8"/>
  <c r="E48" i="8"/>
  <c r="E65" i="8"/>
  <c r="E31" i="8"/>
  <c r="E76" i="8"/>
  <c r="E4" i="8"/>
  <c r="C53" i="8"/>
  <c r="C77" i="8"/>
  <c r="C36" i="8"/>
  <c r="C20" i="8"/>
  <c r="C8" i="8"/>
  <c r="B53" i="8"/>
  <c r="B77" i="8"/>
  <c r="B36" i="8"/>
  <c r="B20" i="8"/>
  <c r="B8" i="8"/>
  <c r="E47" i="8"/>
  <c r="E64" i="8"/>
  <c r="E30" i="8"/>
  <c r="E16" i="8"/>
  <c r="E3" i="8"/>
  <c r="C52" i="8"/>
  <c r="C69" i="8"/>
  <c r="C35" i="8"/>
  <c r="C19" i="8"/>
  <c r="C7" i="8"/>
  <c r="B52" i="8"/>
  <c r="B69" i="8"/>
  <c r="B35" i="8"/>
  <c r="B19" i="8"/>
  <c r="B7" i="8"/>
  <c r="E46" i="8"/>
  <c r="E43" i="8"/>
  <c r="E29" i="8"/>
  <c r="E15" i="8"/>
  <c r="E2" i="8"/>
  <c r="C51" i="8"/>
  <c r="C68" i="8"/>
  <c r="C34" i="8"/>
  <c r="C61" i="8"/>
  <c r="C6" i="8"/>
  <c r="B51" i="8"/>
  <c r="B68" i="8"/>
  <c r="B34" i="8"/>
  <c r="B61" i="8"/>
  <c r="B6" i="8"/>
  <c r="C50" i="8"/>
  <c r="C67" i="8"/>
  <c r="C33" i="8"/>
  <c r="C18" i="8"/>
  <c r="C5" i="8"/>
  <c r="B50" i="8"/>
  <c r="B67" i="8"/>
  <c r="B33" i="8"/>
  <c r="B18" i="8"/>
  <c r="B5" i="8"/>
  <c r="C49" i="8"/>
  <c r="C66" i="8"/>
  <c r="C32" i="8"/>
  <c r="C17" i="8"/>
  <c r="C75" i="8"/>
  <c r="B49" i="8"/>
  <c r="B66" i="8"/>
  <c r="B32" i="8"/>
  <c r="B17" i="8"/>
  <c r="B75" i="8"/>
  <c r="D51" i="8"/>
  <c r="H51" i="8" s="1"/>
  <c r="D68" i="8"/>
  <c r="H68" i="8" s="1"/>
  <c r="D34" i="8"/>
  <c r="H34" i="8" s="1"/>
  <c r="D6" i="8"/>
  <c r="H6" i="8" s="1"/>
  <c r="C48" i="8"/>
  <c r="C65" i="8"/>
  <c r="C31" i="8"/>
  <c r="C76" i="8"/>
  <c r="C4" i="8"/>
  <c r="D50" i="8"/>
  <c r="H50" i="8" s="1"/>
  <c r="D67" i="8"/>
  <c r="H67" i="8" s="1"/>
  <c r="D33" i="8"/>
  <c r="H33" i="8" s="1"/>
  <c r="D18" i="8"/>
  <c r="H18" i="8" s="1"/>
  <c r="D5" i="8"/>
  <c r="H5" i="8" s="1"/>
  <c r="C47" i="8"/>
  <c r="C64" i="8"/>
  <c r="C30" i="8"/>
  <c r="C16" i="8"/>
  <c r="C3" i="8"/>
  <c r="D49" i="8"/>
  <c r="H49" i="8" s="1"/>
  <c r="D66" i="8"/>
  <c r="H66" i="8" s="1"/>
  <c r="D32" i="8"/>
  <c r="H32" i="8" s="1"/>
  <c r="D17" i="8"/>
  <c r="H17" i="8" s="1"/>
  <c r="D75" i="8"/>
  <c r="H75" i="8" s="1"/>
  <c r="C46" i="8"/>
  <c r="C43" i="8"/>
  <c r="C29" i="8"/>
  <c r="C15" i="8"/>
  <c r="C2" i="8"/>
  <c r="B22" i="3"/>
  <c r="B20" i="3"/>
  <c r="B19" i="3"/>
  <c r="B18" i="3"/>
  <c r="B6" i="3"/>
  <c r="B16" i="3"/>
  <c r="B15" i="3"/>
  <c r="B14" i="3"/>
  <c r="B17" i="3"/>
  <c r="B11" i="3"/>
  <c r="B10" i="3"/>
  <c r="B9" i="3"/>
  <c r="B8" i="3"/>
  <c r="B23" i="3"/>
  <c r="B7" i="3"/>
  <c r="B21" i="3"/>
  <c r="B5" i="3"/>
  <c r="G8" i="3"/>
  <c r="G3" i="3"/>
  <c r="D22" i="3"/>
  <c r="D6" i="3"/>
  <c r="E23" i="3"/>
  <c r="E22" i="3"/>
  <c r="E8" i="3"/>
  <c r="E12" i="3"/>
  <c r="E7" i="3"/>
  <c r="E6" i="3"/>
  <c r="F22" i="3"/>
  <c r="D23" i="3"/>
  <c r="F13" i="3"/>
  <c r="D17" i="3"/>
  <c r="F11" i="3"/>
  <c r="F12" i="3"/>
  <c r="D16" i="3"/>
  <c r="F8" i="3"/>
  <c r="D13" i="3"/>
  <c r="F6" i="3"/>
  <c r="D12" i="3"/>
  <c r="G19" i="3"/>
  <c r="D11" i="3"/>
  <c r="G15" i="3"/>
  <c r="D7" i="3"/>
  <c r="G12" i="3"/>
  <c r="G18" i="3"/>
  <c r="G2" i="3"/>
  <c r="D15" i="3"/>
  <c r="E21" i="3"/>
  <c r="E5" i="3"/>
  <c r="G17" i="3"/>
  <c r="D14" i="3"/>
  <c r="E20" i="3"/>
  <c r="E4" i="3"/>
  <c r="F10" i="3"/>
  <c r="G16" i="3"/>
  <c r="E18" i="3"/>
  <c r="E2" i="3"/>
  <c r="G14" i="3"/>
  <c r="E19" i="3"/>
  <c r="E17" i="3"/>
  <c r="F23" i="3"/>
  <c r="F7" i="3"/>
  <c r="G13" i="3"/>
  <c r="E3" i="3"/>
  <c r="F9" i="3"/>
  <c r="D10" i="3"/>
  <c r="E16" i="3"/>
  <c r="D9" i="3"/>
  <c r="E15" i="3"/>
  <c r="F21" i="3"/>
  <c r="F5" i="3"/>
  <c r="G11" i="3"/>
  <c r="C2" i="3"/>
  <c r="E14" i="3"/>
  <c r="F20" i="3"/>
  <c r="F4" i="3"/>
  <c r="G10" i="3"/>
  <c r="E13" i="3"/>
  <c r="F19" i="3"/>
  <c r="F3" i="3"/>
  <c r="G9" i="3"/>
  <c r="D21" i="3"/>
  <c r="D5" i="3"/>
  <c r="F18" i="3"/>
  <c r="F2" i="3"/>
  <c r="D20" i="3"/>
  <c r="D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31A8C3-9234-4C84-8A5F-E46E773E1F06}" keepAlive="1" name="Query - cards" description="Connection to the 'cards' query in the workbook." type="5" refreshedVersion="8" background="1" saveData="1">
    <dbPr connection="Provider=Microsoft.Mashup.OleDb.1;Data Source=$Workbook$;Location=cards;Extended Properties=&quot;&quot;" command="SELECT * FROM [cards]"/>
  </connection>
  <connection id="2" xr16:uid="{24A53960-270D-4FF3-AF4C-736AC983F3D9}" keepAlive="1" name="Query - myCollection" description="Connection to the 'myCollection' query in the workbook." type="5" refreshedVersion="8" background="1" saveData="1">
    <dbPr connection="Provider=Microsoft.Mashup.OleDb.1;Data Source=$Workbook$;Location=myCollection;Extended Properties=&quot;&quot;" command="SELECT * FROM [myCollection]"/>
  </connection>
  <connection id="3" xr16:uid="{E5F7B765-C022-431D-8EDA-B3817C2DE6D2}" keepAlive="1" name="Query - sets" description="Connection to the 'sets' query in the workbook." type="5" refreshedVersion="8" background="1" saveData="1">
    <dbPr connection="Provider=Microsoft.Mashup.OleDb.1;Data Source=$Workbook$;Location=sets;Extended Properties=&quot;&quot;" command="SELECT * FROM [sets]"/>
  </connection>
  <connection id="4" xr16:uid="{270D9C48-7EFB-40A7-BA3A-82852EF6C888}" keepAlive="1" name="Query - tokens" description="Connection to the 'tokens' query in the workbook." type="5" refreshedVersion="8" background="1" saveData="1">
    <dbPr connection="Provider=Microsoft.Mashup.OleDb.1;Data Source=$Workbook$;Location=tokens;Extended Properties=&quot;&quot;" command="SELECT * FROM [token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<sst xmlns="http://schemas.openxmlformats.org/spreadsheetml/2006/main" count="4583" uniqueCount="998">
  <si>
    <t>Name</t>
  </si>
  <si>
    <t>Side</t>
  </si>
  <si>
    <t>Rarity</t>
  </si>
  <si>
    <t>Boundary Lands Ranger</t>
  </si>
  <si>
    <t>PIO</t>
  </si>
  <si>
    <t>{1}{R}</t>
  </si>
  <si>
    <t>Creature</t>
  </si>
  <si>
    <t>R</t>
  </si>
  <si>
    <t>Human, Ranger</t>
  </si>
  <si>
    <t>Creature — Human Ranger</t>
  </si>
  <si>
    <t>At the beginning of combat on your turn, if you control a creature with power 4 or greater, you may discard a card. If you do, draw a card.</t>
  </si>
  <si>
    <t>English</t>
  </si>
  <si>
    <t>bf2540bd-5984-569c-b6ab-c5d77db981bd</t>
  </si>
  <si>
    <t>nonfoil</t>
  </si>
  <si>
    <t>common</t>
  </si>
  <si>
    <t>Ancient Greenwarden</t>
  </si>
  <si>
    <t>J25</t>
  </si>
  <si>
    <t>{4}{G}{G}</t>
  </si>
  <si>
    <t>G</t>
  </si>
  <si>
    <t>Elemental</t>
  </si>
  <si>
    <t>Creature — Elemental</t>
  </si>
  <si>
    <t>Reach</t>
  </si>
  <si>
    <t>83ff4169-cecd-5fe5-9fe0-721f276c6f2c</t>
  </si>
  <si>
    <t>mythic</t>
  </si>
  <si>
    <t>Warriors</t>
  </si>
  <si>
    <t>FJ25</t>
  </si>
  <si>
    <t>Card</t>
  </si>
  <si>
    <t>(Theme color: {R}.)</t>
  </si>
  <si>
    <t>0fc5756d-2258-5d14-b4c4-65aa4efa8f3e</t>
  </si>
  <si>
    <t>Devil</t>
  </si>
  <si>
    <t>TDSC</t>
  </si>
  <si>
    <t>Token, Creature</t>
  </si>
  <si>
    <t>Token Creature — Devil</t>
  </si>
  <si>
    <t>When this creature dies, it deals 1 damage to any target.</t>
  </si>
  <si>
    <t>db939e9b-b7c1-5084-9880-1856f29766c5</t>
  </si>
  <si>
    <t>nonfoil, foil</t>
  </si>
  <si>
    <t>Otter</t>
  </si>
  <si>
    <t>TBLB</t>
  </si>
  <si>
    <t>R, U</t>
  </si>
  <si>
    <t>Token Creature — Otter</t>
  </si>
  <si>
    <t>Prowess</t>
  </si>
  <si>
    <t>Prowess (Whenever you cast a noncreature spell, this creature gets +1/+1 until end of turn.)</t>
  </si>
  <si>
    <t>49481296-5e87-500b-9d95-8011f432466a</t>
  </si>
  <si>
    <t>Sokrates, Athenian Teacher</t>
  </si>
  <si>
    <t>ACR</t>
  </si>
  <si>
    <t>{1}{W}{U}</t>
  </si>
  <si>
    <t>Legendary</t>
  </si>
  <si>
    <t>Human, Advisor</t>
  </si>
  <si>
    <t>Legendary Creature — Human Advisor</t>
  </si>
  <si>
    <t>Ancient Greek</t>
  </si>
  <si>
    <t>3c389f9c-e459-5b16-87b5-d51644f05b25</t>
  </si>
  <si>
    <t>foil</t>
  </si>
  <si>
    <t>rare</t>
  </si>
  <si>
    <t>Rampant Frogantua // Rampant Frogantua</t>
  </si>
  <si>
    <t>AMH3</t>
  </si>
  <si>
    <t>aaf9b28b-4552-5665-b719-b8711215002b</t>
  </si>
  <si>
    <t>nonfoil, foil, signed</t>
  </si>
  <si>
    <t>a</t>
  </si>
  <si>
    <t>Goblin</t>
  </si>
  <si>
    <t>TM3C</t>
  </si>
  <si>
    <t>Token Creature — Goblin</t>
  </si>
  <si>
    <t>f0bb7e06-9698-5952-b890-442096073675</t>
  </si>
  <si>
    <t>Dog</t>
  </si>
  <si>
    <t>TMKM</t>
  </si>
  <si>
    <t>W</t>
  </si>
  <si>
    <t>Token Creature — Dog</t>
  </si>
  <si>
    <t>6f222117-73e0-5b15-8f8d-529bfa2cdbc1</t>
  </si>
  <si>
    <t>Prismatic Vista</t>
  </si>
  <si>
    <t>SPG</t>
  </si>
  <si>
    <t>Land</t>
  </si>
  <si>
    <t>e9325157-a5ff-5ee4-a392-28829db53b10</t>
  </si>
  <si>
    <t>The Thirteenth Doctor</t>
  </si>
  <si>
    <t>WHO</t>
  </si>
  <si>
    <t>{1}{G}{U}</t>
  </si>
  <si>
    <t>Time Lord, Doctor</t>
  </si>
  <si>
    <t>Legendary Creature — Time Lord Doctor</t>
  </si>
  <si>
    <t>Paradox, Team TARDIS</t>
  </si>
  <si>
    <t>a4072135-41e9-54e1-8905-4a853e6cf9ff</t>
  </si>
  <si>
    <t>All Will Be One // All Will Be One</t>
  </si>
  <si>
    <t>AONE</t>
  </si>
  <si>
    <t>75e2741e-f3e4-5f9d-bebd-c591e0c36430</t>
  </si>
  <si>
    <t>Jan Jansen, Chaos Crafter // Jan Jansen, Chaos Crafter</t>
  </si>
  <si>
    <t>ACLB</t>
  </si>
  <si>
    <t>f7161b69-1d04-5f7b-92fe-ea2fd8bf8e88</t>
  </si>
  <si>
    <t>Bloodvial Purveyor // Bloodvial Purveyor</t>
  </si>
  <si>
    <t>AVOW</t>
  </si>
  <si>
    <t>078d4e89-af80-58ae-9be8-7efd5eab2269</t>
  </si>
  <si>
    <t>Forest</t>
  </si>
  <si>
    <t>MID</t>
  </si>
  <si>
    <t>Basic</t>
  </si>
  <si>
    <t>Basic Land — Forest</t>
  </si>
  <si>
    <t>({T}: Add {G}.)</t>
  </si>
  <si>
    <t>a499b95b-8f0f-56e2-ba4e-077e5bc6979e</t>
  </si>
  <si>
    <t>Unblinking Observer // Unblinking Observer</t>
  </si>
  <si>
    <t>AMID</t>
  </si>
  <si>
    <t>fcfa94d1-04fc-5ef5-bee3-a1296627c4c1</t>
  </si>
  <si>
    <t>Prismatic Ending</t>
  </si>
  <si>
    <t>MH2</t>
  </si>
  <si>
    <t>{X}{W}</t>
  </si>
  <si>
    <t>Sorcery</t>
  </si>
  <si>
    <t>Converge</t>
  </si>
  <si>
    <t>Converge — Exile target nonland permanent if its mana value is less than or equal to the number of colors of mana spent to cast this spell.</t>
  </si>
  <si>
    <t>bafac74c-f4f8-5c71-8a6b-0bd02c536c47</t>
  </si>
  <si>
    <t>nonfoil, foil, etched</t>
  </si>
  <si>
    <t>uncommon</t>
  </si>
  <si>
    <t>Sythis, Harvest's Hand // Sythis, Harvest's Hand</t>
  </si>
  <si>
    <t>AMH2</t>
  </si>
  <si>
    <t>62118980-b180-5006-80c4-cdc91d1ca44a</t>
  </si>
  <si>
    <t>Blossoming Calm // Blossoming Calm</t>
  </si>
  <si>
    <t>978e07d3-d388-5379-8c20-f67c6af0936d</t>
  </si>
  <si>
    <t>nonfoil, signed</t>
  </si>
  <si>
    <t>Shadrix Silverquill // Shadrix Silverquill</t>
  </si>
  <si>
    <t>ASTX</t>
  </si>
  <si>
    <t>4767463a-62d8-5706-89e5-6e1155cd4d3e</t>
  </si>
  <si>
    <t>Realmwalker</t>
  </si>
  <si>
    <t>PKHM</t>
  </si>
  <si>
    <t>{2}{G}</t>
  </si>
  <si>
    <t>Shapeshifter</t>
  </si>
  <si>
    <t>Creature — Shapeshifter</t>
  </si>
  <si>
    <t>Changeling</t>
  </si>
  <si>
    <t>66124810-2a79-5c4f-a43f-181400aa8c4f</t>
  </si>
  <si>
    <t>Deftblade Elite</t>
  </si>
  <si>
    <t>PLST</t>
  </si>
  <si>
    <t>{W}</t>
  </si>
  <si>
    <t>Human, Soldier</t>
  </si>
  <si>
    <t>Creature — Human Soldier</t>
  </si>
  <si>
    <t>Provoke</t>
  </si>
  <si>
    <t>a8b3fc41-5f35-5fe2-bc74-7e015a836fd3</t>
  </si>
  <si>
    <t>Snapping Sailback</t>
  </si>
  <si>
    <t>{4}{G}</t>
  </si>
  <si>
    <t>Dinosaur</t>
  </si>
  <si>
    <t>Creature — Dinosaur</t>
  </si>
  <si>
    <t>Enrage, Flash</t>
  </si>
  <si>
    <t>154a09f3-65e3-5821-bc02-bd972b3be676</t>
  </si>
  <si>
    <t>Dragonscale Boon</t>
  </si>
  <si>
    <t>{3}{G}</t>
  </si>
  <si>
    <t>Instant</t>
  </si>
  <si>
    <t>Put two +1/+1 counters on target creature and untap it.</t>
  </si>
  <si>
    <t>16f1c97a-b896-59d0-80ab-6f00a6ea1d28</t>
  </si>
  <si>
    <t>Flameshot</t>
  </si>
  <si>
    <t>{3}{R}</t>
  </si>
  <si>
    <t>b473e6ca-2c93-5244-b821-a8bc41061ddb</t>
  </si>
  <si>
    <t>Nissa, Steward of Elements</t>
  </si>
  <si>
    <t>AKR</t>
  </si>
  <si>
    <t>{X}{G}{U}</t>
  </si>
  <si>
    <t>Planeswalker</t>
  </si>
  <si>
    <t>Nissa</t>
  </si>
  <si>
    <t>Legendary Planeswalker — Nissa</t>
  </si>
  <si>
    <t>Scry</t>
  </si>
  <si>
    <t>fcdd9620-9c54-5a56-adc4-13a277babc20</t>
  </si>
  <si>
    <t>Staying Power</t>
  </si>
  <si>
    <t>UND</t>
  </si>
  <si>
    <t>{2}{W}</t>
  </si>
  <si>
    <t>Enchantment</t>
  </si>
  <si>
    <t>b23e355d-5190-5db8-ad5a-5ff9d0fe9bea</t>
  </si>
  <si>
    <t>Deny the Divine</t>
  </si>
  <si>
    <t>THB</t>
  </si>
  <si>
    <t>{2}{U}</t>
  </si>
  <si>
    <t>U</t>
  </si>
  <si>
    <t>Counter target creature or enchantment spell. If that spell is countered this way, exile it instead of putting it into its owner's graveyard.</t>
  </si>
  <si>
    <t>6955a085-32f8-5582-9533-c506ef88213b</t>
  </si>
  <si>
    <t>Once Upon a Time</t>
  </si>
  <si>
    <t>ELD</t>
  </si>
  <si>
    <t>{1}{G}</t>
  </si>
  <si>
    <t>0add0930-720f-5bf5-bcf5-ee208eeb9040</t>
  </si>
  <si>
    <t>Silent Clearing // Silent Clearing</t>
  </si>
  <si>
    <t>AMH1</t>
  </si>
  <si>
    <t>0b952d69-5db0-59c2-810b-d4b10d452872</t>
  </si>
  <si>
    <t>Ranger-Captain of Eos // Ranger-Captain of Eos</t>
  </si>
  <si>
    <t>701dcbc1-659a-5b77-8eda-2157fec85d8d</t>
  </si>
  <si>
    <t>Chillerpillar // Chillerpillar</t>
  </si>
  <si>
    <t>d4588e8f-e5a0-53e5-ac90-0a5183f0d118</t>
  </si>
  <si>
    <t>Dead Weight</t>
  </si>
  <si>
    <t>GRN</t>
  </si>
  <si>
    <t>{B}</t>
  </si>
  <si>
    <t>B</t>
  </si>
  <si>
    <t>Aura</t>
  </si>
  <si>
    <t>Enchantment — Aura</t>
  </si>
  <si>
    <t>Enchant</t>
  </si>
  <si>
    <t>43b41a9c-56c7-5aa9-80bf-dc90211351ab</t>
  </si>
  <si>
    <t>Karox Bladewing</t>
  </si>
  <si>
    <t>TDOM</t>
  </si>
  <si>
    <t>Dragon</t>
  </si>
  <si>
    <t>Token Legendary Creature — Dragon</t>
  </si>
  <si>
    <t>Flying</t>
  </si>
  <si>
    <t>e4dcfe4f-8441-5eec-9f74-a7b3672e90e0</t>
  </si>
  <si>
    <t>Bubbling Cauldron</t>
  </si>
  <si>
    <t>IMA</t>
  </si>
  <si>
    <t>{2}</t>
  </si>
  <si>
    <t>Artifact</t>
  </si>
  <si>
    <t>9ce99de8-bbd0-5043-9670-7f69ec41c1eb</t>
  </si>
  <si>
    <t>Gisela, the Broken Blade // Brisela, Voice of Nightmares</t>
  </si>
  <si>
    <t>EMN</t>
  </si>
  <si>
    <t>{2}{W}{W}</t>
  </si>
  <si>
    <t>Angel, Horror</t>
  </si>
  <si>
    <t>Legendary Creature — Angel Horror</t>
  </si>
  <si>
    <t>5bb79a0f-ad7d-5383-8c9d-04bc757bcb4f</t>
  </si>
  <si>
    <t>Thought Harvester</t>
  </si>
  <si>
    <t>OGW</t>
  </si>
  <si>
    <t>{3}{U}</t>
  </si>
  <si>
    <t>Eldrazi, Drone</t>
  </si>
  <si>
    <t>Creature — Eldrazi Drone</t>
  </si>
  <si>
    <t>1fb6b965-6d0e-536c-8593-63140f3c6e9f</t>
  </si>
  <si>
    <t>Culling Drone</t>
  </si>
  <si>
    <t>BFZ</t>
  </si>
  <si>
    <t>{1}{B}</t>
  </si>
  <si>
    <t>Devoid, Ingest</t>
  </si>
  <si>
    <t>fd1183ad-ae98-5c4b-b93d-97d32b74d999</t>
  </si>
  <si>
    <t>Plummet</t>
  </si>
  <si>
    <t>Destroy target creature with flying.</t>
  </si>
  <si>
    <t>358c5647-9f47-5f5d-9497-36336d8c7bb9</t>
  </si>
  <si>
    <t>Font of Ire</t>
  </si>
  <si>
    <t>JOU</t>
  </si>
  <si>
    <t>e7613acb-a554-5a49-aa38-88fff17503fe</t>
  </si>
  <si>
    <t>Guild Feud</t>
  </si>
  <si>
    <t>RTR</t>
  </si>
  <si>
    <t>{5}{R}</t>
  </si>
  <si>
    <t>Fight</t>
  </si>
  <si>
    <t>At the beginning of your upkeep, target opponent reveals the top three cards of their library, may put a creature card from among them onto the battlefield, then puts the rest into their graveyard. You do the same with the top three cards of your library. If two creatures are put onto the battlefield this way, those creatures fight each other.</t>
  </si>
  <si>
    <t>d0bcc932-d1f2-509c-90de-42512b6fef75</t>
  </si>
  <si>
    <t>Angel of Glory's Rise</t>
  </si>
  <si>
    <t>PAVR</t>
  </si>
  <si>
    <t>{5}{W}{W}</t>
  </si>
  <si>
    <t>Angel</t>
  </si>
  <si>
    <t>Creature — Angel</t>
  </si>
  <si>
    <t>aff7557c-2e85-5bda-8231-d8f1e46b43c8</t>
  </si>
  <si>
    <t>Zombie</t>
  </si>
  <si>
    <t>TM11</t>
  </si>
  <si>
    <t>Token Creature — Zombie</t>
  </si>
  <si>
    <t>011a9246-7f7c-50c7-ab99-3fc13469c13b</t>
  </si>
  <si>
    <t>Grazing Gladehart</t>
  </si>
  <si>
    <t>ZEN</t>
  </si>
  <si>
    <t>Antelope</t>
  </si>
  <si>
    <t>Creature — Antelope</t>
  </si>
  <si>
    <t>Landfall</t>
  </si>
  <si>
    <t>Landfall — Whenever a land you control enters, you may gain 2 life.</t>
  </si>
  <si>
    <t>5ce32715-8dee-5c47-986a-88d00e87c506</t>
  </si>
  <si>
    <t>Plains</t>
  </si>
  <si>
    <t>ME3</t>
  </si>
  <si>
    <t>Basic Land — Plains</t>
  </si>
  <si>
    <t>({T}: Add {W}.)</t>
  </si>
  <si>
    <t>d54b922f-006e-59ff-bfeb-f96f3278fc7b</t>
  </si>
  <si>
    <t>Glarewielder</t>
  </si>
  <si>
    <t>LRW</t>
  </si>
  <si>
    <t>{4}{R}</t>
  </si>
  <si>
    <t>Elemental, Shaman</t>
  </si>
  <si>
    <t>Creature — Elemental Shaman</t>
  </si>
  <si>
    <t>Evoke, Haste</t>
  </si>
  <si>
    <t>28a21701-487e-5d54-9bb2-22f862734499</t>
  </si>
  <si>
    <t>Leave No Trace</t>
  </si>
  <si>
    <t>RAV</t>
  </si>
  <si>
    <t>{1}{W}</t>
  </si>
  <si>
    <t>Radiance</t>
  </si>
  <si>
    <t>Radiance — Destroy target enchantment and each other enchantment that shares a color with it.</t>
  </si>
  <si>
    <t>5e6a3099-2597-5755-8a6f-67f1569a3b8a</t>
  </si>
  <si>
    <t>Ouphe Vandals</t>
  </si>
  <si>
    <t>5DN</t>
  </si>
  <si>
    <t>Ouphe, Rogue</t>
  </si>
  <si>
    <t>Creature — Ouphe Rogue</t>
  </si>
  <si>
    <t>cc6ce5a2-49d0-59de-a17e-362f47b67773</t>
  </si>
  <si>
    <t>Syphon Soul</t>
  </si>
  <si>
    <t>ONS</t>
  </si>
  <si>
    <t>{2}{B}</t>
  </si>
  <si>
    <t>Syphon Soul deals 2 damage to each other player. You gain life equal to the damage dealt this way.</t>
  </si>
  <si>
    <t>9c015664-e6e8-53a4-ad48-276138b18098</t>
  </si>
  <si>
    <t>Gixian Puppeteer</t>
  </si>
  <si>
    <t>PRM</t>
  </si>
  <si>
    <t>{3}{B}</t>
  </si>
  <si>
    <t>Phyrexian, Warlock</t>
  </si>
  <si>
    <t>Creature — Phyrexian Warlock</t>
  </si>
  <si>
    <t>1c1aafc6-e078-5951-a22e-4d386aef8140</t>
  </si>
  <si>
    <t>Hypnotic Cloud</t>
  </si>
  <si>
    <t>INV</t>
  </si>
  <si>
    <t>Kicker</t>
  </si>
  <si>
    <t>413e11a5-35a1-51c7-928b-219b4453a094</t>
  </si>
  <si>
    <t>Crenellated Wall</t>
  </si>
  <si>
    <t>MMQ</t>
  </si>
  <si>
    <t>{4}</t>
  </si>
  <si>
    <t>Artifact, Creature</t>
  </si>
  <si>
    <t>Wall</t>
  </si>
  <si>
    <t>Artifact Creature — Wall</t>
  </si>
  <si>
    <t>Defender</t>
  </si>
  <si>
    <t>f1e4acc1-1bb7-57ea-9d61-edb3e803ab5c</t>
  </si>
  <si>
    <t>Renounce</t>
  </si>
  <si>
    <t>Sacrifice any number of permanents. You gain 2 life for each permanent sacrificed this way.</t>
  </si>
  <si>
    <t>f4198239-6754-5db7-9229-4cc9e264151e</t>
  </si>
  <si>
    <t>Viashino Runner</t>
  </si>
  <si>
    <t>USG</t>
  </si>
  <si>
    <t>Lizard</t>
  </si>
  <si>
    <t>Creature — Lizard</t>
  </si>
  <si>
    <t>Menace</t>
  </si>
  <si>
    <t>Menace (This creature can't be blocked except by two or more creatures.)</t>
  </si>
  <si>
    <t>aa480225-6f03-5f0f-85af-41af75e515aa</t>
  </si>
  <si>
    <t>Hungry Mist</t>
  </si>
  <si>
    <t>HML</t>
  </si>
  <si>
    <t>{2}{G}{G}</t>
  </si>
  <si>
    <t>91556c5f-b11e-573d-a3bb-627dfa6c2926</t>
  </si>
  <si>
    <t>Vexing Arcanix</t>
  </si>
  <si>
    <t>ICE</t>
  </si>
  <si>
    <t>66dae17d-a742-51b4-ba09-0b37d7c64265</t>
  </si>
  <si>
    <t>Thallid Devourer</t>
  </si>
  <si>
    <t>FEM</t>
  </si>
  <si>
    <t>{1}{G}{G}</t>
  </si>
  <si>
    <t>Fungus</t>
  </si>
  <si>
    <t>Creature — Fungus</t>
  </si>
  <si>
    <t>8d6b22fe-8583-5908-b964-05e3174e3154</t>
  </si>
  <si>
    <t>Resurrection</t>
  </si>
  <si>
    <t>3ED</t>
  </si>
  <si>
    <t>Return target creature card from your graveyard to the battlefield.</t>
  </si>
  <si>
    <t>7be5b8a9-0d68-5125-b729-ff1063dd3ed0</t>
  </si>
  <si>
    <t>cardsOwned</t>
  </si>
  <si>
    <t>cardsForTrade</t>
  </si>
  <si>
    <t>condition</t>
  </si>
  <si>
    <t>language</t>
  </si>
  <si>
    <t>finish</t>
  </si>
  <si>
    <t>Near Mint</t>
  </si>
  <si>
    <t>Good</t>
  </si>
  <si>
    <t>German</t>
  </si>
  <si>
    <t>French</t>
  </si>
  <si>
    <t>Poor</t>
  </si>
  <si>
    <t>Excellent</t>
  </si>
  <si>
    <t>Mint</t>
  </si>
  <si>
    <t>Light Played</t>
  </si>
  <si>
    <t>name</t>
  </si>
  <si>
    <t>uuid</t>
  </si>
  <si>
    <t>Matt Stewart</t>
  </si>
  <si>
    <t>20871267-2d8a-41d5-b03a-be3d557c5734</t>
  </si>
  <si>
    <t>arena, mtgo, paper</t>
  </si>
  <si>
    <t>default</t>
  </si>
  <si>
    <t>black</t>
  </si>
  <si>
    <t>normal</t>
  </si>
  <si>
    <t>ELD, MB2, PELD, PLST</t>
  </si>
  <si>
    <t>oval</t>
  </si>
  <si>
    <t>Dan Murayama Scott</t>
  </si>
  <si>
    <t>f852fa13-137e-40f2-bbc1-0f01df09c0e0</t>
  </si>
  <si>
    <t>paper</t>
  </si>
  <si>
    <t>Lurking beneath the murky waters of Ixalan's rivers, sailbacks can rip a meal off the shore in the blink of an eye.</t>
  </si>
  <si>
    <t>XLN-208</t>
  </si>
  <si>
    <t>PLST, XLN</t>
  </si>
  <si>
    <t>Mark Winters</t>
  </si>
  <si>
    <t>3d8a379d-f4e8-440d-99d5-5ec107757348</t>
  </si>
  <si>
    <t>KTK-131</t>
  </si>
  <si>
    <t>KTK, PLST, PRM, UGIN</t>
  </si>
  <si>
    <t>Clint Cearley</t>
  </si>
  <si>
    <t>03b75350-d5a0-4e3a-b3b4-8d4a5554385b</t>
  </si>
  <si>
    <t>mtgo, paper</t>
  </si>
  <si>
    <t>Gisela, the Broken Blade, Bruna, the Fading Light, Brisela, Voice of Nightmares</t>
  </si>
  <si>
    <t>Brisela, Voice of Nightmares</t>
  </si>
  <si>
    <t>Upon discovering what had become of her sisters, Sigarda could only weep.</t>
  </si>
  <si>
    <t>mooneldrazidfc</t>
  </si>
  <si>
    <t>meld</t>
  </si>
  <si>
    <t>15b</t>
  </si>
  <si>
    <t>EMN, INR, PEMN, SIR, SLD, V17</t>
  </si>
  <si>
    <t>b</t>
  </si>
  <si>
    <t>Eldrazi, Angel</t>
  </si>
  <si>
    <t>Legendary Creature — Eldrazi Angel</t>
  </si>
  <si>
    <t>1b18ca2b-4e5e-54c1-bf43-1f32afa75f78</t>
  </si>
  <si>
    <t>Bastien L. Deharme</t>
  </si>
  <si>
    <t>798f63ec-41ad-474e-9708-df08193345c6</t>
  </si>
  <si>
    <t>mtgo</t>
  </si>
  <si>
    <t>BRO, PBRO, PRM</t>
  </si>
  <si>
    <t>Winona Nelson</t>
  </si>
  <si>
    <t>e45fe8d3-75d6-42c9-a2df-e945ad81ea27</t>
  </si>
  <si>
    <t>devoid</t>
  </si>
  <si>
    <t>Nils Hamm</t>
  </si>
  <si>
    <t>c540d1fc-1500-457f-93cf-d6069ee66546</t>
  </si>
  <si>
    <t>LRW, PLST</t>
  </si>
  <si>
    <t>Aaron Miller</t>
  </si>
  <si>
    <t>fc021f3d-773a-4706-bbe7-f602324f511f</t>
  </si>
  <si>
    <t>The elf's blade carved deep into the Eldrazi drone's fleshy lattices. Without a sound, the drone lost equilibrium and tumbled from the sky.</t>
  </si>
  <si>
    <t>A25, AFR, ARC, BFZ, CN2, CNS, DBL, HBG, IKO, M11, M12, M13, M14, M15, M19, M20, MID, MM2, ORI, PLST, RIX, THB</t>
  </si>
  <si>
    <t>JB Casacop</t>
  </si>
  <si>
    <t>d857cc2b-790d-4ab0-8884-ac3234d05806</t>
  </si>
  <si>
    <t>U, W</t>
  </si>
  <si>
    <t>triangle</t>
  </si>
  <si>
    <t>Randy Gallegos</t>
  </si>
  <si>
    <t>a5048cc7-438a-4378-98e4-da99b78e1db0</t>
  </si>
  <si>
    <t>DDM, INV</t>
  </si>
  <si>
    <t>Lake Hurwitz</t>
  </si>
  <si>
    <t>3677c64b-55e6-4a0d-a952-bdbb05531220</t>
  </si>
  <si>
    <t>All things considered, his first day on patrol could have gone better.</t>
  </si>
  <si>
    <t>GRN, IKO, ISD, J22, LCI, PLST, SIR, SOI</t>
  </si>
  <si>
    <t>Gisela, the Broken Blade</t>
  </si>
  <si>
    <t>She now hears only Emrakul's murmurs.</t>
  </si>
  <si>
    <t>Ryan Pancoast</t>
  </si>
  <si>
    <t>89cc9475-dda2-4d13-bf88-54b92867a25c</t>
  </si>
  <si>
    <t>Landfall — Whenever a land enters the battlefield under your control, you may gain 2 life.</t>
  </si>
  <si>
    <t>C13, DDH, DDO, DDP, J25, PLST, ZEN</t>
  </si>
  <si>
    <t>Pat Lee</t>
  </si>
  <si>
    <t>4902294d-a1e5-495b-8526-49b2bfdda056</t>
  </si>
  <si>
    <t>The magic of the Boros patrols the streets even when their soldiers do not.</t>
  </si>
  <si>
    <t>Radiance Destroy target enchantment and each other enchantment that shares a color with it.</t>
  </si>
  <si>
    <t>Bruna, the Fading Light</t>
  </si>
  <si>
    <t>She now sees only Emrakul's visions.</t>
  </si>
  <si>
    <t>Flying, Vigilance</t>
  </si>
  <si>
    <t>Bruna, the Fading Light // Brisela, Voice of Nightmares</t>
  </si>
  <si>
    <t>6081d8fd-26e1-5e6a-9c98-417d03214856</t>
  </si>
  <si>
    <t>Zack Stella</t>
  </si>
  <si>
    <t>17bc7f55-958b-43f4-bb40-09746d05b3f9</t>
  </si>
  <si>
    <t>188s</t>
  </si>
  <si>
    <t>prerelease, datestamped</t>
  </si>
  <si>
    <t>8ED, ICE</t>
  </si>
  <si>
    <t>Yigit Koroglu</t>
  </si>
  <si>
    <t>a24479f8-6d9e-40f9-bede-f29899922b97</t>
  </si>
  <si>
    <t>Dan Frazier</t>
  </si>
  <si>
    <t>059bba56-5feb-42e4-8c2e-e2f1e6ba11f9</t>
  </si>
  <si>
    <t>white</t>
  </si>
  <si>
    <t>Take a creature from your graveyard and put it directly into play. Treat this creature as though it were just summoned.</t>
  </si>
  <si>
    <t>2ED, 30A, 3ED, CED, CEI, F08, FBB, LEA, LEB, PLST, PRM, SUM, TD0, TSB, UMA</t>
  </si>
  <si>
    <t>Grzegorz Rutkowski</t>
  </si>
  <si>
    <t>b5f49d0d-8056-48e3-b614-090e656b4f9c</t>
  </si>
  <si>
    <t>arena, paper</t>
  </si>
  <si>
    <t>Ron Spencer</t>
  </si>
  <si>
    <t>dab52c11-0564-4207-a4a1-c1735c946a65</t>
  </si>
  <si>
    <t>FEM, ME2</t>
  </si>
  <si>
    <t>Heather Hudson</t>
  </si>
  <si>
    <t>4441fe52-9e41-40c1-9b74-8510426279ab</t>
  </si>
  <si>
    <t>88a</t>
  </si>
  <si>
    <t>5ED, HML, ME1</t>
  </si>
  <si>
    <t>Ron Spears</t>
  </si>
  <si>
    <t>fce9030b-86bd-4439-b06a-920a1eeb184c</t>
  </si>
  <si>
    <t>As Phage drank their energy, a vague memory of Jeska stirred. Then she lost herself again in the joy of her victims' suffering.</t>
  </si>
  <si>
    <t>6ED, BRB, CNS, HOP, LEG, ONS</t>
  </si>
  <si>
    <t>Eric Deschamps</t>
  </si>
  <si>
    <t>37970e22-9cee-44c1-af44-5ee27cf26b76</t>
  </si>
  <si>
    <t>IMA, JMP, M14</t>
  </si>
  <si>
    <t>Lenka Šimečková</t>
  </si>
  <si>
    <t>c9e04828-8fcb-47ba-aadc-4005d43a79f4</t>
  </si>
  <si>
    <t>borderless</t>
  </si>
  <si>
    <t>G, U</t>
  </si>
  <si>
    <t>boosterfun</t>
  </si>
  <si>
    <t>Andreas Rocha</t>
  </si>
  <si>
    <t>d084e74b-f63a-4107-b72c-ed6250ecc93b</t>
  </si>
  <si>
    <t>Alan Pollack</t>
  </si>
  <si>
    <t>70c20ea3-5ad6-4082-a337-6e994ae5828e</t>
  </si>
  <si>
    <t>LGN-12</t>
  </si>
  <si>
    <t>LGN, PLST, VMA</t>
  </si>
  <si>
    <t>Steve White</t>
  </si>
  <si>
    <t>674a172f-e11a-458b-a681-964726a0c320</t>
  </si>
  <si>
    <t>Viashino Runner cannot be blocked by only one creature.</t>
  </si>
  <si>
    <t>10E, USG</t>
  </si>
  <si>
    <t>James Ryman</t>
  </si>
  <si>
    <t>3852bbc9-11c0-4fe3-8722-a06ad7e2bcc5</t>
  </si>
  <si>
    <t>A9</t>
  </si>
  <si>
    <t>AVR, MIC, PAVR</t>
  </si>
  <si>
    <t>setpromo, resale</t>
  </si>
  <si>
    <t>Richard Sardinha</t>
  </si>
  <si>
    <t>a3cce4f0-fbf5-4883-aac7-fb28b993b132</t>
  </si>
  <si>
    <t>silver</t>
  </si>
  <si>
    <t>Mongo's fleas no longer bothered him. But the family of goblins that had moved in behind his left ear was starting to get really irritating.</t>
  </si>
  <si>
    <t>ULST, UND, UNH</t>
  </si>
  <si>
    <t>Mark Brill</t>
  </si>
  <si>
    <t>46dc4b5e-e42c-4d65-a4f3-ad75b0f6f6dd</t>
  </si>
  <si>
    <t>PCY-90</t>
  </si>
  <si>
    <t>PCY, PLST, WC00</t>
  </si>
  <si>
    <t>John Stanko</t>
  </si>
  <si>
    <t>b0f038a0-73b5-4806-918e-9cd11b5f92e1</t>
  </si>
  <si>
    <t>Right before his demise, he experienced a shattering revelation.</t>
  </si>
  <si>
    <t>efdbf638-dbe6-5813-ba0b-dafbac1e1468</t>
  </si>
  <si>
    <t>Pascal Quidault</t>
  </si>
  <si>
    <t>aabbf32e-5330-403a-8a99-a653c050e263</t>
  </si>
  <si>
    <t>arena</t>
  </si>
  <si>
    <t>PIO, WOE</t>
  </si>
  <si>
    <t>Thomas M. Baxa</t>
  </si>
  <si>
    <t>ff346569-557d-4043-ae44-97c2c7cabd7d</t>
  </si>
  <si>
    <t>The ouphes finally managed to still the clockwork monstrosity by catching themselves in its cogs.</t>
  </si>
  <si>
    <t>{G}, Sacrifice Ouphe Vandals: Counter target activated ability from an artifact source and destroy that artifact if it's in play. (Mana abilities can't be targeted.)</t>
  </si>
  <si>
    <t>Karl Kopinski</t>
  </si>
  <si>
    <t>0fad2c48-a56e-4a0b-b512-224f6f238f20</t>
  </si>
  <si>
    <t>At the beginning of your upkeep, target opponent reveals the top three cards of his or her library, may put a creature card from among them onto the battlefield, then puts the rest into his or her graveyard. You do the same with the top three cards of your library. If two creatures are put onto the battlefield this way, those creatures fight each other.</t>
  </si>
  <si>
    <t>He Jiancheng</t>
  </si>
  <si>
    <t>0b1dee8b-d30a-488d-9cc5-27bddff2c30b</t>
  </si>
  <si>
    <t>Drink deep, and find your vengeance fulfilled.</t>
  </si>
  <si>
    <t>{3}{R}, Sacrifice Font of Ire: Font of Ire deals 5 damage to target player.</t>
  </si>
  <si>
    <t>Sam Burley</t>
  </si>
  <si>
    <t>f89f4b78-cefb-41f7-b7cb-4f4d28de0c4f</t>
  </si>
  <si>
    <t>When Kellan let his eyes wander to the horizon, he saw a land whose destiny was as uncertain as his own.</t>
  </si>
  <si>
    <t>inverted</t>
  </si>
  <si>
    <t>{T}, Pay 1 life, Sacrifice Prismatic Vista: Search your library for a basic land card, put it onto the battlefield, then shuffle.</t>
  </si>
  <si>
    <t>H1R, MH1, PRM, SPG, ZNE</t>
  </si>
  <si>
    <t>Arnie Swekel</t>
  </si>
  <si>
    <t>af10ecf2-eb82-4100-97b2-6c236b0fa644</t>
  </si>
  <si>
    <t>Mercadian soldiers excel at finding things to stand behind.</t>
  </si>
  <si>
    <t>MMQ, PLST</t>
  </si>
  <si>
    <t>Carl Critchlow</t>
  </si>
  <si>
    <t>17948f16-611a-44b8-8d10-9895a0bdfff1</t>
  </si>
  <si>
    <t>Sacrifice any number of permanents. You gain 2 life for each one sacrificed this way.</t>
  </si>
  <si>
    <t>Howard Lyon</t>
  </si>
  <si>
    <t>6dd06426-59fe-4b9c-aad5-6da8446a5c3d</t>
  </si>
  <si>
    <t>X</t>
  </si>
  <si>
    <t>AKH, AKR, C20, M3C, PAKH, PS17</t>
  </si>
  <si>
    <t>Alejandro Mirabal</t>
  </si>
  <si>
    <t>f77eebc1-2aa4-4cad-a158-aedbdfccbf0c</t>
  </si>
  <si>
    <t>Silence rules Bala Ged, broken only by the skittering of Eldrazi.</t>
  </si>
  <si>
    <t>Bud Cook</t>
  </si>
  <si>
    <t>4c3be2d4-73e6-4005-b897-8ac65b9c8660</t>
  </si>
  <si>
    <t>token</t>
  </si>
  <si>
    <t>setpromo</t>
  </si>
  <si>
    <t>Kekai Kotaki</t>
  </si>
  <si>
    <t>4b771085-c049-4308-930d-ec9665f803a4</t>
  </si>
  <si>
    <t>Bloodvial Purveyor</t>
  </si>
  <si>
    <t>art_series</t>
  </si>
  <si>
    <t>horizontal</t>
  </si>
  <si>
    <t>4f374ba7-d810-5f2f-945b-2f8fd7d600ad</t>
  </si>
  <si>
    <t>Seb McKinnon</t>
  </si>
  <si>
    <t>ad4caca0-8d89-44ce-a1a6-d5ca905bd6fb</t>
  </si>
  <si>
    <t>Silent Clearing</t>
  </si>
  <si>
    <t>73c978c2-e1ec-59b5-9341-de3ea776839b</t>
  </si>
  <si>
    <t>Esad Ribic</t>
  </si>
  <si>
    <t>86884c1c-7d4b-4543-9141-a2701d9e09a5</t>
  </si>
  <si>
    <t>Raymond Swanland</t>
  </si>
  <si>
    <t>e956bacc-077d-4c12-b6bc-ba798b718af9</t>
  </si>
  <si>
    <t>Shadrix Silverquill</t>
  </si>
  <si>
    <t>a3d9c702-510c-5d47-a0d4-9cce72d29d66</t>
  </si>
  <si>
    <t>Julia Griffin</t>
  </si>
  <si>
    <t>35d4a4a6-ac7d-4c48-8060-97325f1a2a85</t>
  </si>
  <si>
    <t>Otterball Antics, Ral, Crackling Wit, Stormchaser's Talent</t>
  </si>
  <si>
    <t>Ryan Yee</t>
  </si>
  <si>
    <t>8955dca7-3e37-42b4-83a9-167c78a2178f</t>
  </si>
  <si>
    <t>Sythis, Harvest's Hand</t>
  </si>
  <si>
    <t>e3b480fe-e63e-5af7-bd02-da93b5e9d87e</t>
  </si>
  <si>
    <t>Alayna Danner</t>
  </si>
  <si>
    <t>bb677b1a-ce51-4888-83d6-5a94de461ff9</t>
  </si>
  <si>
    <t>Ranger-Captain of Eos</t>
  </si>
  <si>
    <t>3972aae0-a52d-5593-914d-0fd42d24ee3d</t>
  </si>
  <si>
    <t>Chris Rahn</t>
  </si>
  <si>
    <t>7742047e-0f80-4c0f-a530-d07460165e86</t>
  </si>
  <si>
    <t>All Will Be One</t>
  </si>
  <si>
    <t>9c96fa13-76b8-5d5e-a647-7bfded2528ed</t>
  </si>
  <si>
    <t>Michael C. Hayes</t>
  </si>
  <si>
    <t>d119119f-9ee1-4cf1-a01f-e90b6a042155</t>
  </si>
  <si>
    <t>Blossoming Calm</t>
  </si>
  <si>
    <t>1s</t>
  </si>
  <si>
    <t>horizontalstamped</t>
  </si>
  <si>
    <t>e9f0c596-9d75-59e1-bebb-ea3b441e9cd6</t>
  </si>
  <si>
    <t>stamped</t>
  </si>
  <si>
    <t>Filipe Pagliuso</t>
  </si>
  <si>
    <t>64c537b4-a864-4051-9a24-fbdd22cb40b4</t>
  </si>
  <si>
    <t>Rampant Frogantua</t>
  </si>
  <si>
    <t>3951c090-e5dd-589e-b74b-ab8e03a895a7</t>
  </si>
  <si>
    <t>Suzanne Helmigh</t>
  </si>
  <si>
    <t>65d77b0b-6cca-4adf-a7ee-610c96d02371</t>
  </si>
  <si>
    <t>Chillerpillar</t>
  </si>
  <si>
    <t>75138b6b-c6a8-5f2f-b82f-08d9c04ecc8d</t>
  </si>
  <si>
    <t>Maxime Minard</t>
  </si>
  <si>
    <t>a9065769-afcd-4e54-a3c0-5809e7b4108b</t>
  </si>
  <si>
    <t>Burn Down the House, Dance with Devils, Devils' Playground, I Call for Slaughter, Maestros Diabolist, Make Mischief, Ob Nixilis, the Adversary, Pugnacious Pugilist, Raphael, Fiendish Savior, Spiked Corridor // Torture Pit, Tibalt, Rakish Instigator, Tibalt, Wicked Tormentor, You Exist Only to Amuse, Zariel, Archduke of Avernus, Zurzoth, Chaos Rider</t>
  </si>
  <si>
    <t>XiaoDi Jin</t>
  </si>
  <si>
    <t>28f8a8a9-c5da-46c7-9cfb-9bb18f3a6309</t>
  </si>
  <si>
    <t>legendary</t>
  </si>
  <si>
    <t>Verix Bladewing</t>
  </si>
  <si>
    <t>Kev Walker</t>
  </si>
  <si>
    <t>f366a0ee-a0cd-466d-ba6a-90058c7a31a6</t>
  </si>
  <si>
    <t>Jeff Dee</t>
  </si>
  <si>
    <t>623129e5-3984-4d9b-b412-9b283a51b81d</t>
  </si>
  <si>
    <t>Jan Jansen, Chaos Crafter</t>
  </si>
  <si>
    <t>vertical</t>
  </si>
  <si>
    <t>975e6e71-0680-5a0d-ac59-03df36f67dda</t>
  </si>
  <si>
    <t>Filip Burburan</t>
  </si>
  <si>
    <t>66082c3b-a623-4d34-be51-2475214b85d3</t>
  </si>
  <si>
    <t>Unblinking Observer</t>
  </si>
  <si>
    <t>174fab69-feac-5f8a-849e-d4171d1a5fbd</t>
  </si>
  <si>
    <t>artist</t>
  </si>
  <si>
    <t>artistIds</t>
  </si>
  <si>
    <t>asciiName</t>
  </si>
  <si>
    <t>attractionLights</t>
  </si>
  <si>
    <t>availability</t>
  </si>
  <si>
    <t>boosterTypes</t>
  </si>
  <si>
    <t>borderColor</t>
  </si>
  <si>
    <t>cardParts</t>
  </si>
  <si>
    <t>colorIdentity</t>
  </si>
  <si>
    <t>colorIndicator</t>
  </si>
  <si>
    <t>colors</t>
  </si>
  <si>
    <t>defense</t>
  </si>
  <si>
    <t>duelDeck</t>
  </si>
  <si>
    <t>edhrecRank</t>
  </si>
  <si>
    <t>edhrecSaltiness</t>
  </si>
  <si>
    <t>faceConvertedManaCost</t>
  </si>
  <si>
    <t>faceFlavorName</t>
  </si>
  <si>
    <t>faceManaValue</t>
  </si>
  <si>
    <t>faceName</t>
  </si>
  <si>
    <t>finishes</t>
  </si>
  <si>
    <t>flavorName</t>
  </si>
  <si>
    <t>flavorText</t>
  </si>
  <si>
    <t>frameEffects</t>
  </si>
  <si>
    <t>frameVersion</t>
  </si>
  <si>
    <t>hand</t>
  </si>
  <si>
    <t>hasAlternativeDeckLimit</t>
  </si>
  <si>
    <t>hasContentWarning</t>
  </si>
  <si>
    <t>isAlternative</t>
  </si>
  <si>
    <t>isFullArt</t>
  </si>
  <si>
    <t>isFunny</t>
  </si>
  <si>
    <t>isOnlineOnly</t>
  </si>
  <si>
    <t>isOversized</t>
  </si>
  <si>
    <t>isPromo</t>
  </si>
  <si>
    <t>isRebalanced</t>
  </si>
  <si>
    <t>isReprint</t>
  </si>
  <si>
    <t>isReserved</t>
  </si>
  <si>
    <t>isStorySpotlight</t>
  </si>
  <si>
    <t>isTextless</t>
  </si>
  <si>
    <t>isTimeshifted</t>
  </si>
  <si>
    <t>keywords</t>
  </si>
  <si>
    <t>layout</t>
  </si>
  <si>
    <t>leadershipSkills</t>
  </si>
  <si>
    <t>life</t>
  </si>
  <si>
    <t>loyalty</t>
  </si>
  <si>
    <t>manaCost</t>
  </si>
  <si>
    <t>manaValue</t>
  </si>
  <si>
    <t>number</t>
  </si>
  <si>
    <t>originalPrintings</t>
  </si>
  <si>
    <t>originalReleaseDate</t>
  </si>
  <si>
    <t>originalText</t>
  </si>
  <si>
    <t>otherFaceIds</t>
  </si>
  <si>
    <t>power</t>
  </si>
  <si>
    <t>printings</t>
  </si>
  <si>
    <t>promoTypes</t>
  </si>
  <si>
    <t>rarity</t>
  </si>
  <si>
    <t>rebalancedPrintings</t>
  </si>
  <si>
    <t>relatedCards</t>
  </si>
  <si>
    <t>securityStamp</t>
  </si>
  <si>
    <t>setCode</t>
  </si>
  <si>
    <t>side</t>
  </si>
  <si>
    <t>signature</t>
  </si>
  <si>
    <t>sourceProducts</t>
  </si>
  <si>
    <t>subsets</t>
  </si>
  <si>
    <t>subtypes</t>
  </si>
  <si>
    <t>supertypes</t>
  </si>
  <si>
    <t>text</t>
  </si>
  <si>
    <t>toughness</t>
  </si>
  <si>
    <t>type</t>
  </si>
  <si>
    <t>types</t>
  </si>
  <si>
    <t>watermark</t>
  </si>
  <si>
    <t/>
  </si>
  <si>
    <t>169</t>
  </si>
  <si>
    <t>105702</t>
  </si>
  <si>
    <t>48</t>
  </si>
  <si>
    <t>171</t>
  </si>
  <si>
    <t>184</t>
  </si>
  <si>
    <t>109</t>
  </si>
  <si>
    <t>67</t>
  </si>
  <si>
    <t>163</t>
  </si>
  <si>
    <t>23</t>
  </si>
  <si>
    <t>344</t>
  </si>
  <si>
    <t>47</t>
  </si>
  <si>
    <t>34</t>
  </si>
  <si>
    <t>627</t>
  </si>
  <si>
    <t>75</t>
  </si>
  <si>
    <t>176</t>
  </si>
  <si>
    <t>213</t>
  </si>
  <si>
    <t>564</t>
  </si>
  <si>
    <t>384</t>
  </si>
  <si>
    <t>224</t>
  </si>
  <si>
    <t>13</t>
  </si>
  <si>
    <t>126</t>
  </si>
  <si>
    <t>90</t>
  </si>
  <si>
    <t>97</t>
  </si>
  <si>
    <t>217</t>
  </si>
  <si>
    <t>38</t>
  </si>
  <si>
    <t>290</t>
  </si>
  <si>
    <t>42</t>
  </si>
  <si>
    <t>248</t>
  </si>
  <si>
    <t>91</t>
  </si>
  <si>
    <t>273</t>
  </si>
  <si>
    <t>7</t>
  </si>
  <si>
    <t>11</t>
  </si>
  <si>
    <t>28</t>
  </si>
  <si>
    <t>orientation</t>
  </si>
  <si>
    <t>reverseRelated</t>
  </si>
  <si>
    <t>3</t>
  </si>
  <si>
    <t>72</t>
  </si>
  <si>
    <t>51</t>
  </si>
  <si>
    <t>35</t>
  </si>
  <si>
    <t>59</t>
  </si>
  <si>
    <t>25</t>
  </si>
  <si>
    <t>1</t>
  </si>
  <si>
    <t>32</t>
  </si>
  <si>
    <t>10</t>
  </si>
  <si>
    <t>66</t>
  </si>
  <si>
    <t>31</t>
  </si>
  <si>
    <t>id</t>
  </si>
  <si>
    <t>Setcode</t>
  </si>
  <si>
    <t>Path</t>
  </si>
  <si>
    <t>Keywords</t>
  </si>
  <si>
    <t>baseSetSize</t>
  </si>
  <si>
    <t>block</t>
  </si>
  <si>
    <t>code</t>
  </si>
  <si>
    <t>isFoilOnly</t>
  </si>
  <si>
    <t>isForeignOnly</t>
  </si>
  <si>
    <t>isNonFoilOnly</t>
  </si>
  <si>
    <t>isPartialPreview</t>
  </si>
  <si>
    <t>keyruneCode</t>
  </si>
  <si>
    <t>mcmId</t>
  </si>
  <si>
    <t>mcmIdExtras</t>
  </si>
  <si>
    <t>mcmName</t>
  </si>
  <si>
    <t>mtgoCode</t>
  </si>
  <si>
    <t>parentCode</t>
  </si>
  <si>
    <t>releaseDate</t>
  </si>
  <si>
    <t>tcgplayerGroupId</t>
  </si>
  <si>
    <t>tokenSetCode</t>
  </si>
  <si>
    <t>totalSetSize</t>
  </si>
  <si>
    <t>Core Set</t>
  </si>
  <si>
    <t>Revised Edition</t>
  </si>
  <si>
    <t>core</t>
  </si>
  <si>
    <t>Mirrodin</t>
  </si>
  <si>
    <t>Fifth Dawn</t>
  </si>
  <si>
    <t>expansion</t>
  </si>
  <si>
    <t>memorabilia</t>
  </si>
  <si>
    <t>CLB</t>
  </si>
  <si>
    <t>FDN</t>
  </si>
  <si>
    <t>Amonkhet Remastered</t>
  </si>
  <si>
    <t>masters</t>
  </si>
  <si>
    <t>MH1</t>
  </si>
  <si>
    <t>Modern Horizons Art Series</t>
  </si>
  <si>
    <t>Modern Horizons 2 Art Series</t>
  </si>
  <si>
    <t>MH3</t>
  </si>
  <si>
    <t>Modern Horizons 3 Art Series</t>
  </si>
  <si>
    <t>Innistrad: Double Feature</t>
  </si>
  <si>
    <t>Midnight Hunt Art Series</t>
  </si>
  <si>
    <t>ONE</t>
  </si>
  <si>
    <t>Phyrexia: All Will Be One Art Series</t>
  </si>
  <si>
    <t>STX</t>
  </si>
  <si>
    <t>Strixhaven Art Series</t>
  </si>
  <si>
    <t>VOW</t>
  </si>
  <si>
    <t>Crimson Vow Art Series</t>
  </si>
  <si>
    <t>Battle for Zendikar</t>
  </si>
  <si>
    <t>TBFZ</t>
  </si>
  <si>
    <t>Commander</t>
  </si>
  <si>
    <t>commander</t>
  </si>
  <si>
    <t>Throne of Eldraine</t>
  </si>
  <si>
    <t>TELD</t>
  </si>
  <si>
    <t>Fallen Empires</t>
  </si>
  <si>
    <t>Foundations Jumpstart Front Cards</t>
  </si>
  <si>
    <t>Guilds of Ravnica</t>
  </si>
  <si>
    <t>TGRN</t>
  </si>
  <si>
    <t>Homelands</t>
  </si>
  <si>
    <t>Ice Age</t>
  </si>
  <si>
    <t>Iconic Masters</t>
  </si>
  <si>
    <t>TIMA</t>
  </si>
  <si>
    <t>Invasion</t>
  </si>
  <si>
    <t>IN</t>
  </si>
  <si>
    <t>Foundations Jumpstart</t>
  </si>
  <si>
    <t>draft_innovation</t>
  </si>
  <si>
    <t>Theros</t>
  </si>
  <si>
    <t>Journey into Nyx</t>
  </si>
  <si>
    <t>TJOU</t>
  </si>
  <si>
    <t>Lorwyn</t>
  </si>
  <si>
    <t>TLRW</t>
  </si>
  <si>
    <t>Masters Edition III</t>
  </si>
  <si>
    <t>Modern Horizons 2</t>
  </si>
  <si>
    <t>TMH2</t>
  </si>
  <si>
    <t>Innistrad: Midnight Hunt</t>
  </si>
  <si>
    <t>TMID</t>
  </si>
  <si>
    <t>Masques</t>
  </si>
  <si>
    <t>Mercadian Masques</t>
  </si>
  <si>
    <t>MM</t>
  </si>
  <si>
    <t>Oath of the Gatewatch</t>
  </si>
  <si>
    <t>TOGW</t>
  </si>
  <si>
    <t>Onslaught</t>
  </si>
  <si>
    <t>Innistrad</t>
  </si>
  <si>
    <t>AVR</t>
  </si>
  <si>
    <t>Avacyn Restored Promos</t>
  </si>
  <si>
    <t>promo</t>
  </si>
  <si>
    <t>Pioneer Masters</t>
  </si>
  <si>
    <t>KHM</t>
  </si>
  <si>
    <t>Kaldheim Promos</t>
  </si>
  <si>
    <t>MB1</t>
  </si>
  <si>
    <t>The List</t>
  </si>
  <si>
    <t>MTGO</t>
  </si>
  <si>
    <t>Magic Online Promos</t>
  </si>
  <si>
    <t>Ravnica</t>
  </si>
  <si>
    <t>Ravnica: City of Guilds</t>
  </si>
  <si>
    <t>Return to Ravnica</t>
  </si>
  <si>
    <t>TRTR</t>
  </si>
  <si>
    <t>Special Guests</t>
  </si>
  <si>
    <t>masterpiece</t>
  </si>
  <si>
    <t>Theros Beyond Death</t>
  </si>
  <si>
    <t>TTHB</t>
  </si>
  <si>
    <t>Unsanctioned</t>
  </si>
  <si>
    <t>TUND</t>
  </si>
  <si>
    <t>funny</t>
  </si>
  <si>
    <t>Urza</t>
  </si>
  <si>
    <t>UZ</t>
  </si>
  <si>
    <t>Doctor Who</t>
  </si>
  <si>
    <t>TWHO</t>
  </si>
  <si>
    <t>Zendikar</t>
  </si>
  <si>
    <t>TZEN</t>
  </si>
  <si>
    <t>TACR</t>
  </si>
  <si>
    <t>Shadows over Innistrad</t>
  </si>
  <si>
    <t>Eldritch Moon</t>
  </si>
  <si>
    <t>TEMN</t>
  </si>
  <si>
    <t>SetName</t>
  </si>
  <si>
    <t>isGameChanger</t>
  </si>
  <si>
    <t>printedName</t>
  </si>
  <si>
    <t>printedText</t>
  </si>
  <si>
    <t>printedType</t>
  </si>
  <si>
    <t>J25, OTC, PRM, PZNR, SLD, ZNR</t>
  </si>
  <si>
    <t>15</t>
  </si>
  <si>
    <t>Devoid (This card has no color.)Ingest (Whenever this creature deals combat damage to a player, that player exiles the top card of his or her library.)</t>
  </si>
  <si>
    <t>{3}{R}, Sacrifice this enchantment: It deals 5 damage to target player or planeswalker.</t>
  </si>
  <si>
    <t>During your upkeep, pay {G}{G} or bury Hungry Mist.</t>
  </si>
  <si>
    <t>At the beginning of your upkeep, sacrifice this creature unless you pay {G}{G}.</t>
  </si>
  <si>
    <t>{G}, Sacrifice this creature: Counter target activated ability from an artifact source and destroy that artifact if it's on the battlefield. (Mana abilities can't be targeted.)</t>
  </si>
  <si>
    <t>MB2, MH2, SLD, SPG</t>
  </si>
  <si>
    <t>{T}, Pay 1 life, Sacrifice this land: Search your library for a basic land card, put it onto the battlefield, then shuffle.</t>
  </si>
  <si>
    <t>Σωκράτης, Ἀθηναῖος διδάσκαλος</t>
  </si>
  <si>
    <t>Μυθικὸν ὄν — Ἄνθρωπος Σύμβουλος</t>
  </si>
  <si>
    <t>{3},ocT: Target player names a card and then turns over the top card of his or her library. If that is the card named, put it into the player's hand. Otherwise, put it into the player's graveyard, and Vexing Arcanix deals 2 damage to that player.</t>
  </si>
  <si>
    <t>{3}, {T}: Target player chooses a card name, then reveals the top card of their library. If that card has the chosen name, that player puts it into their hand. Otherwise, they put it into their graveyard and this artifact deals 2 damage to them.</t>
  </si>
  <si>
    <t>245</t>
  </si>
  <si>
    <t>Viashino Runner can't be blocked except by two or more creatures.</t>
  </si>
  <si>
    <t>10E</t>
  </si>
  <si>
    <t>f7aa8817-24f8-5dbb-a726-353611565ffe</t>
  </si>
  <si>
    <t>Tenth Edition</t>
  </si>
  <si>
    <t>T10E</t>
  </si>
  <si>
    <t>facePrintedName</t>
  </si>
  <si>
    <t>producedMana</t>
  </si>
  <si>
    <t>variations</t>
  </si>
  <si>
    <t>{"foil":["21d471fb-dfea-5778-99ff-65a3e2264501","61cb35b0-215b-5d52-bcd9-6f55e1769ab2","f280c608-84ef-5371-bae2-801205b8f795"],"nonfoil":["21d471fb-dfea-5778-99ff-65a3e2264501","3d97f089-a37a-595c-9bfd-8ac368019c88","f9e6cfe6-1676-52ea-b127-c1c8e20e890d"]}</t>
  </si>
  <si>
    <t>6c62c84e-ef63-5447-81d6-c6d1d0a9a117</t>
  </si>
  <si>
    <t>{}</t>
  </si>
  <si>
    <t>Flying, Lifelink, Vigilance, First strike</t>
  </si>
  <si>
    <t>Flying, Devoid</t>
  </si>
  <si>
    <t>{"foil":["3714b02d-5b71-5a90-a296-e8f7c0280cf1","a80b98ae-3781-5077-83a9-31907bd528e4"],"nonfoil":["63480c0e-589d-51e0-a872-628092af872d","a80b98ae-3781-5077-83a9-31907bd528e4","cfbe8229-9ba6-525a-b96d-74c46a60f018"]}</t>
  </si>
  <si>
    <t>{"foil":["17d7dd33-f196-53f9-aa62-f12b5a5a32b4","8e0fd374-3d5a-509d-b778-919c9cbec9f1"],"nonfoil":["17d7dd33-f196-53f9-aa62-f12b5a5a32b4","220a5e02-5213-5d46-a9d1-d322b74f05a6","e6b1e5bf-a329-54f7-ac5e-8fe8898458ae"]}</t>
  </si>
  <si>
    <t>{"foil":["37e28375-f5ba-51e8-8e11-b6830a33b669","508def12-08d0-5800-bc48-3615e04bed1e"],"nonfoil":["1f60d907-1bfa-5efa-b288-72b523570628","37e28375-f5ba-51e8-8e11-b6830a33b669","c53b5e9c-0403-5679-b896-27c1f5615c25","df4abe32-43a3-5e35-8809-3b9be9a54825"]}</t>
  </si>
  <si>
    <t>W, U</t>
  </si>
  <si>
    <t>inverted, legendary</t>
  </si>
  <si>
    <t>Sokratic Dialogue, Defender</t>
  </si>
  <si>
    <t>{"brawl":false,"commander":true,"oathbreaker":false}</t>
  </si>
  <si>
    <t>serialized, doublerainbow, universesbeyond, boosterfun</t>
  </si>
  <si>
    <t>{"foil":["4c79255e-0f04-584d-a8d9-6df6a4c5e3c0"]}</t>
  </si>
  <si>
    <t>3e6b7e28-1c27-576b-96ef-a2a20c22e5c5, de4745d5-5342-59fd-8865-20d278088990, d75eb381-e3e5-5b59-89ea-5fb9abb04a23</t>
  </si>
  <si>
    <t>{"foil":["1ada4ff0-f518-5da4-83b8-db322b012329","61b01e8e-f458-52b1-8df5-347b0da6066e","e634446e-4111-5781-ba46-1161cb3abb5a"],"nonfoil":["1971eacc-6305-5c8c-914d-663ae422c379","2ddcf37e-b144-5a39-851e-edceb19ff129","308d01d7-d39a-5165-a13f-46721cf60b29","e634446e-4111-5781-ba46-1161cb3abb5a"]}</t>
  </si>
  <si>
    <t>{"foil":["b00f5117-4990-5b66-88fc-da76dabf5293","dbecee60-807c-5627-9090-d2114a897fcd"],"nonfoil":["236711ef-2574-5a52-ada8-9b1f7f80c9a7","378dd83c-121e-5b5a-b303-2bd7ad263313","b5495422-e733-5142-8e84-902bc81e62ca","ceb9dc37-df20-5ea6-884d-c41ecf4b7a4d","d3421e33-7b17-58a9-b6d4-acc3b077a93f","dbecee60-807c-5627-9090-d2114a897fcd"]}</t>
  </si>
  <si>
    <t>Flying, Lifelink, First strike, Meld</t>
  </si>
  <si>
    <t>{"foil":["4253efbd-cc76-53e3-a54c-9f4012f3c097","adfb3335-c3dc-5da0-a8f7-2ec75df3f207"],"nonfoil":["4253efbd-cc76-53e3-a54c-9f4012f3c097","53d19c3f-83fb-5246-8262-15f15ca0a9df"]}</t>
  </si>
  <si>
    <t>{"foil":["303528b0-8f1d-5ee0-bae1-55147d9510da","a2630e5d-f1ae-53b8-b5e2-938d77123f73"],"nonfoil":["337ea5f6-8a3f-5259-ba21-76ac4104459a","5cd87b3b-e80e-5d49-83ba-96435fe9df2e","a2630e5d-f1ae-53b8-b5e2-938d77123f73","ab50bceb-299c-5cdb-a01d-d66bdf9a2b7c","ca3b78cc-456e-5e0b-846a-1b5b4f297aea"]}</t>
  </si>
  <si>
    <t>{"foil":["a72ed909-5fc3-5043-85f1-eae7f784c33b","fb684793-38fa-5e34-bc75-34cff075443c"],"nonfoil":["303d70f4-790d-5ccf-af92-fb6fe17c2311","5609ba02-6888-54e1-8413-12c338e96afb","fb684793-38fa-5e34-bc75-34cff075443c"]}</t>
  </si>
  <si>
    <t>boros</t>
  </si>
  <si>
    <t>CMM, ECC, KHM, LCC, PKHM, PLST, PRM, SLD</t>
  </si>
  <si>
    <t>31669a91-4e69-5bbf-b1a9-33c7ce9eab0b</t>
  </si>
  <si>
    <t>{"nonfoil":["336c0f3c-7922-530d-b687-ca056692d873","57d8c3aa-7e9f-5cd0-bc47-3686d9958d8b"]}</t>
  </si>
  <si>
    <t>{"foil":["089080a6-6828-50c3-9101-7dde35781608","ef9b5f95-e25a-5a7f-ade5-a78df463ebe6","fa9fd548-d5b0-5d79-adbe-8682cb96384d"],"nonfoil":["089080a6-6828-50c3-9101-7dde35781608","38c6c6f8-2cbe-566e-85b5-6caba302d843","4ab6ae94-f60e-54f2-a482-cf2c70105f6b"]}</t>
  </si>
  <si>
    <t>Daarken</t>
  </si>
  <si>
    <t>e607a0d4-fc12-4c01-9e3f-501f5269b9cb</t>
  </si>
  <si>
    <t>Return</t>
  </si>
  <si>
    <t>Aftermath</t>
  </si>
  <si>
    <t>aftermath</t>
  </si>
  <si>
    <t>Never // Return</t>
  </si>
  <si>
    <t>212</t>
  </si>
  <si>
    <t>875ba98c-721c-537b-b326-22d803fab7c0</t>
  </si>
  <si>
    <t>AKH, AKR, DRC, PAKH</t>
  </si>
  <si>
    <t>AKH</t>
  </si>
  <si>
    <t>6acc8501-aa59-5777-a7d0-e3ef66a609ea</t>
  </si>
  <si>
    <t>{"nonfoil":["4ebfc88d-eea7-599e-ba79-c86020d1c1e2","9b04b8ff-5402-5553-a531-323a38d8c4a4"]}</t>
  </si>
  <si>
    <t>{"nonfoil":["4498a9bc-294c-5036-91e5-031880296db8"]}</t>
  </si>
  <si>
    <t>Never</t>
  </si>
  <si>
    <t>{1}{B}{B}</t>
  </si>
  <si>
    <t>{"foil":["bdfaa43d-9ebd-502f-856b-11eadc97b026","f11efbac-a2d4-5228-acba-c858c60c12ac","f1841d07-1211-5e6d-8d32-7844c9e667d8"],"nonfoil":["70b72e1e-9647-56ec-8b16-06248b684206","bdfaa43d-9ebd-502f-856b-11eadc97b026","f11efbac-a2d4-5228-acba-c858c60c12ac"]}</t>
  </si>
  <si>
    <t>Destroy target creature or planeswalker.</t>
  </si>
  <si>
    <t>{"nonfoil":["cbbd7529-f4d9-53ac-bd3f-a55bd930c679"]}</t>
  </si>
  <si>
    <t>{"nonfoil":["c9de01e3-8ad0-5efa-a5f4-4cfeac03e5c7"]}</t>
  </si>
  <si>
    <t>74484d41-3d02-5bd7-a5fc-a0dfc481bb2d</t>
  </si>
  <si>
    <t>{"foil":["04f90aad-76b6-5bc6-a732-45d06c1dad37","b5bdb4c3-f3f8-59d9-b11c-f09b23a80d97","da796ce7-43ec-5fba-9705-77a79758eedb"],"nonfoil":["04f90aad-76b6-5bc6-a732-45d06c1dad37","9f950613-93bc-5206-bf36-17889e54081e","de0877c3-6604-50cc-a2e5-50d47d05fa29"]}</t>
  </si>
  <si>
    <t>{"foil":["6dea76a3-dab9-5707-9181-635f24535a5b"],"nonfoil":["6dea76a3-dab9-5707-9181-635f24535a5b"]}</t>
  </si>
  <si>
    <t>U, G</t>
  </si>
  <si>
    <t>inverted, legendary, showcase</t>
  </si>
  <si>
    <t>universesbeyond, boosterfun</t>
  </si>
  <si>
    <t>{"foil":["2d252e89-9965-5f23-907e-7a98726d7fac","c3727661-aaa8-5fc8-985e-93b619c3ef05"],"nonfoil":["2d252e89-9965-5f23-907e-7a98726d7fac","c3727661-aaa8-5fc8-985e-93b619c3ef05"]}</t>
  </si>
  <si>
    <t>845adf01-30b9-59f5-940b-2200b70f713d, a4d8b55a-7761-5685-a768-d6bcae2809b0, be61e9c2-20bf-59b8-bfae-3a5f64a7fc28, 4f3671e6-6faa-533a-9ba9-f05f5bf09e8b, 47adf329-3c8e-5af4-801a-c361a3e647f9, 6129fe0e-e952-5b75-b5f5-8cb46cc58b77, 882be6aa-fac2-52b8-9b47-a0980d475a11</t>
  </si>
  <si>
    <t>10E, 2ED, 2XM, 30A, 3ED, 40K, 4BB, 4ED, 5ED, 6ED, 7ED, 8ED, 9ED, ACR, AFR, AKH, AKR, ALA, ANA, ANB, ARC, ATH, AVR, BBD, BFZ, BLB, BRB, BRO, BTD, C13, C14, C15, C16, C17, C18, C19, CED, CEI, CHK, CLB, CLU, CM2, CMA, CMD, CMM, CMR, CST, DD1, DDD, DDE, DDG, DDH, DDJ, DDL, DDM, DDO, DDP, DDR, DDS, DDU, DFT, DKM, DMR, DMU, DOM, DPA, DSK, DTK, E01, ECL, ELD, EOE, EVG, FBB, FDN, FIC, FIN, FRF, G17, GK1, GK2, GN2, GN3, GNT, GRN, GS1, GVL, H09, HBG, HOP, HOU, ICE, IKO, INR, INV, ISD, ITP, J14, J22, J25, JMP, KHM, KLD, KLR, KTK, LCI, LEA, LEB, LRW, LTR, M10, M11, M12, M13, M14, M15, M19, M20, M21, MBS, ME1, ME3, MH2, MH3, MID, MIR, MKM, MMQ, MOM, MRD, NEO, NPH, ODY, OLEP, ONE, ONS, ORI, OTJ, P02, P23, PAL00, PAL01, PAL03, PAL04, PAL05, PAL06, PAL99, PALP, PANA, PARL, PC2, PCA, PELP, PF19, PF20, PGPX, PGRU, PIP, PL25, PLST, PMPS, PMPS06, PMPS07, PMPS08, PMPS09, PMPS10, PMPS11, POR, PPP1, PRM, PRW2, PRWK, PS11, PSAL, PSS2, PSS3, PSS4, PTC, PTK, PZ2, RAV, REX, RIX, RNA, ROE, RQS, RTR, S99, SCD, SHM, SIR, SLD, SLP, SNC, SOI, SOM, SPM, STX, SUM, TD0, TD2, TDM, THB, THS, TLA, TMP, TMT, TPR, TSP, UGL, UND, UNF, UNH, USG, UST, VOW, WAR, WC00, WC01, WC02, WC03, WC04, WC97, WC98, WC99, WHO, WOE, XANA, XLN, ZEN, ZNR</t>
  </si>
  <si>
    <t>{"nonfoil":["1eb46285-39db-5049-be86-bc2d50b91d77","57be20bf-5950-5969-b16b-047aaf6e5010","89a4fe76-d836-5b5c-bde4-49358f23810c","c654b999-069f-5af8-8e41-87d6282f9dfd"]}</t>
  </si>
  <si>
    <t>ea2a2ba8-dec2-55c7-af4a-2de52d404cc0, 0c1b7f25-d6cd-5897-bebf-003b5c97bb87</t>
  </si>
  <si>
    <t>{"nonfoil":["1db93605-0a4e-5e5b-80a2-18a6e177f51d"]}</t>
  </si>
  <si>
    <t>{"nonfoil":["96772e6d-0aba-5362-ab10-d5f3f6d23634","c901ab11-9d40-5fc1-a603-470b42f4b48b","fc38f6c9-a9a2-544a-9b76-1a3a007e5ea5"]}</t>
  </si>
  <si>
    <t>colorpie</t>
  </si>
  <si>
    <t>{"nonfoil":["b966f472-6bd1-55a5-9e13-235320a03bb2"]}</t>
  </si>
  <si>
    <t>{"foil":["16d143d9-e957-54bc-8344-87a7ed85666d","1fc1a634-d083-59eb-8194-2e6da14e912e","ad26d972-c187-5109-ba88-301a89762c34"],"nonfoil":["1fc1a634-d083-59eb-8194-2e6da14e912e","ad26d972-c187-5109-ba88-301a89762c34"],"etched":["16d143d9-e957-54bc-8344-87a7ed85666d","1fc1a634-d083-59eb-8194-2e6da14e912e","ad26d972-c187-5109-ba88-301a89762c34"]}</t>
  </si>
  <si>
    <t>{"foil":["62896f1f-8363-56ca-9453-5e71327a3f43","ff372bd0-1e42-53ef-aa53-46498eeb9248"],"nonfoil":["cf8e2e65-c19b-5af7-9f54-491020bd28ba","ff372bd0-1e42-53ef-aa53-46498eeb9248"]}</t>
  </si>
  <si>
    <t>{"foil":["1772b60a-f041-51d9-b86b-dc79d6b65070","c1fe2d1a-a7d0-5eb8-94dc-7379ad4414ee"],"nonfoil":["054a8581-a827-5b8b-a29b-eea32ad0f6a7","08053503-4a37-5707-ab7c-3e0984c6e749","0e8bd314-6d5b-53cb-a988-6e71a69a9a31","1772b60a-f041-51d9-b86b-dc79d6b65070","28298b47-d511-5582-81d2-e457561a8049","301a90fe-bd76-5fa7-910c-7cbe20c104c8","354609f4-fd88-541d-9399-0f08605a4600","9e700fb5-3cfd-5816-ba24-62d1b6ba40de","aa125eaf-d21d-5f1e-ad97-ae27f50e49d3","be3c045b-5ca3-56d5-a38a-c5f24b517ea6","d9885085-299e-5105-8a78-913d6a270c88","e6b67874-ea3e-5ff3-a415-fcef29455c2e"]}</t>
  </si>
  <si>
    <t>10E, 2ED, 2XM, 30A, 3ED, 40K, 4BB, 4ED, 5ED, 6ED, 7ED, 8ED, 9ED, ACR, AFR, AKH, AKR, ALA, ANA, ANB, ARC, ATH, AVR, BBD, BFZ, BLB, BRB, BRC, BRO, C13, C14, C15, C16, C17, C18, C19, CED, CEI, CHK, CLB, CLU, CM2, CMA, CMD, CMM, CMR, CST, DDC, DDE, DDF, DDG, DDH, DDI, DDK, DDL, DDN, DDO, DDP, DDQ, DFT, DMR, DMU, DOM, DSK, DTK, DVD, E01, ECL, ELD, EOE, FBB, FDN, FIC, FIN, FRF, G17, GK1, GK2, GN2, GN3, GNT, GRN, GS1, H09, HBG, HOP, HOU, ICE, IKO, INR, INV, ISD, ITP, J14, J22, J25, JMP, KHM, KLD, KLR, KTK, LCI, LEA, LEB, LRW, LTR, M10, M11, M12, M13, M14, M15, M19, M20, M21, MBS, MD1, ME1, ME3, MH2, MH3, MID, MIR, MKM, MMQ, MOM, MRD, NEO, NPH, ODY, OLEP, ONE, ONS, ORI, OTJ, P02, P23, PAL00, PAL01, PAL03, PAL04, PAL05, PAL06, PAL99, PALP, PANA, PARL, PC2, PCA, PDGM, PELP, PF19, PF20, PGPX, PGRU, PIP, PL26, PLST, PMPS, PMPS06, PMPS07, PMPS08, PMPS09, PMPS10, PMPS11, POR, PPP1, PRM, PRW2, PRWK, PS11, PSAL, PSS2, PSS3, PSS4, PTC, PTK, PZ2, RAV, REX, RIX, RNA, ROE, RQS, RTR, S99, SCD, SHM, SIR, SLD, SLP, SNC, SOI, SOM, SPM, STX, SUM, TD0, TD2, TDM, THB, THS, TLA, TLE, TMP, TMT, TPR, TSP, UGL, UND, UNF, UNH, USG, UST, VOW, WAR, WC00, WC02, WC03, WC04, WC97, WC98, WHO, WOE, XANA, XLN, ZEN, ZNR</t>
  </si>
  <si>
    <t>81789ad4-aed8-5a47-a03c-41bae1ec088c, a7627021-b739-583e-95be-68c2814578f7</t>
  </si>
  <si>
    <t>{"foil":["ef8281b6-54ab-578a-baec-62f5c79977c0","fc41a40e-dc96-5a40-b5f5-29e993d1a5e1"],"nonfoil":["20f4e2ee-2cf9-5248-b78b-067e2f8cdc03","8f1fcc1c-d6aa-5e8e-989d-0db882750641","ef8281b6-54ab-578a-baec-62f5c79977c0"]}</t>
  </si>
  <si>
    <t>{"foil":["6b307a92-0a52-5ecc-aaeb-1fa4180ec7ad"],"nonfoil":["7c02f937-ddc8-57af-9cf7-a09f7c0be1c3"]}</t>
  </si>
  <si>
    <t>{"foil":["16d143d9-e957-54bc-8344-87a7ed85666d","1fc1a634-d083-59eb-8194-2e6da14e912e","ad26d972-c187-5109-ba88-301a89762c34"],"nonfoil":["1fc1a634-d083-59eb-8194-2e6da14e912e","ad26d972-c187-5109-ba88-301a89762c34"]}</t>
  </si>
  <si>
    <t>{"foil":["65bc1540-791e-5561-b050-658c4e65e28f"],"nonfoil":["1c7870eb-5ce3-5be0-b0fb-644bfe832d14","65bc1540-791e-5561-b050-658c4e65e28f","b783fe2e-16f4-5dac-944a-73377ccfb2b8"]}</t>
  </si>
  <si>
    <t>{"foil":["65bc1540-791e-5561-b050-658c4e65e28f"],"nonfoil":["1c7870eb-5ce3-5be0-b0fb-644bfe832d14","65bc1540-791e-5561-b050-658c4e65e28f"]}</t>
  </si>
  <si>
    <t>{"foil":["c5cd29de-5ec9-5e13-b8eb-40e3a9f79f9a","c690e178-661d-5e17-9b29-a5bf6319a844"],"nonfoil":["4831adbb-c0af-5d27-b407-19f2f7805949","c690e178-661d-5e17-9b29-a5bf6319a844"]}</t>
  </si>
  <si>
    <t>{"brawl":false,"commander":false,"oathbreaker":true}</t>
  </si>
  <si>
    <t>{"foil":["37e28375-f5ba-51e8-8e11-b6830a33b669","508def12-08d0-5800-bc48-3615e04bed1e"],"nonfoil":["37e28375-f5ba-51e8-8e11-b6830a33b669","d0533d35-75aa-5764-8bd0-3f2c76d805ce","df4abe32-43a3-5e35-8809-3b9be9a54825"]}</t>
  </si>
  <si>
    <t>{"reverseRelated":["Acererak the Archlich","Aphemia, the Cacophony","Archdemon of Unx","Army of the Damned","Assemble the Rank and Vile","Awaken the Erstwhile","Bone Miser","Boneclad Necromancer","Bridge from Below","Captive Audience","Cellar Door","Cemetery Reaper","Cradle of the Accursed","Cryptbreaker","Cryptcaller Chariot","Curse of Disturbance","Curse of Shallow Graves","Dark Salvation","Death Tyrant","Diregraf Colossus","Doomed Dissenter","Drana's Chosen","Dread Summons","Drunau Corpse Trawler","Dunes of the Dead","Dying to Serve","Embalmed Ascendant","Empty the Pits","Endless Ranks of the Dead","Feast or Famine","Field of the Dead","From Under the Floorboards","Ghoulcaller Gisa","Ghoulcaller's Accomplice","Gisa's Bidding","Graf Harvest","Grave Titan","Gravedig","Graveyard Marshal","Grixis Slavedriver","Havengul Runebinder","Headless Rider","Hildibrand Manderville // Gentleman's Rise","Hour of Promise","Hour of Victory","Invasion of Innistrad // Deluge of the Dead","Kalitas, Traitor of Ghet","Lair of the Ashen Idol","Liliana's Devotee","Liliana's Mastery","Liliana's Reaver","Liliana, Death's Majesty","Liliana, Dreadhorde General","Liliana, Heretical Healer // Liliana, Defiant Necromancer","Liliana, the Last Hope","Liliana, the Last Hope Emblem","Maalfeld Twins","Magus of the Bridge","Midnight Ritual","Moan of the Unhallowed","Necromancer's Covenant","Necromancer's Stockpile","Necromaster Dragon","Necromentia","Necrotic Hex","Never // Return","Nevinyrral, Urborg Tyrant","Noosegraf Mob","Null Caller","Oath of Liliana","Oglor, Devoted Assistant","Open the Graves","Overseer of the Damned","Rakshasa Gravecaller","Rank Officer","Reap the Seagraf","Rise from the Tides","Risen Necroregent","Rotlung Reanimator","Rotted Ones, Lay Siege","Sarcomancy","Shamble Back","Sidisi, Brood Tyrant","Skull Skaab","Stir the Sands","Suspicious Shambler","Syphon Flesh","The Book of Vile Darkness","The Fourth Sphere","The Necrobloom","Tobias, Doomed Conqueror","Tormod, the Desecrator","Tymaret Calls the Dead","Undead Alchemist","Undead Servant","Unscythe, Killer of Kings","Varina, Lich Queen","Vile Rebirth","Wakedancer","Wand of Orcus","Waste Not","Wight","Xathrid Necromancer","Zahur, Glory's Past","Zombie Infestation"]}</t>
  </si>
  <si>
    <t>Acererak the Archlich, Aphemia, the Cacophony, Archdemon of Unx, Army of the Damned, Assemble the Rank and Vile, Awaken the Erstwhile, Bone Miser, Boneclad Necromancer, Bridge from Below, Captive Audience, Cellar Door, Cemetery Reaper, Cradle of the Accursed, Cryptbreaker, Cryptcaller Chariot, Curse of Disturbance, Curse of Shallow Graves, Dark Salvation, Death Tyrant, Diregraf Colossus, Doomed Dissenter, Drana's Chosen, Dread Summons, Drunau Corpse Trawler, Dunes of the Dead, Dying to Serve, Embalmed Ascendant, Empty the Pits, Endless Ranks of the Dead, Feast or Famine, Field of the Dead, From Under the Floorboards, Ghoulcaller Gisa, Ghoulcaller's Accomplice, Gisa's Bidding, Graf Harvest, Grave Titan, Gravedig, Graveyard Marshal, Grixis Slavedriver, Havengul Runebinder, Headless Rider, Hildibrand Manderville // Gentleman's Rise, Hour of Promise, Hour of Victory, Invasion of Innistrad // Deluge of the Dead, Kalitas, Traitor of Ghet, Lair of the Ashen Idol, Liliana's Devotee, Liliana's Mastery, Liliana's Reaver, Liliana, Death's Majesty, Liliana, Dreadhorde General, Liliana, Heretical Healer // Liliana, Defiant Necromancer, Liliana, the Last Hope, Liliana, the Last Hope Emblem, Maalfeld Twins, Magus of the Bridge, Midnight Ritual, Moan of the Unhallowed, Necromancer's Covenant, Necromancer's Stockpile, Necromaster Dragon, Necromentia, Necrotic Hex, Never // Return, Nevinyrral, Urborg Tyrant, Noosegraf Mob, Null Caller, Oath of Liliana, Oglor, Devoted Assistant, Open the Graves, Overseer of the Damned, Rakshasa Gravecaller, Rank Officer, Reap the Seagraf, Rise from the Tides, Risen Necroregent, Rotlung Reanimator, Rotted Ones, Lay Siege, Sarcomancy, Shamble Back, Sidisi, Brood Tyrant, Skull Skaab, Stir the Sands, Suspicious Shambler, Syphon Flesh, The Book of Vile Darkness, The Fourth Sphere, The Necrobloom, Tobias, Doomed Conqueror, Tormod, the Desecrator, Tymaret Calls the Dead, Undead Alchemist, Undead Servant, Unscythe, Killer of Kings, Varina, Lich Queen, Vile Rebirth, Wakedancer, Wand of Orcus, Waste Not, Wight, Xathrid Necromancer, Zahur, Glory's Past, Zombie Infestation</t>
  </si>
  <si>
    <t>U, R</t>
  </si>
  <si>
    <t>{"reverseRelated":["Otterball Antics","Ral, Crackling Wit","Stormchaser's Talent"]}</t>
  </si>
  <si>
    <t>{"reverseRelated":["Dog Walker","Hunted Bonebrute","Krovod Haunch","Release the Dogs","Rin and Seri, Inseparable"]}</t>
  </si>
  <si>
    <t>Dog Walker, Hunted Bonebrute, Krovod Haunch, Release the Dogs, Rin and Seri, Inseparable</t>
  </si>
  <si>
    <t>{"reverseRelated":["Burn Down the House","Dance with Devils","Devils' Playground","I Call for Slaughter","Maestros Diabolist","Make Mischief","Ob Nixilis, the Adversary","Pugnacious Pugilist","Raphael, Fiendish Savior","Spiked Corridor // Torture Pit","Tibalt, Rakish Instigator","Tibalt, Wicked Tormentor","You Exist Only to Amuse","Zariel, Archduke of Avernus","Zurzoth, Chaos Rider"]}</t>
  </si>
  <si>
    <t>{"reverseRelated":["Verix Bladewing"]}</t>
  </si>
  <si>
    <t>{"reverseRelated":["A Killer Among Us","Ainok Strike Leader","Ardoz, Cobbler of War","Battle Cry Goblin","Beetleback Chief","Blast from the Past","Box of Free-Range Goblins","Den of the Bugbear","Dragon Fodder","Empty the Warrens","Frontline Rush","Garbage Elemental","General Kreat, the Boltbringer","Gift Horse","Goblin Assault","Goblin Gang Leader","Goblin Gathering","Goblin Goliath","Goblin Instigator","Goblin Marshal","Goblin Morningstar","Goblin Negotiation","Goblin Offensive","Goblin Rabblemaster","Goblin Rally","Goblin Surprise","Goblin Traprunner","Goblin War Party","Goblin Warrens","Goblinslide","Hordeling Outburst","Howlsquad Heavy","Hunted Phantasm","Ib Halfheart, Goblin Tactician","Jund","Kathari Bomber","Krenko's Command","Krenko, Baron of Tin Street","Krenko, Mob Boss","Krenko, Tin Street Kingpin","Kuldotha Rebirth","Legion Warboss","Lost Mine of Phandelver","Mardu Ascendancy","Mogg Alarm","Mogg Infestation","Mogg War Marshal","Neriv, Crackling Vanguard","Pashalik Mons","Ponyback Brigade","Rasputin, the Oneiromancer","Rulik Mons, Warren Chief","Sarpadian Empires, Vol. VII","Searslicer Goblin","Siege-Gang Commander","Siege-Gang Lieutenant","Sling-Gang Lieutenant","Squee, Dubious Monarch","Survey the Wreckage","Swarming Goblins","Tin Street Cadet","Underfoot Underdogs","Warbreak Trumpeter","Windcrag Siege","You See a Pair of Goblins"]}</t>
  </si>
  <si>
    <t>A Killer Among Us, Ainok Strike Leader, Ardoz, Cobbler of War, Battle Cry Goblin, Beetleback Chief, Blast from the Past, Box of Free-Range Goblins, Den of the Bugbear, Dragon Fodder, Empty the Warrens, Frontline Rush, Garbage Elemental, General Kreat, the Boltbringer, Gift Horse, Goblin Assault, Goblin Gang Leader, Goblin Gathering, Goblin Goliath, Goblin Instigator, Goblin Marshal, Goblin Morningstar, Goblin Negotiation, Goblin Offensive, Goblin Rabblemaster, Goblin Rally, Goblin Surprise, Goblin Traprunner, Goblin War Party, Goblin Warrens, Goblinslide, Hordeling Outburst, Howlsquad Heavy, Hunted Phantasm, Ib Halfheart, Goblin Tactician, Jund, Kathari Bomber, Krenko's Command, Krenko, Baron of Tin Street, Krenko, Mob Boss, Krenko, Tin Street Kingpin, Kuldotha Rebirth, Legion Warboss, Lost Mine of Phandelver, Mardu Ascendancy, Mogg Alarm, Mogg Infestation, Mogg War Marshal, Neriv, Crackling Vanguard, Pashalik Mons, Ponyback Brigade, Rasputin, the Oneiromancer, Rulik Mons, Warren Chief, Sarpadian Empires, Vol. VII, Searslicer Goblin, Siege-Gang Commander, Siege-Gang Lieutenant, Sling-Gang Lieutenant, Squee, Dubious Monarch, Survey the Wreckage, Swarming Goblins, Tin Street Cadet, Underfoot Underdogs, Warbreak Trumpeter, Windcrag Siege, You See a Pair of Goblins</t>
  </si>
  <si>
    <t>Revised</t>
  </si>
  <si>
    <t>Amonkhet</t>
  </si>
  <si>
    <t>TAKH</t>
  </si>
  <si>
    <t>Modern Horizons Block</t>
  </si>
  <si>
    <t>Universes Beyond: Doctor Who: Extras</t>
  </si>
  <si>
    <t>If this spell is the first spell you've cast this game, you may cast it without paying its mana cost.
Look at the top five cards of your library. You may reveal a creature or land card from among them and put it into your hand. Put the rest on the bottom of your library in a random order.</t>
  </si>
  <si>
    <t>Flash
Enrage — Whenever this creature is dealt damage, put a +1/+1 counter on it. (It must survive the damage to get the counter.)</t>
  </si>
  <si>
    <t>"When we were lost and weary, the ainok showed us how to survive. They have earned the right to call themselves Abzan, and to wear the Scale."
—Anafenza, khan of the Abzan</t>
  </si>
  <si>
    <t>Flying, first strike, vigilance, lifelink
Your opponents can't cast spells with converted mana cost 3 or less.</t>
  </si>
  <si>
    <t>Flying, first strike, vigilance, lifelink
Your opponents can't cast spells with mana value 3 or less.</t>
  </si>
  <si>
    <t>Whenever you draw your second card each turn, each opponent loses 2 life and you gain 2 life.
When this creature dies, return another target creature card with mana value 3 or less from your graveyard to the battlefield.</t>
  </si>
  <si>
    <t>"I never thought I'd miss the gomazoa."
—Trinda, Hada spy patrol</t>
  </si>
  <si>
    <t>Devoid (This card has no color.)
Flying
Whenever you cast a colorless spell, target opponent exiles the top card of his or her library.</t>
  </si>
  <si>
    <t>Devoid (This card has no color.)
Flying
Whenever you cast a colorless spell, target opponent exiles the top card of their library.</t>
  </si>
  <si>
    <t>Haste
When Glarewielder comes into play, up to two target creatures can't block this turn.
Evoke {1R} (You may play this spell for its evoke cost. If you do, it's sacrificed when it comes into play.)</t>
  </si>
  <si>
    <t>Haste
When this creature enters, up to two target creatures can't block this turn.
Evoke {1}{R} (You may cast this spell for its evoke cost. If you do, it's sacrificed when it enters.)</t>
  </si>
  <si>
    <t>Προστάτης
Σωκράτης, Ἀθηναῖος διδάσκαλος οὐ μαγείαις διωκτός, ὅσονπερ δύναμις αὕτη ἄθικτός ἐστι.
Σωκρατικός διάλογος — {T}: Ἄχρι σειρᾶς τέλους, διωκτέον ὂν λαμβάνει «Ἐάν τόδε ὂν ζημίαν παίκτη ποιεῖ, αποτρέψων ταύτην ζημίαν. Κύριος τοῦδε ὄντος καὶ παίκτης ἐκεῖνος λαμβάνουσιν ἕκαστος χαρτία ὅσον τὸ ἥμισυ τῆς ζημίας».</t>
  </si>
  <si>
    <t>Defender
Sokrates has hexproof as long as it's untapped.
Sokratic Dialogue — {T}: Until end of turn, target creature gains "If this creature would deal combat damage to a player, prevent that damage. This creature's controller and that player each draw half that many cards, rounded down."</t>
  </si>
  <si>
    <t>Kicker {4} (You may pay an additional {4} as you play this spell.)
Target player discards a card from his or her hand. If you paid the kicker cost, that player discards three cards from his or her hand instead.</t>
  </si>
  <si>
    <t>Kicker {4} (You may pay an additional {4} as you cast this spell.)
Target player discards a card. If this spell was kicked, that player discards three cards instead.</t>
  </si>
  <si>
    <t>Enchant creature
Enchanted creature gets -2/-2.</t>
  </si>
  <si>
    <t>Flying, first strike, lifelink
At the beginning of your end step, if you both own and control Gisela, the Broken Blade and a creature named Bruna, the Fading Light, exile them, then meld them into Brisela, Voice of Nightmares.</t>
  </si>
  <si>
    <t>Flying, first strike, lifelink
At the beginning of your end step, if you both own and control Gisela and a creature named Bruna, the Fading Light, exile them, then meld them into Brisela, Voice of Nightmares.</t>
  </si>
  <si>
    <t>"Don't be fooled. If it were as docile as it looks, it would've died off long ago."
—Yon Basrel, Oran-Rief survivalist</t>
  </si>
  <si>
    <t>When you cast Bruna, the Fading Light, you may return target Angel or Human creature card from your graveyard to the battlefield.
Flying, vigilance
(Melds with Gisela, the Broken Blade.)</t>
  </si>
  <si>
    <t>When you cast this spell, you may return target Angel or Human creature card from your graveyard to the battlefield.
Flying, vigilance
(Melds with Gisela, the Broken Blade.)</t>
  </si>
  <si>
    <t>Changeling (This card is every creature type.)
As this creature enters, choose a creature type.
You may look at the top card of your library any time.
You may cast creature spells of the chosen type from the top of your library.</t>
  </si>
  <si>
    <t>"A great wave crashed, and a mighty wind blew out the stars."
—*The Cosmogony*</t>
  </si>
  <si>
    <t>Destroy target creature or planeswalker. // Aftermath (Cast this spell only from your graveyard. Then exile it.)
Exile target card from a graveyard. Create a 2/2 black Zombie creature token.</t>
  </si>
  <si>
    <t>Aftermath (Cast this spell only from your graveyard. Then exile it.)
Exile target card from a graveyard. Create a 2/2 black Zombie creature token.</t>
  </si>
  <si>
    <t>Reach (This creature can block creatures with flying.)
You may play lands from your graveyard.
If a land entering the battlefield causes a triggered ability of a permanent you control to trigger, that ability triggers an additional time.</t>
  </si>
  <si>
    <t>Reach (This creature can block creatures with flying.)
You may play lands from your graveyard.
If a land entering causes a triggered ability of a permanent you control to trigger, that ability triggers an additional time.</t>
  </si>
  <si>
    <t>During your upkeep, put a spore counter on Thallid Devourer.
{0}: Remove three spore counters from Thallid Devourer to put a Saproling token into play. Treat this token as a 1/1 green creature.
{0}: Sacrifice a Saproling to give Thallid Devourer +1/+2 until end of turn.</t>
  </si>
  <si>
    <t>At the beginning of your upkeep, put a spore counter on this creature.
Remove three spore counters from this creature: Create a 1/1 green Saproling creature token.
Sacrifice a Saproling: This creature gets +1/+2 until end of turn.</t>
  </si>
  <si>
    <t>"All things must eat, after all. Even the air can hunger."
—Gemma, Willow Priestess</t>
  </si>
  <si>
    <t>{1}, {T}, Sacrifice a creature: You gain 4 life.
{1}, {T}, Sacrifice a creature named Festering Newt: Each opponent loses 4 life. You gain life equal to the life lost this way.</t>
  </si>
  <si>
    <t>Paradox — Whenever you cast a spell from anywhere other than your hand, put a +1/+1 counter on target creature.
Team TARDIS — At the beginning of your end step, untap each creature you control with a counter on it.</t>
  </si>
  <si>
    <t>Provoke (Whenever this creature attacks, you may have target creature defending player controls untap and block it if able.)
{1}{W}: Prevent all combat damage that would be dealt to and dealt by this creature this turn.</t>
  </si>
  <si>
    <t>"It moved this way, an' that way, an' then before I could stick it, it jumped over my head an' was gone."
—Jula, goblin raider</t>
  </si>
  <si>
    <t>Flying
When this creature enters, exile all Zombies, then return all Human creature cards from your graveyard to the battlefield.</t>
  </si>
  <si>
    <t>You may discard a Mountain card rather than pay this spell's mana cost.
Flameshot deals 3 damage divided as you choose among one, two, or three target creatures.</t>
  </si>
  <si>
    <t>(Walls can't attack.)
ocT: Target creature gets +0/+4 until end of turn.</t>
  </si>
  <si>
    <t>Defender (This creature can't attack.)
{T}: Target creature gets +0/+4 until end of turn.</t>
  </si>
  <si>
    <t>+2: Scry 2.
0: Look at the top card of your library. If it's a land card or a creature card with converted mana cost less than or equal to the number of loyalty counters on Nissa, Steward of Elements, you may put that card onto the battlefield.
−6: Untap up to two target lands you control. They become 5/5 Elemental creatures with flying and haste until end of turn. They're still lands.</t>
  </si>
  <si>
    <t>[+2]: Scry 2.
[0]: Look at the top card of your library. If it's a land card or a creature card with mana value less than or equal to the number of loyalty counters on Nissa, you may put that card onto the battlefield.
[−6]: Untap up to two target lands you control. They become 5/5 Elemental creatures with flying and haste until end of turn. They're still lands.</t>
  </si>
  <si>
    <t>Devoid (This card has no color.)
Ingest (Whenever this creature deals combat damage to a player, that player exiles the top card of their library.)</t>
  </si>
  <si>
    <t>"Justice isn't done until undeath is undone."</t>
  </si>
  <si>
    <t>"Until end of turn" and "this turn" effects don't end.</t>
  </si>
  <si>
    <t>Gerrard offered no defense to Orim's condemnation; the mission was under his command, and he was responsible.</t>
  </si>
  <si>
    <t>BLB</t>
  </si>
  <si>
    <t>Bloomburrow</t>
  </si>
  <si>
    <t>DOM</t>
  </si>
  <si>
    <t>Dominaria</t>
  </si>
  <si>
    <t>DAR</t>
  </si>
  <si>
    <t>DSC</t>
  </si>
  <si>
    <t>Duskmourn: House of Horror Commander</t>
  </si>
  <si>
    <t>DSK</t>
  </si>
  <si>
    <t>Commander: Duskmourn: House of Horror</t>
  </si>
  <si>
    <t>M11</t>
  </si>
  <si>
    <t>Magic 2011</t>
  </si>
  <si>
    <t>M3C</t>
  </si>
  <si>
    <t>Modern Horizons 3 Commander</t>
  </si>
  <si>
    <t>Commander: Modern Horizons 3: Extras</t>
  </si>
  <si>
    <t>MKM</t>
  </si>
  <si>
    <t>Murders at Karlov Manor</t>
  </si>
  <si>
    <t>Leesha Hannigan</t>
  </si>
  <si>
    <t>0c5d1acd-714b-4e7a-b7bf-e3450b305337</t>
  </si>
  <si>
    <t>Cat</t>
  </si>
  <si>
    <t>TM21-20</t>
  </si>
  <si>
    <t>{"reverseRelated":["Rin and Seri, Inseparable","Waiting in the Weeds"]}</t>
  </si>
  <si>
    <t>Rin and Seri, Inseparable, Waiting in the Weeds</t>
  </si>
  <si>
    <t>Token Creature — Cat</t>
  </si>
  <si>
    <t>07299c29-bc9b-5a48-b885-deb5ab41f49c</t>
  </si>
  <si>
    <t>6081d8fd-26e1-5e6a-9c98-417d03214856, 5bb79a0f-ad7d-5383-8c9d-04bc757bcb4f</t>
  </si>
  <si>
    <t>{"tokens":["95f36818-6a89-5a1e-9821-03016d94f604"]}</t>
  </si>
  <si>
    <t>{"tokens":["f56f2a01-4e9f-529c-b866-aa51214e6ba0"]}</t>
  </si>
  <si>
    <t>Battle for Baldur's Gate Art Series</t>
  </si>
  <si>
    <t>Assassin's Creed</t>
  </si>
  <si>
    <t>Urza's Saga</t>
  </si>
  <si>
    <t>Wylie Beckert</t>
  </si>
  <si>
    <t>074daf3d-0849-4c4a-b5a5-c276384e81e5</t>
  </si>
  <si>
    <t>Season of Weaving</t>
  </si>
  <si>
    <t>Season of Weaving // Season of Weaving</t>
  </si>
  <si>
    <t>12</t>
  </si>
  <si>
    <t>aa58de39-347e-5228-b381-0ece08608070</t>
  </si>
  <si>
    <t>ABLB</t>
  </si>
  <si>
    <t>2d1d135f-3384-5ce1-85b4-bc3aa05d9ce0</t>
  </si>
  <si>
    <t>Julie Dillon</t>
  </si>
  <si>
    <t>ce8605ad-6d5a-45a3-a7b6-84be4f5209cd</t>
  </si>
  <si>
    <t>Bloom Tender</t>
  </si>
  <si>
    <t>Bloom Tender // Bloom Tender</t>
  </si>
  <si>
    <t>54</t>
  </si>
  <si>
    <t>93c8adfe-6a83-5376-9ccf-53c8966b8a3d</t>
  </si>
  <si>
    <t>AFDN</t>
  </si>
  <si>
    <t>928521d7-c94d-59c8-90e5-a2698afab4ac</t>
  </si>
  <si>
    <t>Bloomburrow Art Series</t>
  </si>
  <si>
    <t>Foundations Art Series</t>
  </si>
  <si>
    <t>Finishes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</si>
</sst>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139">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EB2C1431-CB1E-48CB-A9C4-4847C5975FB7}" autoFormatId="16" applyNumberFormats="0" applyBorderFormats="0" applyFontFormats="0" applyPatternFormats="0" applyAlignmentFormats="0" applyWidthHeightFormats="0">
  <queryTableRefresh nextId="40">
    <queryTableFields count="20">
      <queryTableField id="4" name="code" tableColumnId="4"/>
      <queryTableField id="16" name="name" tableColumnId="16"/>
      <queryTableField id="15" name="mtgoCode" tableColumnId="15"/>
      <queryTableField id="2" name="block" tableColumnId="2"/>
      <queryTableField id="20" name="tokenSetCode" tableColumnId="20"/>
      <queryTableField id="18" name="releaseDate" tableColumnId="18"/>
      <queryTableField id="22" name="type" tableColumnId="22"/>
      <queryTableField id="8" name="isOnlineOnly" tableColumnId="8"/>
      <queryTableField id="5" name="isFoilOnly" tableColumnId="5"/>
      <queryTableField id="19" name="tcgplayerGroupId" tableColumnId="19"/>
      <queryTableField id="7" name="isNonFoilOnly" tableColumnId="7"/>
      <queryTableField id="17" name="parentCode" tableColumnId="17"/>
      <queryTableField id="21" name="totalSetSize" tableColumnId="21"/>
      <queryTableField id="1" name="baseSetSize" tableColumnId="1"/>
      <queryTableField id="10" name="keyruneCode" tableColumnId="10"/>
      <queryTableField id="12" name="mcmId" tableColumnId="12"/>
      <queryTableField id="14" name="mcmName" tableColumnId="14"/>
      <queryTableField id="13" name="mcmIdExtras" tableColumnId="13"/>
      <queryTableField id="6" name="isForeignOnly" tableColumnId="6"/>
      <queryTableField id="9" name="isPartialPreview"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DDAE338-2603-4DE6-ABB9-04B371F89B31}" autoFormatId="16" applyNumberFormats="0" applyBorderFormats="0" applyFontFormats="0" applyPatternFormats="0" applyAlignmentFormats="0" applyWidthHeightFormats="0">
  <queryTableRefresh nextId="8">
    <queryTableFields count="7">
      <queryTableField id="1" name="id" tableColumnId="1"/>
      <queryTableField id="2" name="uuid" tableColumnId="2"/>
      <queryTableField id="3" name="cardsOwned" tableColumnId="3"/>
      <queryTableField id="4" name="cardsForTrade" tableColumnId="4"/>
      <queryTableField id="5" name="condition" tableColumnId="5"/>
      <queryTableField id="6" name="language" tableColumnId="6"/>
      <queryTableField id="7" name="finish"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A232CB4D-530E-40BD-8829-A14A2AB7657C}" autoFormatId="16" applyNumberFormats="0" applyBorderFormats="0" applyFontFormats="0" applyPatternFormats="0" applyAlignmentFormats="0" applyWidthHeightFormats="0">
  <queryTableRefresh nextId="89">
    <queryTableFields count="51">
      <queryTableField id="1" name="artist" tableColumnId="1"/>
      <queryTableField id="2" name="artistIds" tableColumnId="2"/>
      <queryTableField id="3" name="asciiName" tableColumnId="3"/>
      <queryTableField id="79" name="attractionLights" tableColumnId="32"/>
      <queryTableField id="4" name="availability" tableColumnId="4"/>
      <queryTableField id="5" name="boosterTypes" tableColumnId="5"/>
      <queryTableField id="6" name="borderColor" tableColumnId="6"/>
      <queryTableField id="7" name="colorIdentity" tableColumnId="7"/>
      <queryTableField id="80" name="colorIndicator" tableColumnId="50"/>
      <queryTableField id="8" name="colors" tableColumnId="8"/>
      <queryTableField id="9" name="edhrecSaltiness" tableColumnId="9"/>
      <queryTableField id="10" name="faceName" tableColumnId="10"/>
      <queryTableField id="11" name="finishes" tableColumnId="11"/>
      <queryTableField id="12" name="flavorName" tableColumnId="12"/>
      <queryTableField id="13" name="flavorText" tableColumnId="13"/>
      <queryTableField id="14" name="frameEffects" tableColumnId="14"/>
      <queryTableField id="15" name="frameVersion" tableColumnId="15"/>
      <queryTableField id="18" name="isFullArt" tableColumnId="18"/>
      <queryTableField id="19" name="isFunny" tableColumnId="19"/>
      <queryTableField id="20" name="isOversized" tableColumnId="20"/>
      <queryTableField id="21" name="isPromo" tableColumnId="21"/>
      <queryTableField id="22" name="isReprint" tableColumnId="22"/>
      <queryTableField id="23" name="isTextless" tableColumnId="23"/>
      <queryTableField id="24" name="keywords" tableColumnId="24"/>
      <queryTableField id="25" name="language" tableColumnId="25"/>
      <queryTableField id="26" name="layout" tableColumnId="26"/>
      <queryTableField id="27" name="manaCost" tableColumnId="27"/>
      <queryTableField id="28" name="name" tableColumnId="28"/>
      <queryTableField id="29" name="number" tableColumnId="29"/>
      <queryTableField id="30" name="orientation" tableColumnId="30"/>
      <queryTableField id="31" name="originalText" tableColumnId="31"/>
      <queryTableField id="33" name="otherFaceIds" tableColumnId="33"/>
      <queryTableField id="34" name="power" tableColumnId="34"/>
      <queryTableField id="81" name="printedType" tableColumnId="51"/>
      <queryTableField id="82" name="producedMana" tableColumnId="52"/>
      <queryTableField id="35" name="promoTypes" tableColumnId="35"/>
      <queryTableField id="36" name="relatedCards" tableColumnId="36"/>
      <queryTableField id="37" name="reverseRelated" tableColumnId="37"/>
      <queryTableField id="38" name="securityStamp" tableColumnId="38"/>
      <queryTableField id="39" name="setCode" tableColumnId="39"/>
      <queryTableField id="40" name="side" tableColumnId="40"/>
      <queryTableField id="41" name="signature" tableColumnId="41"/>
      <queryTableField id="83" name="sourceProducts" tableColumnId="53"/>
      <queryTableField id="42" name="subtypes" tableColumnId="42"/>
      <queryTableField id="43" name="supertypes" tableColumnId="43"/>
      <queryTableField id="44" name="text" tableColumnId="44"/>
      <queryTableField id="45" name="toughness" tableColumnId="45"/>
      <queryTableField id="46" name="type" tableColumnId="46"/>
      <queryTableField id="47" name="types" tableColumnId="47"/>
      <queryTableField id="48" name="uuid" tableColumnId="48"/>
      <queryTableField id="49" name="watermark" tableColumnId="4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098424E4-1443-404C-8585-5866855F8B99}" autoFormatId="16" applyNumberFormats="0" applyBorderFormats="0" applyFontFormats="0" applyPatternFormats="0" applyAlignmentFormats="0" applyWidthHeightFormats="0">
  <queryTableRefresh nextId="83">
    <queryTableFields count="80">
      <queryTableField id="1" name="artist" tableColumnId="1"/>
      <queryTableField id="2" name="artistIds" tableColumnId="2"/>
      <queryTableField id="3" name="asciiName" tableColumnId="3"/>
      <queryTableField id="4" name="attractionLights" tableColumnId="4"/>
      <queryTableField id="5" name="availability" tableColumnId="5"/>
      <queryTableField id="6" name="boosterTypes" tableColumnId="6"/>
      <queryTableField id="7" name="borderColor" tableColumnId="7"/>
      <queryTableField id="8" name="cardParts" tableColumnId="8"/>
      <queryTableField id="9" name="colorIdentity" tableColumnId="9"/>
      <queryTableField id="10" name="colorIndicator" tableColumnId="10"/>
      <queryTableField id="11" name="colors" tableColumnId="11"/>
      <queryTableField id="12" name="defense" tableColumnId="12"/>
      <queryTableField id="13" name="duelDeck" tableColumnId="13"/>
      <queryTableField id="14" name="edhrecRank" tableColumnId="14"/>
      <queryTableField id="15" name="edhrecSaltiness" tableColumnId="15"/>
      <queryTableField id="16" name="faceConvertedManaCost" tableColumnId="16"/>
      <queryTableField id="17" name="faceFlavorName" tableColumnId="17"/>
      <queryTableField id="18" name="faceManaValue" tableColumnId="18"/>
      <queryTableField id="19" name="faceName" tableColumnId="19"/>
      <queryTableField id="20" name="facePrintedName" tableColumnId="20"/>
      <queryTableField id="21" name="finishes" tableColumnId="21"/>
      <queryTableField id="22" name="flavorName" tableColumnId="22"/>
      <queryTableField id="23" name="flavorText" tableColumnId="23"/>
      <queryTableField id="24" name="frameEffects" tableColumnId="24"/>
      <queryTableField id="25" name="frameVersion" tableColumnId="25"/>
      <queryTableField id="26" name="hand" tableColumnId="26"/>
      <queryTableField id="27" name="hasAlternativeDeckLimit" tableColumnId="27"/>
      <queryTableField id="28" name="hasContentWarning" tableColumnId="28"/>
      <queryTableField id="31" name="isAlternative" tableColumnId="31"/>
      <queryTableField id="32" name="isFullArt" tableColumnId="32"/>
      <queryTableField id="33" name="isFunny" tableColumnId="33"/>
      <queryTableField id="34" name="isGameChanger" tableColumnId="34"/>
      <queryTableField id="35" name="isOnlineOnly" tableColumnId="35"/>
      <queryTableField id="36" name="isOversized" tableColumnId="36"/>
      <queryTableField id="37" name="isPromo" tableColumnId="37"/>
      <queryTableField id="38" name="isRebalanced" tableColumnId="38"/>
      <queryTableField id="39" name="isReprint" tableColumnId="39"/>
      <queryTableField id="40" name="isReserved" tableColumnId="40"/>
      <queryTableField id="41" name="isStorySpotlight" tableColumnId="41"/>
      <queryTableField id="42" name="isTextless" tableColumnId="42"/>
      <queryTableField id="43" name="isTimeshifted" tableColumnId="43"/>
      <queryTableField id="44" name="keywords" tableColumnId="44"/>
      <queryTableField id="45" name="language" tableColumnId="45"/>
      <queryTableField id="46" name="layout" tableColumnId="46"/>
      <queryTableField id="47" name="leadershipSkills" tableColumnId="47"/>
      <queryTableField id="48" name="life" tableColumnId="48"/>
      <queryTableField id="49" name="loyalty" tableColumnId="49"/>
      <queryTableField id="50" name="manaCost" tableColumnId="50"/>
      <queryTableField id="51" name="manaValue" tableColumnId="51"/>
      <queryTableField id="52" name="name" tableColumnId="52"/>
      <queryTableField id="53" name="number" tableColumnId="53"/>
      <queryTableField id="54" name="originalPrintings" tableColumnId="54"/>
      <queryTableField id="55" name="originalReleaseDate" tableColumnId="55"/>
      <queryTableField id="56" name="originalText" tableColumnId="56"/>
      <queryTableField id="57" name="otherFaceIds" tableColumnId="57"/>
      <queryTableField id="58" name="power" tableColumnId="58"/>
      <queryTableField id="59" name="printedName" tableColumnId="59"/>
      <queryTableField id="60" name="printedText" tableColumnId="60"/>
      <queryTableField id="61" name="printedType" tableColumnId="61"/>
      <queryTableField id="62" name="printings" tableColumnId="62"/>
      <queryTableField id="63" name="producedMana" tableColumnId="63"/>
      <queryTableField id="64" name="promoTypes" tableColumnId="64"/>
      <queryTableField id="65" name="rarity" tableColumnId="65"/>
      <queryTableField id="66" name="rebalancedPrintings" tableColumnId="66"/>
      <queryTableField id="67" name="relatedCards" tableColumnId="67"/>
      <queryTableField id="68" name="securityStamp" tableColumnId="68"/>
      <queryTableField id="69" name="setCode" tableColumnId="69"/>
      <queryTableField id="70" name="side" tableColumnId="70"/>
      <queryTableField id="71" name="signature" tableColumnId="71"/>
      <queryTableField id="72" name="sourceProducts" tableColumnId="72"/>
      <queryTableField id="73" name="subsets" tableColumnId="73"/>
      <queryTableField id="74" name="subtypes" tableColumnId="74"/>
      <queryTableField id="75" name="supertypes" tableColumnId="75"/>
      <queryTableField id="76" name="text" tableColumnId="76"/>
      <queryTableField id="77" name="toughness" tableColumnId="77"/>
      <queryTableField id="78" name="type" tableColumnId="78"/>
      <queryTableField id="79" name="types" tableColumnId="79"/>
      <queryTableField id="80" name="uuid" tableColumnId="80"/>
      <queryTableField id="81" name="variations" tableColumnId="81"/>
      <queryTableField id="82" name="watermark" tableColumnId="82"/>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4E68243-92F7-4315-8CD9-553D01FEA78C}" name="AllCardsViz" displayName="AllCardsViz" ref="A1:I78" totalsRowShown="0">
  <autoFilter ref="A1:I78" xr:uid="{34E68243-92F7-4315-8CD9-553D01FEA78C}"/>
  <sortState xmlns:xlrd2="http://schemas.microsoft.com/office/spreadsheetml/2017/richdata2" ref="A2:H78">
    <sortCondition ref="E1:E78"/>
  </sortState>
  <tableColumns count="9">
    <tableColumn id="1" xr3:uid="{D874ACCE-E71D-44C2-896A-0FCD5525A1F7}" name="uuid" dataDxfId="138">
      <calculatedColumnFormula array="1">IFERROR(INDEX(_xlfn.VSTACK(cards[uuid],tokens[uuid]), ROW()-ROW($A$1)),"")</calculatedColumnFormula>
    </tableColumn>
    <tableColumn id="2" xr3:uid="{3637D0FD-EFA9-4458-BFC9-D22D62072579}" name="Name" dataDxfId="137">
      <calculatedColumnFormula>IFERROR(_xlfn.IFNA(INDEX(cards[],MATCH(AllCardsViz[[#This Row],[uuid]],cards[uuid],0),50),INDEX(tokens[],MATCH(AllCardsViz[[#This Row],[uuid]],tokens[uuid],0),28)),"")</calculatedColumnFormula>
    </tableColumn>
    <tableColumn id="3" xr3:uid="{C22D6FB1-C75A-4465-AEB6-7FCFFBC05E67}" name="Rarity" dataDxfId="136">
      <calculatedColumnFormula>IFERROR(_xlfn.IFNA(INDEX(cards[],MATCH(AllCardsViz[[#This Row],[uuid]],cards[uuid],0),63),""),"")</calculatedColumnFormula>
    </tableColumn>
    <tableColumn id="4" xr3:uid="{D01260F6-5F67-4745-BA62-3D1455486838}" name="Setcode" dataDxfId="135">
      <calculatedColumnFormula>IFERROR(_xlfn.IFNA(INDEX(cards[],MATCH(AllCardsViz[[#This Row],[uuid]],cards[uuid],0),67),INDEX(tokens[],MATCH(AllCardsViz[[#This Row],[uuid]],tokens[uuid],0),40)),"")</calculatedColumnFormula>
    </tableColumn>
    <tableColumn id="5" xr3:uid="{7A2F5F33-97AC-440B-9321-969380360320}" name="Side" dataDxfId="134">
      <calculatedColumnFormula>IFERROR(_xlfn.IFNA(INDEX(cards[],MATCH(AllCardsViz[[#This Row],[uuid]],cards[uuid],0),68),INDEX(tokens[],MATCH(AllCardsViz[[#This Row],[uuid]],tokens[uuid],0),41)),"")</calculatedColumnFormula>
    </tableColumn>
    <tableColumn id="6" xr3:uid="{B8E90193-3CDD-4863-92EA-93E1E6FACF88}" name="Keywords" dataDxfId="133">
      <calculatedColumnFormula>IFERROR(_xlfn.IFNA(INDEX(cards[],MATCH(AllCardsViz[[#This Row],[uuid]],cards[uuid],0),42),INDEX(tokens[],MATCH(AllCardsViz[[#This Row],[uuid]],tokens[uuid],0),24)),"")</calculatedColumnFormula>
    </tableColumn>
    <tableColumn id="9" xr3:uid="{D4F11603-5487-4B00-BC73-7A8AD69BD124}" name="Finishes" dataDxfId="132">
      <calculatedColumnFormula>IFERROR(_xlfn.IFNA(INDEX(cards[],MATCH(AllCardsViz[[#This Row],[uuid]],cards[uuid],0),21),INDEX(tokens[],MATCH(AllCardsViz[[#This Row],[uuid]],tokens[uuid],0),13)),"")</calculatedColumnFormula>
    </tableColumn>
    <tableColumn id="7" xr3:uid="{0997C9D2-AFEC-4B37-8827-325414B5B292}" name="SetName" dataDxfId="131">
      <calculatedColumnFormula>IFERROR(INDEX(sets[],MATCH(AllCardsViz[[#This Row],[Setcode]],sets[code],0),2),INDEX(sets[],MATCH(AllCardsViz[[#This Row],[Setcode]],sets[tokenSetCode],0),2))</calculatedColumnFormula>
    </tableColumn>
    <tableColumn id="8" xr3:uid="{A4BD6EC2-4006-45E7-91EB-6329C35D8155}" name="text" dataDxfId="130">
      <calculatedColumnFormula>IFERROR(_xlfn.IFNA(INDEX(cards[],MATCH(AllCardsViz[[#This Row],[uuid]],cards[uuid],0),74),INDEX(tokens[],MATCH(AllCardsViz[[#This Row],[uuid]],tokens[uuid],0),46)),"")</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090A01-EB2B-477B-91E5-78F30EDA3DC0}" name="MyCollectionViz" displayName="MyCollectionViz" ref="A1:G23" totalsRowShown="0">
  <autoFilter ref="A1:G23" xr:uid="{5F090A01-EB2B-477B-91E5-78F30EDA3DC0}"/>
  <tableColumns count="7">
    <tableColumn id="1" xr3:uid="{5AA2145E-1606-4D7D-ACF8-382AE417D1EE}" name="uuid" dataDxfId="129">
      <calculatedColumnFormula>myCollection[[#This Row],[uuid]]</calculatedColumnFormula>
    </tableColumn>
    <tableColumn id="2" xr3:uid="{0A36ED79-41DA-4933-B893-CA7152913021}" name="name" dataDxfId="128">
      <calculatedColumnFormula>_xlfn.IFNA(INDEX(cards[],MATCH(MyCollectionViz[[#This Row],[uuid]],cards[uuid],0),50),INDEX(tokens[],MATCH(MyCollectionViz[[#This Row],[uuid]],tokens[uuid],0),28))</calculatedColumnFormula>
    </tableColumn>
    <tableColumn id="3" xr3:uid="{D175F054-B06E-4D5E-A2CC-1FF5C2DB0A3D}" name="cardsOwned"/>
    <tableColumn id="4" xr3:uid="{A07BAC82-BD20-4655-BE67-BABCF02B85AE}" name="cardsForTrade" dataDxfId="127">
      <calculatedColumnFormula>INDEX(myCollection[],MATCH(MyCollectionViz[[#This Row],[uuid]],myCollection[uuid],0),4)</calculatedColumnFormula>
    </tableColumn>
    <tableColumn id="5" xr3:uid="{A745DA14-952E-404B-B34F-72F527477D94}" name="condition" dataDxfId="126">
      <calculatedColumnFormula>INDEX(myCollection[],MATCH(MyCollectionViz[[#This Row],[uuid]],myCollection[uuid],0),5)</calculatedColumnFormula>
    </tableColumn>
    <tableColumn id="6" xr3:uid="{E2715A45-2EE9-4AF3-8DAA-32CF1C7028DC}" name="language" dataDxfId="125">
      <calculatedColumnFormula>INDEX(myCollection[],MATCH(MyCollectionViz[[#This Row],[uuid]],myCollection[uuid],0),6)</calculatedColumnFormula>
    </tableColumn>
    <tableColumn id="7" xr3:uid="{A6133949-1219-4B62-93DD-77F74A917FF8}" name="finish" dataDxfId="124">
      <calculatedColumnFormula>INDEX(myCollection[],MATCH(MyCollectionViz[[#This Row],[uuid]],myCollection[uuid],0),7)</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4DA6500-7D57-4E10-9B66-DD6AB67080AD}" name="sets" displayName="sets" ref="A1:T55" tableType="queryTable" totalsRowShown="0">
  <autoFilter ref="A1:T55" xr:uid="{D4DA6500-7D57-4E10-9B66-DD6AB67080AD}"/>
  <tableColumns count="20">
    <tableColumn id="4" xr3:uid="{C29BD973-1499-45FA-872A-AAD8CEFF6948}" uniqueName="4" name="code" queryTableFieldId="4" dataDxfId="123"/>
    <tableColumn id="16" xr3:uid="{16FED02B-E90F-406B-ADD8-05CE036568F4}" uniqueName="16" name="name" queryTableFieldId="16" dataDxfId="122"/>
    <tableColumn id="15" xr3:uid="{A17D01D8-1951-447B-89F4-477272864256}" uniqueName="15" name="mtgoCode" queryTableFieldId="15" dataDxfId="121"/>
    <tableColumn id="2" xr3:uid="{22952BF9-72EE-4560-B681-941A554A8463}" uniqueName="2" name="block" queryTableFieldId="2" dataDxfId="120"/>
    <tableColumn id="20" xr3:uid="{B1F7DA75-A64B-4D1A-BE48-5CA2A5C506CB}" uniqueName="20" name="tokenSetCode" queryTableFieldId="20" dataDxfId="119"/>
    <tableColumn id="18" xr3:uid="{C67C482A-3654-4CA0-B2A6-6659D0F0C00F}" uniqueName="18" name="releaseDate" queryTableFieldId="18" dataDxfId="1"/>
    <tableColumn id="22" xr3:uid="{547CD8F3-D2B8-491F-80B8-49449127AD84}" uniqueName="22" name="type" queryTableFieldId="22" dataDxfId="118"/>
    <tableColumn id="8" xr3:uid="{996AEDBE-876D-4089-B554-07DC9A921D00}" uniqueName="8" name="isOnlineOnly" queryTableFieldId="8"/>
    <tableColumn id="5" xr3:uid="{9D26E69C-A843-427F-A095-383959306F85}" uniqueName="5" name="isFoilOnly" queryTableFieldId="5"/>
    <tableColumn id="19" xr3:uid="{30643FD5-18FB-497B-BB8D-5F4C93CC333E}" uniqueName="19" name="tcgplayerGroupId" queryTableFieldId="19"/>
    <tableColumn id="7" xr3:uid="{9B4B288A-7072-4F9C-84F4-EF629F85B910}" uniqueName="7" name="isNonFoilOnly" queryTableFieldId="7"/>
    <tableColumn id="17" xr3:uid="{42FBF08F-9E7D-4A96-966E-067ABFB632B5}" uniqueName="17" name="parentCode" queryTableFieldId="17" dataDxfId="117"/>
    <tableColumn id="21" xr3:uid="{64F117EF-7F0C-4582-9EAB-5E0D13FCD4FD}" uniqueName="21" name="totalSetSize" queryTableFieldId="21"/>
    <tableColumn id="1" xr3:uid="{4CE4A2FB-359D-4F10-B207-4C301E225425}" uniqueName="1" name="baseSetSize" queryTableFieldId="1"/>
    <tableColumn id="10" xr3:uid="{EB47B4D2-864B-4D34-875D-81DF408DB28D}" uniqueName="10" name="keyruneCode" queryTableFieldId="10" dataDxfId="116"/>
    <tableColumn id="12" xr3:uid="{10FCC983-373D-40E7-ADCD-CA76F6B66405}" uniqueName="12" name="mcmId" queryTableFieldId="12"/>
    <tableColumn id="14" xr3:uid="{44E1FE09-FFA4-4472-A97B-D3FE91720C13}" uniqueName="14" name="mcmName" queryTableFieldId="14" dataDxfId="115"/>
    <tableColumn id="13" xr3:uid="{3DD73EAB-BBEA-4D0A-B6D2-D381F4553694}" uniqueName="13" name="mcmIdExtras" queryTableFieldId="13"/>
    <tableColumn id="6" xr3:uid="{0E5981B6-8CC7-4680-9F76-1A5A9420773F}" uniqueName="6" name="isForeignOnly" queryTableFieldId="6" dataDxfId="114"/>
    <tableColumn id="9" xr3:uid="{701160A9-C80E-4C88-B5D6-B38ED86B9AF5}" uniqueName="9" name="isPartialPreview" queryTableFieldId="9" dataDxfId="1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162FC6-48D8-4EAC-A719-67F6C9D052F3}" name="myCollection" displayName="myCollection" ref="A1:G23" tableType="queryTable" totalsRowShown="0">
  <autoFilter ref="A1:G23" xr:uid="{D0162FC6-48D8-4EAC-A719-67F6C9D052F3}"/>
  <tableColumns count="7">
    <tableColumn id="1" xr3:uid="{1194634A-69C1-47D6-AEDF-E6F5752F2502}" uniqueName="1" name="id" queryTableFieldId="1"/>
    <tableColumn id="2" xr3:uid="{3779148D-F568-4D28-AF26-BD4ED9881535}" uniqueName="2" name="uuid" queryTableFieldId="2" dataDxfId="112"/>
    <tableColumn id="3" xr3:uid="{D4F32A86-49C2-4BEF-8206-A9435B95C91B}" uniqueName="3" name="cardsOwned" queryTableFieldId="3"/>
    <tableColumn id="4" xr3:uid="{D1D2C1AF-9D9C-4996-8472-89734A3332AB}" uniqueName="4" name="cardsForTrade" queryTableFieldId="4"/>
    <tableColumn id="5" xr3:uid="{0852F39D-4757-44F9-BFB0-FB3A6C60AC79}" uniqueName="5" name="condition" queryTableFieldId="5" dataDxfId="111"/>
    <tableColumn id="6" xr3:uid="{3A0CBC4A-5A4C-4081-ADDF-3AD6FC495271}" uniqueName="6" name="language" queryTableFieldId="6" dataDxfId="110"/>
    <tableColumn id="7" xr3:uid="{8CE2EB5F-A72C-4216-A87B-3123B19551E1}" uniqueName="7" name="finish" queryTableFieldId="7" dataDxfId="10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E89A8D-DE6A-4D64-A0D1-758DAA8A7A6B}" name="tokens" displayName="tokens" ref="A1:AY24" tableType="queryTable" totalsRowShown="0">
  <autoFilter ref="A1:AY24" xr:uid="{46E89A8D-DE6A-4D64-A0D1-758DAA8A7A6B}"/>
  <sortState xmlns:xlrd2="http://schemas.microsoft.com/office/spreadsheetml/2017/richdata2" ref="A2:AY24">
    <sortCondition ref="AV1:AV24"/>
  </sortState>
  <tableColumns count="51">
    <tableColumn id="1" xr3:uid="{9FDBE1BB-5716-4308-8031-E654F66121F3}" uniqueName="1" name="artist" queryTableFieldId="1" dataDxfId="108"/>
    <tableColumn id="2" xr3:uid="{47DA5F3E-AEBB-4260-BB13-1862BDFFBC9B}" uniqueName="2" name="artistIds" queryTableFieldId="2" dataDxfId="107"/>
    <tableColumn id="3" xr3:uid="{D883DD7C-9C07-4B23-A19B-918A7269928A}" uniqueName="3" name="asciiName" queryTableFieldId="3" dataDxfId="106"/>
    <tableColumn id="32" xr3:uid="{CDEB8072-74C5-47A3-A6D0-2EBCC263DB03}" uniqueName="32" name="attractionLights" queryTableFieldId="79" dataDxfId="105"/>
    <tableColumn id="4" xr3:uid="{4542CA81-B210-40B3-9061-348025E9DDF5}" uniqueName="4" name="availability" queryTableFieldId="4" dataDxfId="104"/>
    <tableColumn id="5" xr3:uid="{CBEC3D83-3F08-424D-90D0-7F20DA89E0E7}" uniqueName="5" name="boosterTypes" queryTableFieldId="5" dataDxfId="103"/>
    <tableColumn id="6" xr3:uid="{90AC7B9E-0424-4E23-86AA-CD33DE678F97}" uniqueName="6" name="borderColor" queryTableFieldId="6" dataDxfId="102"/>
    <tableColumn id="7" xr3:uid="{7EA65532-FE10-4A94-84A6-1D723AFEC0BF}" uniqueName="7" name="colorIdentity" queryTableFieldId="7" dataDxfId="101"/>
    <tableColumn id="50" xr3:uid="{ECFB7CCF-540A-406E-9126-D6BC6A66571D}" uniqueName="50" name="colorIndicator" queryTableFieldId="80" dataDxfId="100"/>
    <tableColumn id="8" xr3:uid="{02D6D49B-68F3-45E0-B272-08D1E05793C5}" uniqueName="8" name="colors" queryTableFieldId="8" dataDxfId="99"/>
    <tableColumn id="9" xr3:uid="{16AC1D14-99D9-42F8-8AB6-D81CE8C8E208}" uniqueName="9" name="edhrecSaltiness" queryTableFieldId="9"/>
    <tableColumn id="10" xr3:uid="{2E017FE1-290B-4C2B-83F2-FC4867D1FD49}" uniqueName="10" name="faceName" queryTableFieldId="10" dataDxfId="98"/>
    <tableColumn id="11" xr3:uid="{01B29614-D259-401B-85BF-A15B429E1C84}" uniqueName="11" name="finishes" queryTableFieldId="11" dataDxfId="97"/>
    <tableColumn id="12" xr3:uid="{5EB36437-7DD1-4108-9003-7A960C938956}" uniqueName="12" name="flavorName" queryTableFieldId="12" dataDxfId="96"/>
    <tableColumn id="13" xr3:uid="{780CD95E-DD47-45FF-8F81-F5E8E3C34279}" uniqueName="13" name="flavorText" queryTableFieldId="13" dataDxfId="95"/>
    <tableColumn id="14" xr3:uid="{13A31031-155D-40D3-807B-8BCAEC9C75E4}" uniqueName="14" name="frameEffects" queryTableFieldId="14" dataDxfId="94"/>
    <tableColumn id="15" xr3:uid="{1C3BA062-E6DF-4944-9EC7-483C2037D46E}" uniqueName="15" name="frameVersion" queryTableFieldId="15"/>
    <tableColumn id="18" xr3:uid="{0A2BF770-1408-4748-8194-6E256A5C4D07}" uniqueName="18" name="isFullArt" queryTableFieldId="18"/>
    <tableColumn id="19" xr3:uid="{4292E15B-6AB3-473B-9470-68DBAFC1F6FE}" uniqueName="19" name="isFunny" queryTableFieldId="19" dataDxfId="93"/>
    <tableColumn id="20" xr3:uid="{6B980ED7-BB18-43E8-BA76-FD4455FCA2CA}" uniqueName="20" name="isOversized" queryTableFieldId="20" dataDxfId="92"/>
    <tableColumn id="21" xr3:uid="{F71DB861-96BA-485A-AB77-14D3F9A56953}" uniqueName="21" name="isPromo" queryTableFieldId="21" dataDxfId="91"/>
    <tableColumn id="22" xr3:uid="{D92B34A5-6742-4DB2-A08E-FAB751A93EC3}" uniqueName="22" name="isReprint" queryTableFieldId="22"/>
    <tableColumn id="23" xr3:uid="{9B721F9C-A24F-4764-9520-CB33299DC315}" uniqueName="23" name="isTextless" queryTableFieldId="23" dataDxfId="90"/>
    <tableColumn id="24" xr3:uid="{2DC9AF4C-D805-46E4-B354-0902F26BBD83}" uniqueName="24" name="keywords" queryTableFieldId="24" dataDxfId="89"/>
    <tableColumn id="25" xr3:uid="{D62B4B65-9725-4BF6-9B45-4D3A22A893B3}" uniqueName="25" name="language" queryTableFieldId="25" dataDxfId="88"/>
    <tableColumn id="26" xr3:uid="{E81E2D68-FE2C-4159-AF0E-CAA90B2F3848}" uniqueName="26" name="layout" queryTableFieldId="26" dataDxfId="87"/>
    <tableColumn id="27" xr3:uid="{A5803AB2-267A-4225-B84B-55AD6DC8CCCC}" uniqueName="27" name="manaCost" queryTableFieldId="27" dataDxfId="86"/>
    <tableColumn id="28" xr3:uid="{86E52E9F-3EFE-4F3C-8045-262C7E13CA2F}" uniqueName="28" name="name" queryTableFieldId="28" dataDxfId="85"/>
    <tableColumn id="29" xr3:uid="{46BFA774-C0D3-48E3-B727-6B139E8A4A6F}" uniqueName="29" name="number" queryTableFieldId="29" dataDxfId="84"/>
    <tableColumn id="30" xr3:uid="{942B9AB1-7E5A-4EEC-9D76-34FA65A329F7}" uniqueName="30" name="orientation" queryTableFieldId="30" dataDxfId="83"/>
    <tableColumn id="31" xr3:uid="{E1373947-4D6E-4354-8F6A-04E771D97348}" uniqueName="31" name="originalText" queryTableFieldId="31" dataDxfId="82"/>
    <tableColumn id="33" xr3:uid="{BC0AE42D-E463-4584-B873-16A82993E3A3}" uniqueName="33" name="otherFaceIds" queryTableFieldId="33" dataDxfId="81"/>
    <tableColumn id="34" xr3:uid="{704F0E48-0A7E-4709-9AA7-56955B978DF6}" uniqueName="34" name="power" queryTableFieldId="34"/>
    <tableColumn id="51" xr3:uid="{22CF256F-857B-4A0E-9A95-17EE4CE33E8B}" uniqueName="51" name="printedType" queryTableFieldId="81" dataDxfId="80"/>
    <tableColumn id="52" xr3:uid="{54CB9093-9C1B-4556-B08B-DD3232264076}" uniqueName="52" name="producedMana" queryTableFieldId="82" dataDxfId="79"/>
    <tableColumn id="35" xr3:uid="{0785F994-2B56-40D5-862A-E5FE0BA11FD1}" uniqueName="35" name="promoTypes" queryTableFieldId="35" dataDxfId="78"/>
    <tableColumn id="36" xr3:uid="{826B9AF0-E568-491F-AA4B-D8A8A84E9B30}" uniqueName="36" name="relatedCards" queryTableFieldId="36" dataDxfId="77"/>
    <tableColumn id="37" xr3:uid="{DCC99F1E-5972-4EF0-91DC-73AAD4E2B005}" uniqueName="37" name="reverseRelated" queryTableFieldId="37" dataDxfId="76"/>
    <tableColumn id="38" xr3:uid="{07262835-759D-4E8B-A5D7-89EB9FFA6856}" uniqueName="38" name="securityStamp" queryTableFieldId="38" dataDxfId="75"/>
    <tableColumn id="39" xr3:uid="{79922C86-2891-4155-8329-EEFD7356B915}" uniqueName="39" name="setCode" queryTableFieldId="39" dataDxfId="74"/>
    <tableColumn id="40" xr3:uid="{081E02CD-2A2F-4FFF-8F98-835F6C0022FC}" uniqueName="40" name="side" queryTableFieldId="40" dataDxfId="73"/>
    <tableColumn id="41" xr3:uid="{B634F464-1356-4C2A-A559-FF3B95A9FA68}" uniqueName="41" name="signature" queryTableFieldId="41" dataDxfId="72"/>
    <tableColumn id="53" xr3:uid="{EF48DEB5-BEEF-4BD6-A055-D09E743AC399}" uniqueName="53" name="sourceProducts" queryTableFieldId="83" dataDxfId="71"/>
    <tableColumn id="42" xr3:uid="{EF813C5E-D8A2-4B30-80A8-C6628D326D3D}" uniqueName="42" name="subtypes" queryTableFieldId="42" dataDxfId="70"/>
    <tableColumn id="43" xr3:uid="{1338E26F-B73F-4D61-889B-67EA33E9D1C8}" uniqueName="43" name="supertypes" queryTableFieldId="43" dataDxfId="69"/>
    <tableColumn id="44" xr3:uid="{A54F55DD-7D5B-4E51-A2C8-F182630C5DD4}" uniqueName="44" name="text" queryTableFieldId="44" dataDxfId="68"/>
    <tableColumn id="45" xr3:uid="{9496B4A1-737D-474A-84FC-042C801F81A1}" uniqueName="45" name="toughness" queryTableFieldId="45"/>
    <tableColumn id="46" xr3:uid="{ED27E85F-6E01-4D15-80B4-19F77C131197}" uniqueName="46" name="type" queryTableFieldId="46" dataDxfId="67"/>
    <tableColumn id="47" xr3:uid="{66C15199-88CD-4AF4-81EE-E94A276D1E4E}" uniqueName="47" name="types" queryTableFieldId="47" dataDxfId="66"/>
    <tableColumn id="48" xr3:uid="{DA768EE6-21F5-45FD-A324-D8E320C62F2A}" uniqueName="48" name="uuid" queryTableFieldId="48" dataDxfId="65"/>
    <tableColumn id="49" xr3:uid="{0DC3487E-F9A5-4BD7-BC3C-57D9A0B2C85E}" uniqueName="49" name="watermark" queryTableFieldId="49" dataDxfId="6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0986496-2728-4FAA-B73B-DF2E92142018}" name="cards" displayName="cards" ref="A1:CB47" tableType="queryTable" totalsRowShown="0">
  <autoFilter ref="A1:CB47" xr:uid="{A0986496-2728-4FAA-B73B-DF2E92142018}"/>
  <tableColumns count="80">
    <tableColumn id="1" xr3:uid="{0E018CF9-1D0E-412E-A7F0-CD6C0E3EA342}" uniqueName="1" name="artist" queryTableFieldId="1" dataDxfId="63"/>
    <tableColumn id="2" xr3:uid="{45D11F96-8D7E-4E64-B816-76BD22040BF9}" uniqueName="2" name="artistIds" queryTableFieldId="2" dataDxfId="62"/>
    <tableColumn id="3" xr3:uid="{2FAA9FBA-C9D0-44EA-AB68-B08C4877507F}" uniqueName="3" name="asciiName" queryTableFieldId="3" dataDxfId="61"/>
    <tableColumn id="4" xr3:uid="{5D2D56A7-B472-418F-97B6-9308E86CE306}" uniqueName="4" name="attractionLights" queryTableFieldId="4" dataDxfId="60"/>
    <tableColumn id="5" xr3:uid="{7756CD34-A455-4A11-919D-42550C220E00}" uniqueName="5" name="availability" queryTableFieldId="5" dataDxfId="59"/>
    <tableColumn id="6" xr3:uid="{53A69662-E891-4532-BF8F-F7947F148B0F}" uniqueName="6" name="boosterTypes" queryTableFieldId="6" dataDxfId="58"/>
    <tableColumn id="7" xr3:uid="{CA4F5A5C-4BFA-436E-83C2-EF2A9E914917}" uniqueName="7" name="borderColor" queryTableFieldId="7" dataDxfId="57"/>
    <tableColumn id="8" xr3:uid="{881DC3F0-F0DC-4971-B66A-606D01A7EF76}" uniqueName="8" name="cardParts" queryTableFieldId="8" dataDxfId="56"/>
    <tableColumn id="9" xr3:uid="{6AE93A2A-EBB0-4D4C-9688-FE43555F6D5B}" uniqueName="9" name="colorIdentity" queryTableFieldId="9" dataDxfId="55"/>
    <tableColumn id="10" xr3:uid="{DFB9C93D-4A1A-4B39-9C7D-3E3FC61D43C9}" uniqueName="10" name="colorIndicator" queryTableFieldId="10" dataDxfId="54"/>
    <tableColumn id="11" xr3:uid="{E0E09DED-0A4E-4042-B00C-B3FF8BD26FE3}" uniqueName="11" name="colors" queryTableFieldId="11" dataDxfId="53"/>
    <tableColumn id="12" xr3:uid="{43A81861-09B8-4554-9D2E-C83ED3E44F01}" uniqueName="12" name="defense" queryTableFieldId="12" dataDxfId="52"/>
    <tableColumn id="13" xr3:uid="{75DFF2E9-33BA-4FCC-8BB5-1A8B5FC0EFEF}" uniqueName="13" name="duelDeck" queryTableFieldId="13" dataDxfId="51"/>
    <tableColumn id="14" xr3:uid="{7AB2991A-2E00-44E2-92E9-E04405AF1451}" uniqueName="14" name="edhrecRank" queryTableFieldId="14"/>
    <tableColumn id="15" xr3:uid="{6A2DE117-3280-4C9A-B86C-2A1C6E17B414}" uniqueName="15" name="edhrecSaltiness" queryTableFieldId="15"/>
    <tableColumn id="16" xr3:uid="{4B49B321-F2CA-4C57-95CF-DEF6361FB3A2}" uniqueName="16" name="faceConvertedManaCost" queryTableFieldId="16"/>
    <tableColumn id="17" xr3:uid="{2617FB21-B042-4167-B895-34D4B8DC3D37}" uniqueName="17" name="faceFlavorName" queryTableFieldId="17" dataDxfId="50"/>
    <tableColumn id="18" xr3:uid="{AC7D32D1-FB54-4B82-A039-F43525B84DEE}" uniqueName="18" name="faceManaValue" queryTableFieldId="18"/>
    <tableColumn id="19" xr3:uid="{EFAECC32-BCCB-46D8-9CAD-F6E17ED52F6A}" uniqueName="19" name="faceName" queryTableFieldId="19" dataDxfId="49"/>
    <tableColumn id="20" xr3:uid="{BD969AC4-35D2-4E83-9441-C16B57E57368}" uniqueName="20" name="facePrintedName" queryTableFieldId="20" dataDxfId="48"/>
    <tableColumn id="21" xr3:uid="{8044E2DC-A29B-4508-9212-8B7E661E4BE3}" uniqueName="21" name="finishes" queryTableFieldId="21" dataDxfId="47"/>
    <tableColumn id="22" xr3:uid="{3927DD2E-AEE2-4683-8BEC-D5EC68F294A5}" uniqueName="22" name="flavorName" queryTableFieldId="22" dataDxfId="46"/>
    <tableColumn id="23" xr3:uid="{AD84A17B-8111-4C1E-B801-00208646CF25}" uniqueName="23" name="flavorText" queryTableFieldId="23" dataDxfId="45"/>
    <tableColumn id="24" xr3:uid="{2D8A0AA6-4D80-498D-8834-65E249C3949B}" uniqueName="24" name="frameEffects" queryTableFieldId="24" dataDxfId="44"/>
    <tableColumn id="25" xr3:uid="{E8963F87-A11F-464E-99D9-DDFBE8AE9656}" uniqueName="25" name="frameVersion" queryTableFieldId="25"/>
    <tableColumn id="26" xr3:uid="{633B04AD-EE98-43BF-8F66-9ED0584554B6}" uniqueName="26" name="hand" queryTableFieldId="26" dataDxfId="43"/>
    <tableColumn id="27" xr3:uid="{1E1740DB-3468-4074-85F0-A4EA78AE9E99}" uniqueName="27" name="hasAlternativeDeckLimit" queryTableFieldId="27" dataDxfId="42"/>
    <tableColumn id="28" xr3:uid="{F752CD3F-86A1-4150-A86A-F458F133B5B3}" uniqueName="28" name="hasContentWarning" queryTableFieldId="28" dataDxfId="41"/>
    <tableColumn id="31" xr3:uid="{3CA84199-F3A1-496A-8640-9F3DA3510636}" uniqueName="31" name="isAlternative" queryTableFieldId="31"/>
    <tableColumn id="32" xr3:uid="{5C7C232F-3C3D-4B30-8977-E9E32F70A433}" uniqueName="32" name="isFullArt" queryTableFieldId="32"/>
    <tableColumn id="33" xr3:uid="{206FDDA8-47A0-4FD1-B5EC-20D3E8A63D47}" uniqueName="33" name="isFunny" queryTableFieldId="33"/>
    <tableColumn id="34" xr3:uid="{03439AC4-CC09-4955-B4C4-822705479DE2}" uniqueName="34" name="isGameChanger" queryTableFieldId="34"/>
    <tableColumn id="35" xr3:uid="{67B46311-1BAF-48A7-957B-472BC4E16237}" uniqueName="35" name="isOnlineOnly" queryTableFieldId="35"/>
    <tableColumn id="36" xr3:uid="{390D9798-9ADE-44B0-AA48-6BC4E25A0DC6}" uniqueName="36" name="isOversized" queryTableFieldId="36"/>
    <tableColumn id="37" xr3:uid="{4B3DC17D-BA8F-48ED-9E39-433E834A184F}" uniqueName="37" name="isPromo" queryTableFieldId="37"/>
    <tableColumn id="38" xr3:uid="{12CE255B-5C20-4A56-963C-3DEA9A942DEA}" uniqueName="38" name="isRebalanced" queryTableFieldId="38" dataDxfId="40"/>
    <tableColumn id="39" xr3:uid="{73ED069B-F69A-4FCD-9747-1BED8AC3FC17}" uniqueName="39" name="isReprint" queryTableFieldId="39"/>
    <tableColumn id="40" xr3:uid="{CFABA48B-53DD-4769-BC2E-4E6DDE196B74}" uniqueName="40" name="isReserved" queryTableFieldId="40"/>
    <tableColumn id="41" xr3:uid="{C261D4C4-C9B1-4CB3-ACF7-F9DE7912DF22}" uniqueName="41" name="isStorySpotlight" queryTableFieldId="41"/>
    <tableColumn id="42" xr3:uid="{6975876B-1AC0-4260-8E6E-F9FC0B204392}" uniqueName="42" name="isTextless" queryTableFieldId="42"/>
    <tableColumn id="43" xr3:uid="{87F11715-520E-4126-88C6-EBF9ED84D1B3}" uniqueName="43" name="isTimeshifted" queryTableFieldId="43" dataDxfId="39"/>
    <tableColumn id="44" xr3:uid="{67E91EF4-ED08-4E1E-A955-3391E16067A8}" uniqueName="44" name="keywords" queryTableFieldId="44" dataDxfId="38"/>
    <tableColumn id="45" xr3:uid="{798FAA1A-E324-4539-B8F6-F6235863F55B}" uniqueName="45" name="language" queryTableFieldId="45" dataDxfId="37"/>
    <tableColumn id="46" xr3:uid="{DE4D51C6-A5A7-49EF-8BF8-5661E5D91670}" uniqueName="46" name="layout" queryTableFieldId="46" dataDxfId="36"/>
    <tableColumn id="47" xr3:uid="{631ACA9A-90F8-462B-B6B6-D0830781CEBE}" uniqueName="47" name="leadershipSkills" queryTableFieldId="47" dataDxfId="35"/>
    <tableColumn id="48" xr3:uid="{E43816C7-517D-45F0-911F-77AD58215C4F}" uniqueName="48" name="life" queryTableFieldId="48" dataDxfId="34"/>
    <tableColumn id="49" xr3:uid="{BA3C45C2-5291-41E6-9A05-C14CEA0129EF}" uniqueName="49" name="loyalty" queryTableFieldId="49" dataDxfId="33"/>
    <tableColumn id="50" xr3:uid="{A037F17B-6D1A-49C3-8E75-635A1AFE73CB}" uniqueName="50" name="manaCost" queryTableFieldId="50" dataDxfId="32"/>
    <tableColumn id="51" xr3:uid="{02AED0F7-C85F-4869-9AFC-AD4742775232}" uniqueName="51" name="manaValue" queryTableFieldId="51" dataDxfId="31"/>
    <tableColumn id="52" xr3:uid="{34CFA9DB-A17A-4A6F-8A03-74503F562FB6}" uniqueName="52" name="name" queryTableFieldId="52" dataDxfId="30"/>
    <tableColumn id="53" xr3:uid="{1FBF199D-2860-49A5-9CB9-8EC1A682AEC4}" uniqueName="53" name="number" queryTableFieldId="53" dataDxfId="29"/>
    <tableColumn id="54" xr3:uid="{50F0ABE2-B6AD-4B91-AF36-32BE601E7805}" uniqueName="54" name="originalPrintings" queryTableFieldId="54" dataDxfId="28"/>
    <tableColumn id="55" xr3:uid="{8E3FB295-EC8C-4634-9311-C0EB97F44F99}" uniqueName="55" name="originalReleaseDate" queryTableFieldId="55" dataDxfId="0"/>
    <tableColumn id="56" xr3:uid="{B444ECFF-DB19-41F8-88F7-E839E9744A10}" uniqueName="56" name="originalText" queryTableFieldId="56" dataDxfId="27"/>
    <tableColumn id="57" xr3:uid="{0387E236-E7ED-470D-A6B9-BBE7DF46F392}" uniqueName="57" name="otherFaceIds" queryTableFieldId="57" dataDxfId="26"/>
    <tableColumn id="58" xr3:uid="{1B50A35C-D9DF-42D0-966A-3801FCA8AD18}" uniqueName="58" name="power" queryTableFieldId="58"/>
    <tableColumn id="59" xr3:uid="{81CE1513-4B7F-4C74-9D5F-EA6CA276D66C}" uniqueName="59" name="printedName" queryTableFieldId="59" dataDxfId="25"/>
    <tableColumn id="60" xr3:uid="{364E9510-0C30-4F72-808F-13E19FF5EE6C}" uniqueName="60" name="printedText" queryTableFieldId="60" dataDxfId="24"/>
    <tableColumn id="61" xr3:uid="{00BB6C16-ED21-4F6A-90E4-0044CD8EC128}" uniqueName="61" name="printedType" queryTableFieldId="61" dataDxfId="23"/>
    <tableColumn id="62" xr3:uid="{6A49DA91-C5CB-4FE1-9815-D0FAC4CBBE9D}" uniqueName="62" name="printings" queryTableFieldId="62" dataDxfId="22"/>
    <tableColumn id="63" xr3:uid="{EB022AE5-15CE-4DEE-B580-021D17E9A35D}" uniqueName="63" name="producedMana" queryTableFieldId="63" dataDxfId="21"/>
    <tableColumn id="64" xr3:uid="{AB356CA1-8E16-433C-940A-67A61EF5F322}" uniqueName="64" name="promoTypes" queryTableFieldId="64" dataDxfId="20"/>
    <tableColumn id="65" xr3:uid="{CCDB6980-378F-4F93-8B88-EDC430297979}" uniqueName="65" name="rarity" queryTableFieldId="65" dataDxfId="19"/>
    <tableColumn id="66" xr3:uid="{117E4065-4D61-4374-9A72-43AC62DA49AD}" uniqueName="66" name="rebalancedPrintings" queryTableFieldId="66" dataDxfId="18"/>
    <tableColumn id="67" xr3:uid="{DE17F23A-B4AD-4CD5-AEDF-A0A5F5E4A5AF}" uniqueName="67" name="relatedCards" queryTableFieldId="67" dataDxfId="17"/>
    <tableColumn id="68" xr3:uid="{6E443E60-C07D-4BD9-8CF5-7F260511C01E}" uniqueName="68" name="securityStamp" queryTableFieldId="68" dataDxfId="16"/>
    <tableColumn id="69" xr3:uid="{22F92BD4-EEB5-4E94-A8C0-A7D83039B15E}" uniqueName="69" name="setCode" queryTableFieldId="69" dataDxfId="15"/>
    <tableColumn id="70" xr3:uid="{2643C189-A33D-46D7-A569-5A9117AB475E}" uniqueName="70" name="side" queryTableFieldId="70" dataDxfId="14"/>
    <tableColumn id="71" xr3:uid="{E4A42D33-7554-4575-AD1E-5C44D029002D}" uniqueName="71" name="signature" queryTableFieldId="71" dataDxfId="13"/>
    <tableColumn id="72" xr3:uid="{59E57E22-EF45-4917-8566-093287026404}" uniqueName="72" name="sourceProducts" queryTableFieldId="72" dataDxfId="12"/>
    <tableColumn id="73" xr3:uid="{814BCC92-0190-44B0-998C-FDA070F83BAC}" uniqueName="73" name="subsets" queryTableFieldId="73" dataDxfId="11"/>
    <tableColumn id="74" xr3:uid="{1F719C3B-20A0-45F7-9064-C865F6BF038B}" uniqueName="74" name="subtypes" queryTableFieldId="74" dataDxfId="10"/>
    <tableColumn id="75" xr3:uid="{9EC32D6F-4D66-4CB5-9BC5-1D08F9C33534}" uniqueName="75" name="supertypes" queryTableFieldId="75" dataDxfId="9"/>
    <tableColumn id="76" xr3:uid="{B50345F8-0C42-44A7-81CC-569542005B8A}" uniqueName="76" name="text" queryTableFieldId="76" dataDxfId="8"/>
    <tableColumn id="77" xr3:uid="{2B98FBF9-D5E3-422D-9324-2E5E953793EE}" uniqueName="77" name="toughness" queryTableFieldId="77" dataDxfId="7"/>
    <tableColumn id="78" xr3:uid="{291BA504-2EE3-42FF-95E7-2F596A4FFDA6}" uniqueName="78" name="type" queryTableFieldId="78" dataDxfId="6"/>
    <tableColumn id="79" xr3:uid="{1E27681E-89F2-4122-9EDA-BEF8F73A7353}" uniqueName="79" name="types" queryTableFieldId="79" dataDxfId="5"/>
    <tableColumn id="80" xr3:uid="{E73E31EF-68CE-4A99-807C-A893840A5166}" uniqueName="80" name="uuid" queryTableFieldId="80" dataDxfId="4"/>
    <tableColumn id="81" xr3:uid="{EABADD6F-4235-456E-B3C7-D3BE87EA3EF1}" uniqueName="81" name="variations" queryTableFieldId="81" dataDxfId="3"/>
    <tableColumn id="82" xr3:uid="{B07D33C7-D171-4F4C-A48C-B213225EC084}" uniqueName="82" name="watermark" queryTableFieldId="82" dataDxf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67DC420-C76A-4526-92FF-1F804BF20789}" name="FolderPath" displayName="FolderPath" ref="A1:A2" totalsRowShown="0">
  <autoFilter ref="A1:A2" xr:uid="{167DC420-C76A-4526-92FF-1F804BF20789}"/>
  <tableColumns count="1">
    <tableColumn id="1" xr3:uid="{C1487E7E-BD09-4A70-8BA7-383E82B61CA3}" name="Path">
      <calculatedColumnFormula array="1">LEFT(CELL("filename",A2),FIND("[",CELL("filename",A2))-1)&amp;"CsvSeedTables\"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FD9F-DD15-4247-BD4F-9413D9D6816A}">
  <dimension ref="A1:I78"/>
  <sheetViews>
    <sheetView topLeftCell="C1" workbookViewId="0">
      <selection activeCell="G8" sqref="G8"/>
    </sheetView>
  </sheetViews>
  <sheetFormatPr defaultRowHeight="14.5" x14ac:dyDescent="0.35"/>
  <cols>
    <col min="1" max="2" width="50.81640625" bestFit="1" customWidth="1"/>
    <col min="3" max="3" width="11.453125" bestFit="1" customWidth="1"/>
    <col min="4" max="4" width="10.7265625" bestFit="1" customWidth="1"/>
    <col min="6" max="6" width="33.453125" bestFit="1" customWidth="1"/>
    <col min="7" max="7" width="33.453125" customWidth="1"/>
    <col min="8" max="8" width="38.453125" bestFit="1" customWidth="1"/>
    <col min="9" max="9" width="82.453125" bestFit="1" customWidth="1"/>
  </cols>
  <sheetData>
    <row r="1" spans="1:9" x14ac:dyDescent="0.35">
      <c r="A1" t="s">
        <v>324</v>
      </c>
      <c r="B1" t="s">
        <v>0</v>
      </c>
      <c r="C1" t="s">
        <v>2</v>
      </c>
      <c r="D1" t="s">
        <v>680</v>
      </c>
      <c r="E1" t="s">
        <v>1</v>
      </c>
      <c r="F1" t="s">
        <v>682</v>
      </c>
      <c r="G1" t="s">
        <v>997</v>
      </c>
      <c r="H1" t="s">
        <v>790</v>
      </c>
      <c r="I1" t="s">
        <v>627</v>
      </c>
    </row>
    <row r="2" spans="1:9" x14ac:dyDescent="0.35">
      <c r="A2" t="str" cm="1">
        <f t="array" ref="A2">IFERROR(INDEX(_xlfn.VSTACK(cards[uuid],tokens[uuid]), ROW()-ROW($A$1)),"")</f>
        <v>0add0930-720f-5bf5-bcf5-ee208eeb9040</v>
      </c>
      <c r="B2" t="str">
        <f>IFERROR(_xlfn.IFNA(INDEX(cards[],MATCH(AllCardsViz[[#This Row],[uuid]],cards[uuid],0),50),INDEX(tokens[],MATCH(AllCardsViz[[#This Row],[uuid]],tokens[uuid],0),28)),"")</f>
        <v>Once Upon a Time</v>
      </c>
      <c r="C2" t="str">
        <f>IFERROR(_xlfn.IFNA(INDEX(cards[],MATCH(AllCardsViz[[#This Row],[uuid]],cards[uuid],0),63),""),"")</f>
        <v>rare</v>
      </c>
      <c r="D2" t="str">
        <f>IFERROR(_xlfn.IFNA(INDEX(cards[],MATCH(AllCardsViz[[#This Row],[uuid]],cards[uuid],0),67),INDEX(tokens[],MATCH(AllCardsViz[[#This Row],[uuid]],tokens[uuid],0),40)),"")</f>
        <v>ELD</v>
      </c>
      <c r="E2" t="str">
        <f>IFERROR(_xlfn.IFNA(INDEX(cards[],MATCH(AllCardsViz[[#This Row],[uuid]],cards[uuid],0),68),INDEX(tokens[],MATCH(AllCardsViz[[#This Row],[uuid]],tokens[uuid],0),41)),"")</f>
        <v/>
      </c>
      <c r="F2" t="str">
        <f>IFERROR(_xlfn.IFNA(INDEX(cards[],MATCH(AllCardsViz[[#This Row],[uuid]],cards[uuid],0),42),INDEX(tokens[],MATCH(AllCardsViz[[#This Row],[uuid]],tokens[uuid],0),24)),"")</f>
        <v/>
      </c>
      <c r="G2" t="str">
        <f>IFERROR(_xlfn.IFNA(INDEX(cards[],MATCH(AllCardsViz[[#This Row],[uuid]],cards[uuid],0),21),INDEX(tokens[],MATCH(AllCardsViz[[#This Row],[uuid]],tokens[uuid],0),13)),"")</f>
        <v>nonfoil, foil</v>
      </c>
      <c r="H2" t="str">
        <f>IFERROR(INDEX(sets[],MATCH(AllCardsViz[[#This Row],[Setcode]],sets[code],0),2),INDEX(sets[],MATCH(AllCardsViz[[#This Row],[Setcode]],sets[tokenSetCode],0),2))</f>
        <v>Throne of Eldraine</v>
      </c>
      <c r="I2" t="str">
        <f>IFERROR(_xlfn.IFNA(INDEX(cards[],MATCH(AllCardsViz[[#This Row],[uuid]],cards[uuid],0),74),INDEX(tokens[],MATCH(AllCardsViz[[#This Row],[uuid]],tokens[uuid],0),46)),"")</f>
        <v>If this spell is the first spell you've cast this game, you may cast it without paying its mana cost.
Look at the top five cards of your library. You may reveal a creature or land card from among them and put it into your hand. Put the rest on the bottom of your library in a random order.</v>
      </c>
    </row>
    <row r="3" spans="1:9" x14ac:dyDescent="0.35">
      <c r="A3" t="str" cm="1">
        <f t="array" ref="A3">IFERROR(INDEX(_xlfn.VSTACK(cards[uuid],tokens[uuid]), ROW()-ROW($A$1)),"")</f>
        <v>154a09f3-65e3-5821-bc02-bd972b3be676</v>
      </c>
      <c r="B3" t="str">
        <f>IFERROR(_xlfn.IFNA(INDEX(cards[],MATCH(AllCardsViz[[#This Row],[uuid]],cards[uuid],0),50),INDEX(tokens[],MATCH(AllCardsViz[[#This Row],[uuid]],tokens[uuid],0),28)),"")</f>
        <v>Snapping Sailback</v>
      </c>
      <c r="C3" t="str">
        <f>IFERROR(_xlfn.IFNA(INDEX(cards[],MATCH(AllCardsViz[[#This Row],[uuid]],cards[uuid],0),63),""),"")</f>
        <v>uncommon</v>
      </c>
      <c r="D3" t="str">
        <f>IFERROR(_xlfn.IFNA(INDEX(cards[],MATCH(AllCardsViz[[#This Row],[uuid]],cards[uuid],0),67),INDEX(tokens[],MATCH(AllCardsViz[[#This Row],[uuid]],tokens[uuid],0),40)),"")</f>
        <v>PLST</v>
      </c>
      <c r="E3" t="str">
        <f>IFERROR(_xlfn.IFNA(INDEX(cards[],MATCH(AllCardsViz[[#This Row],[uuid]],cards[uuid],0),68),INDEX(tokens[],MATCH(AllCardsViz[[#This Row],[uuid]],tokens[uuid],0),41)),"")</f>
        <v/>
      </c>
      <c r="F3" t="str">
        <f>IFERROR(_xlfn.IFNA(INDEX(cards[],MATCH(AllCardsViz[[#This Row],[uuid]],cards[uuid],0),42),INDEX(tokens[],MATCH(AllCardsViz[[#This Row],[uuid]],tokens[uuid],0),24)),"")</f>
        <v>Enrage, Flash</v>
      </c>
      <c r="G3" t="str">
        <f>IFERROR(_xlfn.IFNA(INDEX(cards[],MATCH(AllCardsViz[[#This Row],[uuid]],cards[uuid],0),21),INDEX(tokens[],MATCH(AllCardsViz[[#This Row],[uuid]],tokens[uuid],0),13)),"")</f>
        <v>nonfoil</v>
      </c>
      <c r="H3" t="str">
        <f>IFERROR(INDEX(sets[],MATCH(AllCardsViz[[#This Row],[Setcode]],sets[code],0),2),INDEX(sets[],MATCH(AllCardsViz[[#This Row],[Setcode]],sets[tokenSetCode],0),2))</f>
        <v>The List</v>
      </c>
      <c r="I3" t="str">
        <f>IFERROR(_xlfn.IFNA(INDEX(cards[],MATCH(AllCardsViz[[#This Row],[uuid]],cards[uuid],0),74),INDEX(tokens[],MATCH(AllCardsViz[[#This Row],[uuid]],tokens[uuid],0),46)),"")</f>
        <v>Flash
Enrage — Whenever this creature is dealt damage, put a +1/+1 counter on it. (It must survive the damage to get the counter.)</v>
      </c>
    </row>
    <row r="4" spans="1:9" x14ac:dyDescent="0.35">
      <c r="A4" t="str" cm="1">
        <f t="array" ref="A4">IFERROR(INDEX(_xlfn.VSTACK(cards[uuid],tokens[uuid]), ROW()-ROW($A$1)),"")</f>
        <v>16f1c97a-b896-59d0-80ab-6f00a6ea1d28</v>
      </c>
      <c r="B4" t="str">
        <f>IFERROR(_xlfn.IFNA(INDEX(cards[],MATCH(AllCardsViz[[#This Row],[uuid]],cards[uuid],0),50),INDEX(tokens[],MATCH(AllCardsViz[[#This Row],[uuid]],tokens[uuid],0),28)),"")</f>
        <v>Dragonscale Boon</v>
      </c>
      <c r="C4" t="str">
        <f>IFERROR(_xlfn.IFNA(INDEX(cards[],MATCH(AllCardsViz[[#This Row],[uuid]],cards[uuid],0),63),""),"")</f>
        <v>common</v>
      </c>
      <c r="D4" t="str">
        <f>IFERROR(_xlfn.IFNA(INDEX(cards[],MATCH(AllCardsViz[[#This Row],[uuid]],cards[uuid],0),67),INDEX(tokens[],MATCH(AllCardsViz[[#This Row],[uuid]],tokens[uuid],0),40)),"")</f>
        <v>PLST</v>
      </c>
      <c r="E4" t="str">
        <f>IFERROR(_xlfn.IFNA(INDEX(cards[],MATCH(AllCardsViz[[#This Row],[uuid]],cards[uuid],0),68),INDEX(tokens[],MATCH(AllCardsViz[[#This Row],[uuid]],tokens[uuid],0),41)),"")</f>
        <v/>
      </c>
      <c r="F4" t="str">
        <f>IFERROR(_xlfn.IFNA(INDEX(cards[],MATCH(AllCardsViz[[#This Row],[uuid]],cards[uuid],0),42),INDEX(tokens[],MATCH(AllCardsViz[[#This Row],[uuid]],tokens[uuid],0),24)),"")</f>
        <v/>
      </c>
      <c r="G4" t="str">
        <f>IFERROR(_xlfn.IFNA(INDEX(cards[],MATCH(AllCardsViz[[#This Row],[uuid]],cards[uuid],0),21),INDEX(tokens[],MATCH(AllCardsViz[[#This Row],[uuid]],tokens[uuid],0),13)),"")</f>
        <v>nonfoil</v>
      </c>
      <c r="H4" t="str">
        <f>IFERROR(INDEX(sets[],MATCH(AllCardsViz[[#This Row],[Setcode]],sets[code],0),2),INDEX(sets[],MATCH(AllCardsViz[[#This Row],[Setcode]],sets[tokenSetCode],0),2))</f>
        <v>The List</v>
      </c>
      <c r="I4" t="str">
        <f>IFERROR(_xlfn.IFNA(INDEX(cards[],MATCH(AllCardsViz[[#This Row],[uuid]],cards[uuid],0),74),INDEX(tokens[],MATCH(AllCardsViz[[#This Row],[uuid]],tokens[uuid],0),46)),"")</f>
        <v>Put two +1/+1 counters on target creature and untap it.</v>
      </c>
    </row>
    <row r="5" spans="1:9" x14ac:dyDescent="0.35">
      <c r="A5" t="str" cm="1">
        <f t="array" ref="A5">IFERROR(INDEX(_xlfn.VSTACK(cards[uuid],tokens[uuid]), ROW()-ROW($A$1)),"")</f>
        <v>1b18ca2b-4e5e-54c1-bf43-1f32afa75f78</v>
      </c>
      <c r="B5" t="str">
        <f>IFERROR(_xlfn.IFNA(INDEX(cards[],MATCH(AllCardsViz[[#This Row],[uuid]],cards[uuid],0),50),INDEX(tokens[],MATCH(AllCardsViz[[#This Row],[uuid]],tokens[uuid],0),28)),"")</f>
        <v>Brisela, Voice of Nightmares</v>
      </c>
      <c r="C5" t="str">
        <f>IFERROR(_xlfn.IFNA(INDEX(cards[],MATCH(AllCardsViz[[#This Row],[uuid]],cards[uuid],0),63),""),"")</f>
        <v>mythic</v>
      </c>
      <c r="D5" t="str">
        <f>IFERROR(_xlfn.IFNA(INDEX(cards[],MATCH(AllCardsViz[[#This Row],[uuid]],cards[uuid],0),67),INDEX(tokens[],MATCH(AllCardsViz[[#This Row],[uuid]],tokens[uuid],0),40)),"")</f>
        <v>EMN</v>
      </c>
      <c r="E5" t="str">
        <f>IFERROR(_xlfn.IFNA(INDEX(cards[],MATCH(AllCardsViz[[#This Row],[uuid]],cards[uuid],0),68),INDEX(tokens[],MATCH(AllCardsViz[[#This Row],[uuid]],tokens[uuid],0),41)),"")</f>
        <v>b</v>
      </c>
      <c r="F5" t="str">
        <f>IFERROR(_xlfn.IFNA(INDEX(cards[],MATCH(AllCardsViz[[#This Row],[uuid]],cards[uuid],0),42),INDEX(tokens[],MATCH(AllCardsViz[[#This Row],[uuid]],tokens[uuid],0),24)),"")</f>
        <v>Flying, Lifelink, Vigilance, First strike</v>
      </c>
      <c r="G5" t="str">
        <f>IFERROR(_xlfn.IFNA(INDEX(cards[],MATCH(AllCardsViz[[#This Row],[uuid]],cards[uuid],0),21),INDEX(tokens[],MATCH(AllCardsViz[[#This Row],[uuid]],tokens[uuid],0),13)),"")</f>
        <v>nonfoil, foil</v>
      </c>
      <c r="H5" t="str">
        <f>IFERROR(INDEX(sets[],MATCH(AllCardsViz[[#This Row],[Setcode]],sets[code],0),2),INDEX(sets[],MATCH(AllCardsViz[[#This Row],[Setcode]],sets[tokenSetCode],0),2))</f>
        <v>Eldritch Moon</v>
      </c>
      <c r="I5" t="str">
        <f>IFERROR(_xlfn.IFNA(INDEX(cards[],MATCH(AllCardsViz[[#This Row],[uuid]],cards[uuid],0),74),INDEX(tokens[],MATCH(AllCardsViz[[#This Row],[uuid]],tokens[uuid],0),46)),"")</f>
        <v>Flying, first strike, vigilance, lifelink
Your opponents can't cast spells with mana value 3 or less.</v>
      </c>
    </row>
    <row r="6" spans="1:9" x14ac:dyDescent="0.35">
      <c r="A6" t="str" cm="1">
        <f t="array" ref="A6">IFERROR(INDEX(_xlfn.VSTACK(cards[uuid],tokens[uuid]), ROW()-ROW($A$1)),"")</f>
        <v>1c1aafc6-e078-5951-a22e-4d386aef8140</v>
      </c>
      <c r="B6" t="str">
        <f>IFERROR(_xlfn.IFNA(INDEX(cards[],MATCH(AllCardsViz[[#This Row],[uuid]],cards[uuid],0),50),INDEX(tokens[],MATCH(AllCardsViz[[#This Row],[uuid]],tokens[uuid],0),28)),"")</f>
        <v>Gixian Puppeteer</v>
      </c>
      <c r="C6" t="str">
        <f>IFERROR(_xlfn.IFNA(INDEX(cards[],MATCH(AllCardsViz[[#This Row],[uuid]],cards[uuid],0),63),""),"")</f>
        <v>rare</v>
      </c>
      <c r="D6" t="str">
        <f>IFERROR(_xlfn.IFNA(INDEX(cards[],MATCH(AllCardsViz[[#This Row],[uuid]],cards[uuid],0),67),INDEX(tokens[],MATCH(AllCardsViz[[#This Row],[uuid]],tokens[uuid],0),40)),"")</f>
        <v>PRM</v>
      </c>
      <c r="E6" t="str">
        <f>IFERROR(_xlfn.IFNA(INDEX(cards[],MATCH(AllCardsViz[[#This Row],[uuid]],cards[uuid],0),68),INDEX(tokens[],MATCH(AllCardsViz[[#This Row],[uuid]],tokens[uuid],0),41)),"")</f>
        <v/>
      </c>
      <c r="F6" t="str">
        <f>IFERROR(_xlfn.IFNA(INDEX(cards[],MATCH(AllCardsViz[[#This Row],[uuid]],cards[uuid],0),42),INDEX(tokens[],MATCH(AllCardsViz[[#This Row],[uuid]],tokens[uuid],0),24)),"")</f>
        <v/>
      </c>
      <c r="G6" t="str">
        <f>IFERROR(_xlfn.IFNA(INDEX(cards[],MATCH(AllCardsViz[[#This Row],[uuid]],cards[uuid],0),21),INDEX(tokens[],MATCH(AllCardsViz[[#This Row],[uuid]],tokens[uuid],0),13)),"")</f>
        <v>nonfoil, foil</v>
      </c>
      <c r="H6" t="str">
        <f>IFERROR(INDEX(sets[],MATCH(AllCardsViz[[#This Row],[Setcode]],sets[code],0),2),INDEX(sets[],MATCH(AllCardsViz[[#This Row],[Setcode]],sets[tokenSetCode],0),2))</f>
        <v>Magic Online Promos</v>
      </c>
      <c r="I6" t="str">
        <f>IFERROR(_xlfn.IFNA(INDEX(cards[],MATCH(AllCardsViz[[#This Row],[uuid]],cards[uuid],0),74),INDEX(tokens[],MATCH(AllCardsViz[[#This Row],[uuid]],tokens[uuid],0),46)),"")</f>
        <v>Whenever you draw your second card each turn, each opponent loses 2 life and you gain 2 life.
When this creature dies, return another target creature card with mana value 3 or less from your graveyard to the battlefield.</v>
      </c>
    </row>
    <row r="7" spans="1:9" x14ac:dyDescent="0.35">
      <c r="A7" t="str" cm="1">
        <f t="array" ref="A7">IFERROR(INDEX(_xlfn.VSTACK(cards[uuid],tokens[uuid]), ROW()-ROW($A$1)),"")</f>
        <v>1fb6b965-6d0e-536c-8593-63140f3c6e9f</v>
      </c>
      <c r="B7" t="str">
        <f>IFERROR(_xlfn.IFNA(INDEX(cards[],MATCH(AllCardsViz[[#This Row],[uuid]],cards[uuid],0),50),INDEX(tokens[],MATCH(AllCardsViz[[#This Row],[uuid]],tokens[uuid],0),28)),"")</f>
        <v>Thought Harvester</v>
      </c>
      <c r="C7" t="str">
        <f>IFERROR(_xlfn.IFNA(INDEX(cards[],MATCH(AllCardsViz[[#This Row],[uuid]],cards[uuid],0),63),""),"")</f>
        <v>uncommon</v>
      </c>
      <c r="D7" t="str">
        <f>IFERROR(_xlfn.IFNA(INDEX(cards[],MATCH(AllCardsViz[[#This Row],[uuid]],cards[uuid],0),67),INDEX(tokens[],MATCH(AllCardsViz[[#This Row],[uuid]],tokens[uuid],0),40)),"")</f>
        <v>OGW</v>
      </c>
      <c r="E7" t="str">
        <f>IFERROR(_xlfn.IFNA(INDEX(cards[],MATCH(AllCardsViz[[#This Row],[uuid]],cards[uuid],0),68),INDEX(tokens[],MATCH(AllCardsViz[[#This Row],[uuid]],tokens[uuid],0),41)),"")</f>
        <v/>
      </c>
      <c r="F7" t="str">
        <f>IFERROR(_xlfn.IFNA(INDEX(cards[],MATCH(AllCardsViz[[#This Row],[uuid]],cards[uuid],0),42),INDEX(tokens[],MATCH(AllCardsViz[[#This Row],[uuid]],tokens[uuid],0),24)),"")</f>
        <v>Flying, Devoid</v>
      </c>
      <c r="G7" t="str">
        <f>IFERROR(_xlfn.IFNA(INDEX(cards[],MATCH(AllCardsViz[[#This Row],[uuid]],cards[uuid],0),21),INDEX(tokens[],MATCH(AllCardsViz[[#This Row],[uuid]],tokens[uuid],0),13)),"")</f>
        <v>nonfoil, foil</v>
      </c>
      <c r="H7" t="str">
        <f>IFERROR(INDEX(sets[],MATCH(AllCardsViz[[#This Row],[Setcode]],sets[code],0),2),INDEX(sets[],MATCH(AllCardsViz[[#This Row],[Setcode]],sets[tokenSetCode],0),2))</f>
        <v>Oath of the Gatewatch</v>
      </c>
      <c r="I7" t="str">
        <f>IFERROR(_xlfn.IFNA(INDEX(cards[],MATCH(AllCardsViz[[#This Row],[uuid]],cards[uuid],0),74),INDEX(tokens[],MATCH(AllCardsViz[[#This Row],[uuid]],tokens[uuid],0),46)),"")</f>
        <v>Devoid (This card has no color.)
Flying
Whenever you cast a colorless spell, target opponent exiles the top card of their library.</v>
      </c>
    </row>
    <row r="8" spans="1:9" x14ac:dyDescent="0.35">
      <c r="A8" t="str" cm="1">
        <f t="array" ref="A8">IFERROR(INDEX(_xlfn.VSTACK(cards[uuid],tokens[uuid]), ROW()-ROW($A$1)),"")</f>
        <v>28a21701-487e-5d54-9bb2-22f862734499</v>
      </c>
      <c r="B8" t="str">
        <f>IFERROR(_xlfn.IFNA(INDEX(cards[],MATCH(AllCardsViz[[#This Row],[uuid]],cards[uuid],0),50),INDEX(tokens[],MATCH(AllCardsViz[[#This Row],[uuid]],tokens[uuid],0),28)),"")</f>
        <v>Glarewielder</v>
      </c>
      <c r="C8" t="str">
        <f>IFERROR(_xlfn.IFNA(INDEX(cards[],MATCH(AllCardsViz[[#This Row],[uuid]],cards[uuid],0),63),""),"")</f>
        <v>uncommon</v>
      </c>
      <c r="D8" t="str">
        <f>IFERROR(_xlfn.IFNA(INDEX(cards[],MATCH(AllCardsViz[[#This Row],[uuid]],cards[uuid],0),67),INDEX(tokens[],MATCH(AllCardsViz[[#This Row],[uuid]],tokens[uuid],0),40)),"")</f>
        <v>LRW</v>
      </c>
      <c r="E8" t="str">
        <f>IFERROR(_xlfn.IFNA(INDEX(cards[],MATCH(AllCardsViz[[#This Row],[uuid]],cards[uuid],0),68),INDEX(tokens[],MATCH(AllCardsViz[[#This Row],[uuid]],tokens[uuid],0),41)),"")</f>
        <v/>
      </c>
      <c r="F8" t="str">
        <f>IFERROR(_xlfn.IFNA(INDEX(cards[],MATCH(AllCardsViz[[#This Row],[uuid]],cards[uuid],0),42),INDEX(tokens[],MATCH(AllCardsViz[[#This Row],[uuid]],tokens[uuid],0),24)),"")</f>
        <v>Evoke, Haste</v>
      </c>
      <c r="G8" t="str">
        <f>IFERROR(_xlfn.IFNA(INDEX(cards[],MATCH(AllCardsViz[[#This Row],[uuid]],cards[uuid],0),21),INDEX(tokens[],MATCH(AllCardsViz[[#This Row],[uuid]],tokens[uuid],0),13)),"")</f>
        <v>nonfoil, foil</v>
      </c>
      <c r="H8" t="str">
        <f>IFERROR(INDEX(sets[],MATCH(AllCardsViz[[#This Row],[Setcode]],sets[code],0),2),INDEX(sets[],MATCH(AllCardsViz[[#This Row],[Setcode]],sets[tokenSetCode],0),2))</f>
        <v>Lorwyn</v>
      </c>
      <c r="I8" t="str">
        <f>IFERROR(_xlfn.IFNA(INDEX(cards[],MATCH(AllCardsViz[[#This Row],[uuid]],cards[uuid],0),74),INDEX(tokens[],MATCH(AllCardsViz[[#This Row],[uuid]],tokens[uuid],0),46)),"")</f>
        <v>Haste
When this creature enters, up to two target creatures can't block this turn.
Evoke {1}{R} (You may cast this spell for its evoke cost. If you do, it's sacrificed when it enters.)</v>
      </c>
    </row>
    <row r="9" spans="1:9" x14ac:dyDescent="0.35">
      <c r="A9" t="str" cm="1">
        <f t="array" ref="A9">IFERROR(INDEX(_xlfn.VSTACK(cards[uuid],tokens[uuid]), ROW()-ROW($A$1)),"")</f>
        <v>358c5647-9f47-5f5d-9497-36336d8c7bb9</v>
      </c>
      <c r="B9" t="str">
        <f>IFERROR(_xlfn.IFNA(INDEX(cards[],MATCH(AllCardsViz[[#This Row],[uuid]],cards[uuid],0),50),INDEX(tokens[],MATCH(AllCardsViz[[#This Row],[uuid]],tokens[uuid],0),28)),"")</f>
        <v>Plummet</v>
      </c>
      <c r="C9" t="str">
        <f>IFERROR(_xlfn.IFNA(INDEX(cards[],MATCH(AllCardsViz[[#This Row],[uuid]],cards[uuid],0),63),""),"")</f>
        <v>common</v>
      </c>
      <c r="D9" t="str">
        <f>IFERROR(_xlfn.IFNA(INDEX(cards[],MATCH(AllCardsViz[[#This Row],[uuid]],cards[uuid],0),67),INDEX(tokens[],MATCH(AllCardsViz[[#This Row],[uuid]],tokens[uuid],0),40)),"")</f>
        <v>BFZ</v>
      </c>
      <c r="E9" t="str">
        <f>IFERROR(_xlfn.IFNA(INDEX(cards[],MATCH(AllCardsViz[[#This Row],[uuid]],cards[uuid],0),68),INDEX(tokens[],MATCH(AllCardsViz[[#This Row],[uuid]],tokens[uuid],0),41)),"")</f>
        <v/>
      </c>
      <c r="F9" t="str">
        <f>IFERROR(_xlfn.IFNA(INDEX(cards[],MATCH(AllCardsViz[[#This Row],[uuid]],cards[uuid],0),42),INDEX(tokens[],MATCH(AllCardsViz[[#This Row],[uuid]],tokens[uuid],0),24)),"")</f>
        <v/>
      </c>
      <c r="G9" t="str">
        <f>IFERROR(_xlfn.IFNA(INDEX(cards[],MATCH(AllCardsViz[[#This Row],[uuid]],cards[uuid],0),21),INDEX(tokens[],MATCH(AllCardsViz[[#This Row],[uuid]],tokens[uuid],0),13)),"")</f>
        <v>nonfoil, foil</v>
      </c>
      <c r="H9" t="str">
        <f>IFERROR(INDEX(sets[],MATCH(AllCardsViz[[#This Row],[Setcode]],sets[code],0),2),INDEX(sets[],MATCH(AllCardsViz[[#This Row],[Setcode]],sets[tokenSetCode],0),2))</f>
        <v>Battle for Zendikar</v>
      </c>
      <c r="I9" t="str">
        <f>IFERROR(_xlfn.IFNA(INDEX(cards[],MATCH(AllCardsViz[[#This Row],[uuid]],cards[uuid],0),74),INDEX(tokens[],MATCH(AllCardsViz[[#This Row],[uuid]],tokens[uuid],0),46)),"")</f>
        <v>Destroy target creature with flying.</v>
      </c>
    </row>
    <row r="10" spans="1:9" x14ac:dyDescent="0.35">
      <c r="A10" t="str" cm="1">
        <f t="array" ref="A10">IFERROR(INDEX(_xlfn.VSTACK(cards[uuid],tokens[uuid]), ROW()-ROW($A$1)),"")</f>
        <v>3c389f9c-e459-5b16-87b5-d51644f05b25</v>
      </c>
      <c r="B10" t="str">
        <f>IFERROR(_xlfn.IFNA(INDEX(cards[],MATCH(AllCardsViz[[#This Row],[uuid]],cards[uuid],0),50),INDEX(tokens[],MATCH(AllCardsViz[[#This Row],[uuid]],tokens[uuid],0),28)),"")</f>
        <v>Sokrates, Athenian Teacher</v>
      </c>
      <c r="C10" t="str">
        <f>IFERROR(_xlfn.IFNA(INDEX(cards[],MATCH(AllCardsViz[[#This Row],[uuid]],cards[uuid],0),63),""),"")</f>
        <v>rare</v>
      </c>
      <c r="D10" t="str">
        <f>IFERROR(_xlfn.IFNA(INDEX(cards[],MATCH(AllCardsViz[[#This Row],[uuid]],cards[uuid],0),67),INDEX(tokens[],MATCH(AllCardsViz[[#This Row],[uuid]],tokens[uuid],0),40)),"")</f>
        <v>ACR</v>
      </c>
      <c r="E10" t="str">
        <f>IFERROR(_xlfn.IFNA(INDEX(cards[],MATCH(AllCardsViz[[#This Row],[uuid]],cards[uuid],0),68),INDEX(tokens[],MATCH(AllCardsViz[[#This Row],[uuid]],tokens[uuid],0),41)),"")</f>
        <v/>
      </c>
      <c r="F10" t="str">
        <f>IFERROR(_xlfn.IFNA(INDEX(cards[],MATCH(AllCardsViz[[#This Row],[uuid]],cards[uuid],0),42),INDEX(tokens[],MATCH(AllCardsViz[[#This Row],[uuid]],tokens[uuid],0),24)),"")</f>
        <v>Sokratic Dialogue, Defender</v>
      </c>
      <c r="G10" t="str">
        <f>IFERROR(_xlfn.IFNA(INDEX(cards[],MATCH(AllCardsViz[[#This Row],[uuid]],cards[uuid],0),21),INDEX(tokens[],MATCH(AllCardsViz[[#This Row],[uuid]],tokens[uuid],0),13)),"")</f>
        <v>foil</v>
      </c>
      <c r="H10" t="str">
        <f>IFERROR(INDEX(sets[],MATCH(AllCardsViz[[#This Row],[Setcode]],sets[code],0),2),INDEX(sets[],MATCH(AllCardsViz[[#This Row],[Setcode]],sets[tokenSetCode],0),2))</f>
        <v>Assassin's Creed</v>
      </c>
      <c r="I10" t="str">
        <f>IFERROR(_xlfn.IFNA(INDEX(cards[],MATCH(AllCardsViz[[#This Row],[uuid]],cards[uuid],0),74),INDEX(tokens[],MATCH(AllCardsViz[[#This Row],[uuid]],tokens[uuid],0),46)),"")</f>
        <v>Defender
Sokrates has hexproof as long as it's untapped.
Sokratic Dialogue — {T}: Until end of turn, target creature gains "If this creature would deal combat damage to a player, prevent that damage. This creature's controller and that player each draw half that many cards, rounded down."</v>
      </c>
    </row>
    <row r="11" spans="1:9" x14ac:dyDescent="0.35">
      <c r="A11" t="str" cm="1">
        <f t="array" ref="A11">IFERROR(INDEX(_xlfn.VSTACK(cards[uuid],tokens[uuid]), ROW()-ROW($A$1)),"")</f>
        <v>413e11a5-35a1-51c7-928b-219b4453a094</v>
      </c>
      <c r="B11" t="str">
        <f>IFERROR(_xlfn.IFNA(INDEX(cards[],MATCH(AllCardsViz[[#This Row],[uuid]],cards[uuid],0),50),INDEX(tokens[],MATCH(AllCardsViz[[#This Row],[uuid]],tokens[uuid],0),28)),"")</f>
        <v>Hypnotic Cloud</v>
      </c>
      <c r="C11" t="str">
        <f>IFERROR(_xlfn.IFNA(INDEX(cards[],MATCH(AllCardsViz[[#This Row],[uuid]],cards[uuid],0),63),""),"")</f>
        <v>common</v>
      </c>
      <c r="D11" t="str">
        <f>IFERROR(_xlfn.IFNA(INDEX(cards[],MATCH(AllCardsViz[[#This Row],[uuid]],cards[uuid],0),67),INDEX(tokens[],MATCH(AllCardsViz[[#This Row],[uuid]],tokens[uuid],0),40)),"")</f>
        <v>INV</v>
      </c>
      <c r="E11" t="str">
        <f>IFERROR(_xlfn.IFNA(INDEX(cards[],MATCH(AllCardsViz[[#This Row],[uuid]],cards[uuid],0),68),INDEX(tokens[],MATCH(AllCardsViz[[#This Row],[uuid]],tokens[uuid],0),41)),"")</f>
        <v/>
      </c>
      <c r="F11" t="str">
        <f>IFERROR(_xlfn.IFNA(INDEX(cards[],MATCH(AllCardsViz[[#This Row],[uuid]],cards[uuid],0),42),INDEX(tokens[],MATCH(AllCardsViz[[#This Row],[uuid]],tokens[uuid],0),24)),"")</f>
        <v>Kicker</v>
      </c>
      <c r="G11" t="str">
        <f>IFERROR(_xlfn.IFNA(INDEX(cards[],MATCH(AllCardsViz[[#This Row],[uuid]],cards[uuid],0),21),INDEX(tokens[],MATCH(AllCardsViz[[#This Row],[uuid]],tokens[uuid],0),13)),"")</f>
        <v>nonfoil, foil</v>
      </c>
      <c r="H11" t="str">
        <f>IFERROR(INDEX(sets[],MATCH(AllCardsViz[[#This Row],[Setcode]],sets[code],0),2),INDEX(sets[],MATCH(AllCardsViz[[#This Row],[Setcode]],sets[tokenSetCode],0),2))</f>
        <v>Invasion</v>
      </c>
      <c r="I11" t="str">
        <f>IFERROR(_xlfn.IFNA(INDEX(cards[],MATCH(AllCardsViz[[#This Row],[uuid]],cards[uuid],0),74),INDEX(tokens[],MATCH(AllCardsViz[[#This Row],[uuid]],tokens[uuid],0),46)),"")</f>
        <v>Kicker {4} (You may pay an additional {4} as you cast this spell.)
Target player discards a card. If this spell was kicked, that player discards three cards instead.</v>
      </c>
    </row>
    <row r="12" spans="1:9" x14ac:dyDescent="0.35">
      <c r="A12" t="str" cm="1">
        <f t="array" ref="A12">IFERROR(INDEX(_xlfn.VSTACK(cards[uuid],tokens[uuid]), ROW()-ROW($A$1)),"")</f>
        <v>43b41a9c-56c7-5aa9-80bf-dc90211351ab</v>
      </c>
      <c r="B12" t="str">
        <f>IFERROR(_xlfn.IFNA(INDEX(cards[],MATCH(AllCardsViz[[#This Row],[uuid]],cards[uuid],0),50),INDEX(tokens[],MATCH(AllCardsViz[[#This Row],[uuid]],tokens[uuid],0),28)),"")</f>
        <v>Dead Weight</v>
      </c>
      <c r="C12" t="str">
        <f>IFERROR(_xlfn.IFNA(INDEX(cards[],MATCH(AllCardsViz[[#This Row],[uuid]],cards[uuid],0),63),""),"")</f>
        <v>common</v>
      </c>
      <c r="D12" t="str">
        <f>IFERROR(_xlfn.IFNA(INDEX(cards[],MATCH(AllCardsViz[[#This Row],[uuid]],cards[uuid],0),67),INDEX(tokens[],MATCH(AllCardsViz[[#This Row],[uuid]],tokens[uuid],0),40)),"")</f>
        <v>GRN</v>
      </c>
      <c r="E12" t="str">
        <f>IFERROR(_xlfn.IFNA(INDEX(cards[],MATCH(AllCardsViz[[#This Row],[uuid]],cards[uuid],0),68),INDEX(tokens[],MATCH(AllCardsViz[[#This Row],[uuid]],tokens[uuid],0),41)),"")</f>
        <v/>
      </c>
      <c r="F12" t="str">
        <f>IFERROR(_xlfn.IFNA(INDEX(cards[],MATCH(AllCardsViz[[#This Row],[uuid]],cards[uuid],0),42),INDEX(tokens[],MATCH(AllCardsViz[[#This Row],[uuid]],tokens[uuid],0),24)),"")</f>
        <v>Enchant</v>
      </c>
      <c r="G12" t="str">
        <f>IFERROR(_xlfn.IFNA(INDEX(cards[],MATCH(AllCardsViz[[#This Row],[uuid]],cards[uuid],0),21),INDEX(tokens[],MATCH(AllCardsViz[[#This Row],[uuid]],tokens[uuid],0),13)),"")</f>
        <v>nonfoil, foil</v>
      </c>
      <c r="H12" t="str">
        <f>IFERROR(INDEX(sets[],MATCH(AllCardsViz[[#This Row],[Setcode]],sets[code],0),2),INDEX(sets[],MATCH(AllCardsViz[[#This Row],[Setcode]],sets[tokenSetCode],0),2))</f>
        <v>Guilds of Ravnica</v>
      </c>
      <c r="I12" t="str">
        <f>IFERROR(_xlfn.IFNA(INDEX(cards[],MATCH(AllCardsViz[[#This Row],[uuid]],cards[uuid],0),74),INDEX(tokens[],MATCH(AllCardsViz[[#This Row],[uuid]],tokens[uuid],0),46)),"")</f>
        <v>Enchant creature
Enchanted creature gets -2/-2.</v>
      </c>
    </row>
    <row r="13" spans="1:9" x14ac:dyDescent="0.35">
      <c r="A13" t="str" cm="1">
        <f t="array" ref="A13">IFERROR(INDEX(_xlfn.VSTACK(cards[uuid],tokens[uuid]), ROW()-ROW($A$1)),"")</f>
        <v>5bb79a0f-ad7d-5383-8c9d-04bc757bcb4f</v>
      </c>
      <c r="B13" t="str">
        <f>IFERROR(_xlfn.IFNA(INDEX(cards[],MATCH(AllCardsViz[[#This Row],[uuid]],cards[uuid],0),50),INDEX(tokens[],MATCH(AllCardsViz[[#This Row],[uuid]],tokens[uuid],0),28)),"")</f>
        <v>Gisela, the Broken Blade // Brisela, Voice of Nightmares</v>
      </c>
      <c r="C13" t="str">
        <f>IFERROR(_xlfn.IFNA(INDEX(cards[],MATCH(AllCardsViz[[#This Row],[uuid]],cards[uuid],0),63),""),"")</f>
        <v>mythic</v>
      </c>
      <c r="D13" t="str">
        <f>IFERROR(_xlfn.IFNA(INDEX(cards[],MATCH(AllCardsViz[[#This Row],[uuid]],cards[uuid],0),67),INDEX(tokens[],MATCH(AllCardsViz[[#This Row],[uuid]],tokens[uuid],0),40)),"")</f>
        <v>EMN</v>
      </c>
      <c r="E13" t="str">
        <f>IFERROR(_xlfn.IFNA(INDEX(cards[],MATCH(AllCardsViz[[#This Row],[uuid]],cards[uuid],0),68),INDEX(tokens[],MATCH(AllCardsViz[[#This Row],[uuid]],tokens[uuid],0),41)),"")</f>
        <v>a</v>
      </c>
      <c r="F13" t="str">
        <f>IFERROR(_xlfn.IFNA(INDEX(cards[],MATCH(AllCardsViz[[#This Row],[uuid]],cards[uuid],0),42),INDEX(tokens[],MATCH(AllCardsViz[[#This Row],[uuid]],tokens[uuid],0),24)),"")</f>
        <v>Flying, Lifelink, First strike, Meld</v>
      </c>
      <c r="G13" t="str">
        <f>IFERROR(_xlfn.IFNA(INDEX(cards[],MATCH(AllCardsViz[[#This Row],[uuid]],cards[uuid],0),21),INDEX(tokens[],MATCH(AllCardsViz[[#This Row],[uuid]],tokens[uuid],0),13)),"")</f>
        <v>nonfoil, foil</v>
      </c>
      <c r="H13" t="str">
        <f>IFERROR(INDEX(sets[],MATCH(AllCardsViz[[#This Row],[Setcode]],sets[code],0),2),INDEX(sets[],MATCH(AllCardsViz[[#This Row],[Setcode]],sets[tokenSetCode],0),2))</f>
        <v>Eldritch Moon</v>
      </c>
      <c r="I13" t="str">
        <f>IFERROR(_xlfn.IFNA(INDEX(cards[],MATCH(AllCardsViz[[#This Row],[uuid]],cards[uuid],0),74),INDEX(tokens[],MATCH(AllCardsViz[[#This Row],[uuid]],tokens[uuid],0),46)),"")</f>
        <v>Flying, first strike, lifelink
At the beginning of your end step, if you both own and control Gisela and a creature named Bruna, the Fading Light, exile them, then meld them into Brisela, Voice of Nightmares.</v>
      </c>
    </row>
    <row r="14" spans="1:9" x14ac:dyDescent="0.35">
      <c r="A14" t="str" cm="1">
        <f t="array" ref="A14">IFERROR(INDEX(_xlfn.VSTACK(cards[uuid],tokens[uuid]), ROW()-ROW($A$1)),"")</f>
        <v>5ce32715-8dee-5c47-986a-88d00e87c506</v>
      </c>
      <c r="B14" t="str">
        <f>IFERROR(_xlfn.IFNA(INDEX(cards[],MATCH(AllCardsViz[[#This Row],[uuid]],cards[uuid],0),50),INDEX(tokens[],MATCH(AllCardsViz[[#This Row],[uuid]],tokens[uuid],0),28)),"")</f>
        <v>Grazing Gladehart</v>
      </c>
      <c r="C14" t="str">
        <f>IFERROR(_xlfn.IFNA(INDEX(cards[],MATCH(AllCardsViz[[#This Row],[uuid]],cards[uuid],0),63),""),"")</f>
        <v>common</v>
      </c>
      <c r="D14" t="str">
        <f>IFERROR(_xlfn.IFNA(INDEX(cards[],MATCH(AllCardsViz[[#This Row],[uuid]],cards[uuid],0),67),INDEX(tokens[],MATCH(AllCardsViz[[#This Row],[uuid]],tokens[uuid],0),40)),"")</f>
        <v>ZEN</v>
      </c>
      <c r="E14" t="str">
        <f>IFERROR(_xlfn.IFNA(INDEX(cards[],MATCH(AllCardsViz[[#This Row],[uuid]],cards[uuid],0),68),INDEX(tokens[],MATCH(AllCardsViz[[#This Row],[uuid]],tokens[uuid],0),41)),"")</f>
        <v/>
      </c>
      <c r="F14" t="str">
        <f>IFERROR(_xlfn.IFNA(INDEX(cards[],MATCH(AllCardsViz[[#This Row],[uuid]],cards[uuid],0),42),INDEX(tokens[],MATCH(AllCardsViz[[#This Row],[uuid]],tokens[uuid],0),24)),"")</f>
        <v>Landfall</v>
      </c>
      <c r="G14" t="str">
        <f>IFERROR(_xlfn.IFNA(INDEX(cards[],MATCH(AllCardsViz[[#This Row],[uuid]],cards[uuid],0),21),INDEX(tokens[],MATCH(AllCardsViz[[#This Row],[uuid]],tokens[uuid],0),13)),"")</f>
        <v>nonfoil, foil</v>
      </c>
      <c r="H14" t="str">
        <f>IFERROR(INDEX(sets[],MATCH(AllCardsViz[[#This Row],[Setcode]],sets[code],0),2),INDEX(sets[],MATCH(AllCardsViz[[#This Row],[Setcode]],sets[tokenSetCode],0),2))</f>
        <v>Zendikar</v>
      </c>
      <c r="I14" t="str">
        <f>IFERROR(_xlfn.IFNA(INDEX(cards[],MATCH(AllCardsViz[[#This Row],[uuid]],cards[uuid],0),74),INDEX(tokens[],MATCH(AllCardsViz[[#This Row],[uuid]],tokens[uuid],0),46)),"")</f>
        <v>Landfall — Whenever a land you control enters, you may gain 2 life.</v>
      </c>
    </row>
    <row r="15" spans="1:9" x14ac:dyDescent="0.35">
      <c r="A15" t="str" cm="1">
        <f t="array" ref="A15">IFERROR(INDEX(_xlfn.VSTACK(cards[uuid],tokens[uuid]), ROW()-ROW($A$1)),"")</f>
        <v>5e6a3099-2597-5755-8a6f-67f1569a3b8a</v>
      </c>
      <c r="B15" t="str">
        <f>IFERROR(_xlfn.IFNA(INDEX(cards[],MATCH(AllCardsViz[[#This Row],[uuid]],cards[uuid],0),50),INDEX(tokens[],MATCH(AllCardsViz[[#This Row],[uuid]],tokens[uuid],0),28)),"")</f>
        <v>Leave No Trace</v>
      </c>
      <c r="C15" t="str">
        <f>IFERROR(_xlfn.IFNA(INDEX(cards[],MATCH(AllCardsViz[[#This Row],[uuid]],cards[uuid],0),63),""),"")</f>
        <v>common</v>
      </c>
      <c r="D15" t="str">
        <f>IFERROR(_xlfn.IFNA(INDEX(cards[],MATCH(AllCardsViz[[#This Row],[uuid]],cards[uuid],0),67),INDEX(tokens[],MATCH(AllCardsViz[[#This Row],[uuid]],tokens[uuid],0),40)),"")</f>
        <v>RAV</v>
      </c>
      <c r="E15" t="str">
        <f>IFERROR(_xlfn.IFNA(INDEX(cards[],MATCH(AllCardsViz[[#This Row],[uuid]],cards[uuid],0),68),INDEX(tokens[],MATCH(AllCardsViz[[#This Row],[uuid]],tokens[uuid],0),41)),"")</f>
        <v/>
      </c>
      <c r="F15" t="str">
        <f>IFERROR(_xlfn.IFNA(INDEX(cards[],MATCH(AllCardsViz[[#This Row],[uuid]],cards[uuid],0),42),INDEX(tokens[],MATCH(AllCardsViz[[#This Row],[uuid]],tokens[uuid],0),24)),"")</f>
        <v>Radiance</v>
      </c>
      <c r="G15" t="str">
        <f>IFERROR(_xlfn.IFNA(INDEX(cards[],MATCH(AllCardsViz[[#This Row],[uuid]],cards[uuid],0),21),INDEX(tokens[],MATCH(AllCardsViz[[#This Row],[uuid]],tokens[uuid],0),13)),"")</f>
        <v>nonfoil, foil</v>
      </c>
      <c r="H15" t="str">
        <f>IFERROR(INDEX(sets[],MATCH(AllCardsViz[[#This Row],[Setcode]],sets[code],0),2),INDEX(sets[],MATCH(AllCardsViz[[#This Row],[Setcode]],sets[tokenSetCode],0),2))</f>
        <v>Ravnica: City of Guilds</v>
      </c>
      <c r="I15" t="str">
        <f>IFERROR(_xlfn.IFNA(INDEX(cards[],MATCH(AllCardsViz[[#This Row],[uuid]],cards[uuid],0),74),INDEX(tokens[],MATCH(AllCardsViz[[#This Row],[uuid]],tokens[uuid],0),46)),"")</f>
        <v>Radiance — Destroy target enchantment and each other enchantment that shares a color with it.</v>
      </c>
    </row>
    <row r="16" spans="1:9" x14ac:dyDescent="0.35">
      <c r="A16" t="str" cm="1">
        <f t="array" ref="A16">IFERROR(INDEX(_xlfn.VSTACK(cards[uuid],tokens[uuid]), ROW()-ROW($A$1)),"")</f>
        <v>6081d8fd-26e1-5e6a-9c98-417d03214856</v>
      </c>
      <c r="B16" t="str">
        <f>IFERROR(_xlfn.IFNA(INDEX(cards[],MATCH(AllCardsViz[[#This Row],[uuid]],cards[uuid],0),50),INDEX(tokens[],MATCH(AllCardsViz[[#This Row],[uuid]],tokens[uuid],0),28)),"")</f>
        <v>Bruna, the Fading Light // Brisela, Voice of Nightmares</v>
      </c>
      <c r="C16" t="str">
        <f>IFERROR(_xlfn.IFNA(INDEX(cards[],MATCH(AllCardsViz[[#This Row],[uuid]],cards[uuid],0),63),""),"")</f>
        <v>rare</v>
      </c>
      <c r="D16" t="str">
        <f>IFERROR(_xlfn.IFNA(INDEX(cards[],MATCH(AllCardsViz[[#This Row],[uuid]],cards[uuid],0),67),INDEX(tokens[],MATCH(AllCardsViz[[#This Row],[uuid]],tokens[uuid],0),40)),"")</f>
        <v>EMN</v>
      </c>
      <c r="E16" t="str">
        <f>IFERROR(_xlfn.IFNA(INDEX(cards[],MATCH(AllCardsViz[[#This Row],[uuid]],cards[uuid],0),68),INDEX(tokens[],MATCH(AllCardsViz[[#This Row],[uuid]],tokens[uuid],0),41)),"")</f>
        <v>a</v>
      </c>
      <c r="F16" t="str">
        <f>IFERROR(_xlfn.IFNA(INDEX(cards[],MATCH(AllCardsViz[[#This Row],[uuid]],cards[uuid],0),42),INDEX(tokens[],MATCH(AllCardsViz[[#This Row],[uuid]],tokens[uuid],0),24)),"")</f>
        <v>Flying, Vigilance</v>
      </c>
      <c r="G16" t="str">
        <f>IFERROR(_xlfn.IFNA(INDEX(cards[],MATCH(AllCardsViz[[#This Row],[uuid]],cards[uuid],0),21),INDEX(tokens[],MATCH(AllCardsViz[[#This Row],[uuid]],tokens[uuid],0),13)),"")</f>
        <v>nonfoil, foil</v>
      </c>
      <c r="H16" t="str">
        <f>IFERROR(INDEX(sets[],MATCH(AllCardsViz[[#This Row],[Setcode]],sets[code],0),2),INDEX(sets[],MATCH(AllCardsViz[[#This Row],[Setcode]],sets[tokenSetCode],0),2))</f>
        <v>Eldritch Moon</v>
      </c>
      <c r="I16" t="str">
        <f>IFERROR(_xlfn.IFNA(INDEX(cards[],MATCH(AllCardsViz[[#This Row],[uuid]],cards[uuid],0),74),INDEX(tokens[],MATCH(AllCardsViz[[#This Row],[uuid]],tokens[uuid],0),46)),"")</f>
        <v>When you cast this spell, you may return target Angel or Human creature card from your graveyard to the battlefield.
Flying, vigilance
(Melds with Gisela, the Broken Blade.)</v>
      </c>
    </row>
    <row r="17" spans="1:9" x14ac:dyDescent="0.35">
      <c r="A17" t="str" cm="1">
        <f t="array" ref="A17">IFERROR(INDEX(_xlfn.VSTACK(cards[uuid],tokens[uuid]), ROW()-ROW($A$1)),"")</f>
        <v>66124810-2a79-5c4f-a43f-181400aa8c4f</v>
      </c>
      <c r="B17" t="str">
        <f>IFERROR(_xlfn.IFNA(INDEX(cards[],MATCH(AllCardsViz[[#This Row],[uuid]],cards[uuid],0),50),INDEX(tokens[],MATCH(AllCardsViz[[#This Row],[uuid]],tokens[uuid],0),28)),"")</f>
        <v>Realmwalker</v>
      </c>
      <c r="C17" t="str">
        <f>IFERROR(_xlfn.IFNA(INDEX(cards[],MATCH(AllCardsViz[[#This Row],[uuid]],cards[uuid],0),63),""),"")</f>
        <v>rare</v>
      </c>
      <c r="D17" t="str">
        <f>IFERROR(_xlfn.IFNA(INDEX(cards[],MATCH(AllCardsViz[[#This Row],[uuid]],cards[uuid],0),67),INDEX(tokens[],MATCH(AllCardsViz[[#This Row],[uuid]],tokens[uuid],0),40)),"")</f>
        <v>PKHM</v>
      </c>
      <c r="E17" t="str">
        <f>IFERROR(_xlfn.IFNA(INDEX(cards[],MATCH(AllCardsViz[[#This Row],[uuid]],cards[uuid],0),68),INDEX(tokens[],MATCH(AllCardsViz[[#This Row],[uuid]],tokens[uuid],0),41)),"")</f>
        <v/>
      </c>
      <c r="F17" t="str">
        <f>IFERROR(_xlfn.IFNA(INDEX(cards[],MATCH(AllCardsViz[[#This Row],[uuid]],cards[uuid],0),42),INDEX(tokens[],MATCH(AllCardsViz[[#This Row],[uuid]],tokens[uuid],0),24)),"")</f>
        <v>Changeling</v>
      </c>
      <c r="G17" t="str">
        <f>IFERROR(_xlfn.IFNA(INDEX(cards[],MATCH(AllCardsViz[[#This Row],[uuid]],cards[uuid],0),21),INDEX(tokens[],MATCH(AllCardsViz[[#This Row],[uuid]],tokens[uuid],0),13)),"")</f>
        <v>foil</v>
      </c>
      <c r="H17" t="str">
        <f>IFERROR(INDEX(sets[],MATCH(AllCardsViz[[#This Row],[Setcode]],sets[code],0),2),INDEX(sets[],MATCH(AllCardsViz[[#This Row],[Setcode]],sets[tokenSetCode],0),2))</f>
        <v>Kaldheim Promos</v>
      </c>
      <c r="I17" t="str">
        <f>IFERROR(_xlfn.IFNA(INDEX(cards[],MATCH(AllCardsViz[[#This Row],[uuid]],cards[uuid],0),74),INDEX(tokens[],MATCH(AllCardsViz[[#This Row],[uuid]],tokens[uuid],0),46)),"")</f>
        <v>Changeling (This card is every creature type.)
As this creature enters, choose a creature type.
You may look at the top card of your library any time.
You may cast creature spells of the chosen type from the top of your library.</v>
      </c>
    </row>
    <row r="18" spans="1:9" x14ac:dyDescent="0.35">
      <c r="A18" t="str" cm="1">
        <f t="array" ref="A18">IFERROR(INDEX(_xlfn.VSTACK(cards[uuid],tokens[uuid]), ROW()-ROW($A$1)),"")</f>
        <v>66dae17d-a742-51b4-ba09-0b37d7c64265</v>
      </c>
      <c r="B18" t="str">
        <f>IFERROR(_xlfn.IFNA(INDEX(cards[],MATCH(AllCardsViz[[#This Row],[uuid]],cards[uuid],0),50),INDEX(tokens[],MATCH(AllCardsViz[[#This Row],[uuid]],tokens[uuid],0),28)),"")</f>
        <v>Vexing Arcanix</v>
      </c>
      <c r="C18" t="str">
        <f>IFERROR(_xlfn.IFNA(INDEX(cards[],MATCH(AllCardsViz[[#This Row],[uuid]],cards[uuid],0),63),""),"")</f>
        <v>rare</v>
      </c>
      <c r="D18" t="str">
        <f>IFERROR(_xlfn.IFNA(INDEX(cards[],MATCH(AllCardsViz[[#This Row],[uuid]],cards[uuid],0),67),INDEX(tokens[],MATCH(AllCardsViz[[#This Row],[uuid]],tokens[uuid],0),40)),"")</f>
        <v>ICE</v>
      </c>
      <c r="E18" t="str">
        <f>IFERROR(_xlfn.IFNA(INDEX(cards[],MATCH(AllCardsViz[[#This Row],[uuid]],cards[uuid],0),68),INDEX(tokens[],MATCH(AllCardsViz[[#This Row],[uuid]],tokens[uuid],0),41)),"")</f>
        <v/>
      </c>
      <c r="F18" t="str">
        <f>IFERROR(_xlfn.IFNA(INDEX(cards[],MATCH(AllCardsViz[[#This Row],[uuid]],cards[uuid],0),42),INDEX(tokens[],MATCH(AllCardsViz[[#This Row],[uuid]],tokens[uuid],0),24)),"")</f>
        <v/>
      </c>
      <c r="G18" t="str">
        <f>IFERROR(_xlfn.IFNA(INDEX(cards[],MATCH(AllCardsViz[[#This Row],[uuid]],cards[uuid],0),21),INDEX(tokens[],MATCH(AllCardsViz[[#This Row],[uuid]],tokens[uuid],0),13)),"")</f>
        <v>nonfoil</v>
      </c>
      <c r="H18" t="str">
        <f>IFERROR(INDEX(sets[],MATCH(AllCardsViz[[#This Row],[Setcode]],sets[code],0),2),INDEX(sets[],MATCH(AllCardsViz[[#This Row],[Setcode]],sets[tokenSetCode],0),2))</f>
        <v>Ice Age</v>
      </c>
      <c r="I18" t="str">
        <f>IFERROR(_xlfn.IFNA(INDEX(cards[],MATCH(AllCardsViz[[#This Row],[uuid]],cards[uuid],0),74),INDEX(tokens[],MATCH(AllCardsViz[[#This Row],[uuid]],tokens[uuid],0),46)),"")</f>
        <v>{3}, {T}: Target player chooses a card name, then reveals the top card of their library. If that card has the chosen name, that player puts it into their hand. Otherwise, they put it into their graveyard and this artifact deals 2 damage to them.</v>
      </c>
    </row>
    <row r="19" spans="1:9" x14ac:dyDescent="0.35">
      <c r="A19" t="str" cm="1">
        <f t="array" ref="A19">IFERROR(INDEX(_xlfn.VSTACK(cards[uuid],tokens[uuid]), ROW()-ROW($A$1)),"")</f>
        <v>6955a085-32f8-5582-9533-c506ef88213b</v>
      </c>
      <c r="B19" t="str">
        <f>IFERROR(_xlfn.IFNA(INDEX(cards[],MATCH(AllCardsViz[[#This Row],[uuid]],cards[uuid],0),50),INDEX(tokens[],MATCH(AllCardsViz[[#This Row],[uuid]],tokens[uuid],0),28)),"")</f>
        <v>Deny the Divine</v>
      </c>
      <c r="C19" t="str">
        <f>IFERROR(_xlfn.IFNA(INDEX(cards[],MATCH(AllCardsViz[[#This Row],[uuid]],cards[uuid],0),63),""),"")</f>
        <v>common</v>
      </c>
      <c r="D19" t="str">
        <f>IFERROR(_xlfn.IFNA(INDEX(cards[],MATCH(AllCardsViz[[#This Row],[uuid]],cards[uuid],0),67),INDEX(tokens[],MATCH(AllCardsViz[[#This Row],[uuid]],tokens[uuid],0),40)),"")</f>
        <v>THB</v>
      </c>
      <c r="E19" t="str">
        <f>IFERROR(_xlfn.IFNA(INDEX(cards[],MATCH(AllCardsViz[[#This Row],[uuid]],cards[uuid],0),68),INDEX(tokens[],MATCH(AllCardsViz[[#This Row],[uuid]],tokens[uuid],0),41)),"")</f>
        <v/>
      </c>
      <c r="F19" t="str">
        <f>IFERROR(_xlfn.IFNA(INDEX(cards[],MATCH(AllCardsViz[[#This Row],[uuid]],cards[uuid],0),42),INDEX(tokens[],MATCH(AllCardsViz[[#This Row],[uuid]],tokens[uuid],0),24)),"")</f>
        <v/>
      </c>
      <c r="G19" t="str">
        <f>IFERROR(_xlfn.IFNA(INDEX(cards[],MATCH(AllCardsViz[[#This Row],[uuid]],cards[uuid],0),21),INDEX(tokens[],MATCH(AllCardsViz[[#This Row],[uuid]],tokens[uuid],0),13)),"")</f>
        <v>nonfoil, foil</v>
      </c>
      <c r="H19" t="str">
        <f>IFERROR(INDEX(sets[],MATCH(AllCardsViz[[#This Row],[Setcode]],sets[code],0),2),INDEX(sets[],MATCH(AllCardsViz[[#This Row],[Setcode]],sets[tokenSetCode],0),2))</f>
        <v>Theros Beyond Death</v>
      </c>
      <c r="I19" t="str">
        <f>IFERROR(_xlfn.IFNA(INDEX(cards[],MATCH(AllCardsViz[[#This Row],[uuid]],cards[uuid],0),74),INDEX(tokens[],MATCH(AllCardsViz[[#This Row],[uuid]],tokens[uuid],0),46)),"")</f>
        <v>Counter target creature or enchantment spell. If that spell is countered this way, exile it instead of putting it into its owner's graveyard.</v>
      </c>
    </row>
    <row r="20" spans="1:9" x14ac:dyDescent="0.35">
      <c r="A20" t="str" cm="1">
        <f t="array" ref="A20">IFERROR(INDEX(_xlfn.VSTACK(cards[uuid],tokens[uuid]), ROW()-ROW($A$1)),"")</f>
        <v>6acc8501-aa59-5777-a7d0-e3ef66a609ea</v>
      </c>
      <c r="B20" t="str">
        <f>IFERROR(_xlfn.IFNA(INDEX(cards[],MATCH(AllCardsViz[[#This Row],[uuid]],cards[uuid],0),50),INDEX(tokens[],MATCH(AllCardsViz[[#This Row],[uuid]],tokens[uuid],0),28)),"")</f>
        <v>Never // Return</v>
      </c>
      <c r="C20" t="str">
        <f>IFERROR(_xlfn.IFNA(INDEX(cards[],MATCH(AllCardsViz[[#This Row],[uuid]],cards[uuid],0),63),""),"")</f>
        <v>rare</v>
      </c>
      <c r="D20" t="str">
        <f>IFERROR(_xlfn.IFNA(INDEX(cards[],MATCH(AllCardsViz[[#This Row],[uuid]],cards[uuid],0),67),INDEX(tokens[],MATCH(AllCardsViz[[#This Row],[uuid]],tokens[uuid],0),40)),"")</f>
        <v>AKH</v>
      </c>
      <c r="E20" t="str">
        <f>IFERROR(_xlfn.IFNA(INDEX(cards[],MATCH(AllCardsViz[[#This Row],[uuid]],cards[uuid],0),68),INDEX(tokens[],MATCH(AllCardsViz[[#This Row],[uuid]],tokens[uuid],0),41)),"")</f>
        <v>b</v>
      </c>
      <c r="F20" t="str">
        <f>IFERROR(_xlfn.IFNA(INDEX(cards[],MATCH(AllCardsViz[[#This Row],[uuid]],cards[uuid],0),42),INDEX(tokens[],MATCH(AllCardsViz[[#This Row],[uuid]],tokens[uuid],0),24)),"")</f>
        <v>Aftermath</v>
      </c>
      <c r="G20" t="str">
        <f>IFERROR(_xlfn.IFNA(INDEX(cards[],MATCH(AllCardsViz[[#This Row],[uuid]],cards[uuid],0),21),INDEX(tokens[],MATCH(AllCardsViz[[#This Row],[uuid]],tokens[uuid],0),13)),"")</f>
        <v>nonfoil, foil</v>
      </c>
      <c r="H20" t="str">
        <f>IFERROR(INDEX(sets[],MATCH(AllCardsViz[[#This Row],[Setcode]],sets[code],0),2),INDEX(sets[],MATCH(AllCardsViz[[#This Row],[Setcode]],sets[tokenSetCode],0),2))</f>
        <v>Amonkhet</v>
      </c>
      <c r="I20" t="str">
        <f>IFERROR(_xlfn.IFNA(INDEX(cards[],MATCH(AllCardsViz[[#This Row],[uuid]],cards[uuid],0),74),INDEX(tokens[],MATCH(AllCardsViz[[#This Row],[uuid]],tokens[uuid],0),46)),"")</f>
        <v>Aftermath (Cast this spell only from your graveyard. Then exile it.)
Exile target card from a graveyard. Create a 2/2 black Zombie creature token.</v>
      </c>
    </row>
    <row r="21" spans="1:9" x14ac:dyDescent="0.35">
      <c r="A21" t="str" cm="1">
        <f t="array" ref="A21">IFERROR(INDEX(_xlfn.VSTACK(cards[uuid],tokens[uuid]), ROW()-ROW($A$1)),"")</f>
        <v>7be5b8a9-0d68-5125-b729-ff1063dd3ed0</v>
      </c>
      <c r="B21" t="str">
        <f>IFERROR(_xlfn.IFNA(INDEX(cards[],MATCH(AllCardsViz[[#This Row],[uuid]],cards[uuid],0),50),INDEX(tokens[],MATCH(AllCardsViz[[#This Row],[uuid]],tokens[uuid],0),28)),"")</f>
        <v>Resurrection</v>
      </c>
      <c r="C21" t="str">
        <f>IFERROR(_xlfn.IFNA(INDEX(cards[],MATCH(AllCardsViz[[#This Row],[uuid]],cards[uuid],0),63),""),"")</f>
        <v>uncommon</v>
      </c>
      <c r="D21" t="str">
        <f>IFERROR(_xlfn.IFNA(INDEX(cards[],MATCH(AllCardsViz[[#This Row],[uuid]],cards[uuid],0),67),INDEX(tokens[],MATCH(AllCardsViz[[#This Row],[uuid]],tokens[uuid],0),40)),"")</f>
        <v>3ED</v>
      </c>
      <c r="E21" t="str">
        <f>IFERROR(_xlfn.IFNA(INDEX(cards[],MATCH(AllCardsViz[[#This Row],[uuid]],cards[uuid],0),68),INDEX(tokens[],MATCH(AllCardsViz[[#This Row],[uuid]],tokens[uuid],0),41)),"")</f>
        <v/>
      </c>
      <c r="F21" t="str">
        <f>IFERROR(_xlfn.IFNA(INDEX(cards[],MATCH(AllCardsViz[[#This Row],[uuid]],cards[uuid],0),42),INDEX(tokens[],MATCH(AllCardsViz[[#This Row],[uuid]],tokens[uuid],0),24)),"")</f>
        <v/>
      </c>
      <c r="G21" t="str">
        <f>IFERROR(_xlfn.IFNA(INDEX(cards[],MATCH(AllCardsViz[[#This Row],[uuid]],cards[uuid],0),21),INDEX(tokens[],MATCH(AllCardsViz[[#This Row],[uuid]],tokens[uuid],0),13)),"")</f>
        <v>nonfoil</v>
      </c>
      <c r="H21" t="str">
        <f>IFERROR(INDEX(sets[],MATCH(AllCardsViz[[#This Row],[Setcode]],sets[code],0),2),INDEX(sets[],MATCH(AllCardsViz[[#This Row],[Setcode]],sets[tokenSetCode],0),2))</f>
        <v>Revised Edition</v>
      </c>
      <c r="I21" t="str">
        <f>IFERROR(_xlfn.IFNA(INDEX(cards[],MATCH(AllCardsViz[[#This Row],[uuid]],cards[uuid],0),74),INDEX(tokens[],MATCH(AllCardsViz[[#This Row],[uuid]],tokens[uuid],0),46)),"")</f>
        <v>Return target creature card from your graveyard to the battlefield.</v>
      </c>
    </row>
    <row r="22" spans="1:9" x14ac:dyDescent="0.35">
      <c r="A22" t="str" cm="1">
        <f t="array" ref="A22">IFERROR(INDEX(_xlfn.VSTACK(cards[uuid],tokens[uuid]), ROW()-ROW($A$1)),"")</f>
        <v>83ff4169-cecd-5fe5-9fe0-721f276c6f2c</v>
      </c>
      <c r="B22" t="str">
        <f>IFERROR(_xlfn.IFNA(INDEX(cards[],MATCH(AllCardsViz[[#This Row],[uuid]],cards[uuid],0),50),INDEX(tokens[],MATCH(AllCardsViz[[#This Row],[uuid]],tokens[uuid],0),28)),"")</f>
        <v>Ancient Greenwarden</v>
      </c>
      <c r="C22" t="str">
        <f>IFERROR(_xlfn.IFNA(INDEX(cards[],MATCH(AllCardsViz[[#This Row],[uuid]],cards[uuid],0),63),""),"")</f>
        <v>mythic</v>
      </c>
      <c r="D22" t="str">
        <f>IFERROR(_xlfn.IFNA(INDEX(cards[],MATCH(AllCardsViz[[#This Row],[uuid]],cards[uuid],0),67),INDEX(tokens[],MATCH(AllCardsViz[[#This Row],[uuid]],tokens[uuid],0),40)),"")</f>
        <v>J25</v>
      </c>
      <c r="E22" t="str">
        <f>IFERROR(_xlfn.IFNA(INDEX(cards[],MATCH(AllCardsViz[[#This Row],[uuid]],cards[uuid],0),68),INDEX(tokens[],MATCH(AllCardsViz[[#This Row],[uuid]],tokens[uuid],0),41)),"")</f>
        <v/>
      </c>
      <c r="F22" t="str">
        <f>IFERROR(_xlfn.IFNA(INDEX(cards[],MATCH(AllCardsViz[[#This Row],[uuid]],cards[uuid],0),42),INDEX(tokens[],MATCH(AllCardsViz[[#This Row],[uuid]],tokens[uuid],0),24)),"")</f>
        <v>Reach</v>
      </c>
      <c r="G22" t="str">
        <f>IFERROR(_xlfn.IFNA(INDEX(cards[],MATCH(AllCardsViz[[#This Row],[uuid]],cards[uuid],0),21),INDEX(tokens[],MATCH(AllCardsViz[[#This Row],[uuid]],tokens[uuid],0),13)),"")</f>
        <v>nonfoil</v>
      </c>
      <c r="H22" t="str">
        <f>IFERROR(INDEX(sets[],MATCH(AllCardsViz[[#This Row],[Setcode]],sets[code],0),2),INDEX(sets[],MATCH(AllCardsViz[[#This Row],[Setcode]],sets[tokenSetCode],0),2))</f>
        <v>Foundations Jumpstart</v>
      </c>
      <c r="I22" t="str">
        <f>IFERROR(_xlfn.IFNA(INDEX(cards[],MATCH(AllCardsViz[[#This Row],[uuid]],cards[uuid],0),74),INDEX(tokens[],MATCH(AllCardsViz[[#This Row],[uuid]],tokens[uuid],0),46)),"")</f>
        <v>Reach (This creature can block creatures with flying.)
You may play lands from your graveyard.
If a land entering causes a triggered ability of a permanent you control to trigger, that ability triggers an additional time.</v>
      </c>
    </row>
    <row r="23" spans="1:9" x14ac:dyDescent="0.35">
      <c r="A23" t="str" cm="1">
        <f t="array" ref="A23">IFERROR(INDEX(_xlfn.VSTACK(cards[uuid],tokens[uuid]), ROW()-ROW($A$1)),"")</f>
        <v>875ba98c-721c-537b-b326-22d803fab7c0</v>
      </c>
      <c r="B23" t="str">
        <f>IFERROR(_xlfn.IFNA(INDEX(cards[],MATCH(AllCardsViz[[#This Row],[uuid]],cards[uuid],0),50),INDEX(tokens[],MATCH(AllCardsViz[[#This Row],[uuid]],tokens[uuid],0),28)),"")</f>
        <v>Never // Return</v>
      </c>
      <c r="C23" t="str">
        <f>IFERROR(_xlfn.IFNA(INDEX(cards[],MATCH(AllCardsViz[[#This Row],[uuid]],cards[uuid],0),63),""),"")</f>
        <v>rare</v>
      </c>
      <c r="D23" t="str">
        <f>IFERROR(_xlfn.IFNA(INDEX(cards[],MATCH(AllCardsViz[[#This Row],[uuid]],cards[uuid],0),67),INDEX(tokens[],MATCH(AllCardsViz[[#This Row],[uuid]],tokens[uuid],0),40)),"")</f>
        <v>AKH</v>
      </c>
      <c r="E23" t="str">
        <f>IFERROR(_xlfn.IFNA(INDEX(cards[],MATCH(AllCardsViz[[#This Row],[uuid]],cards[uuid],0),68),INDEX(tokens[],MATCH(AllCardsViz[[#This Row],[uuid]],tokens[uuid],0),41)),"")</f>
        <v>a</v>
      </c>
      <c r="F23" t="str">
        <f>IFERROR(_xlfn.IFNA(INDEX(cards[],MATCH(AllCardsViz[[#This Row],[uuid]],cards[uuid],0),42),INDEX(tokens[],MATCH(AllCardsViz[[#This Row],[uuid]],tokens[uuid],0),24)),"")</f>
        <v/>
      </c>
      <c r="G23" t="str">
        <f>IFERROR(_xlfn.IFNA(INDEX(cards[],MATCH(AllCardsViz[[#This Row],[uuid]],cards[uuid],0),21),INDEX(tokens[],MATCH(AllCardsViz[[#This Row],[uuid]],tokens[uuid],0),13)),"")</f>
        <v>nonfoil, foil</v>
      </c>
      <c r="H23" t="str">
        <f>IFERROR(INDEX(sets[],MATCH(AllCardsViz[[#This Row],[Setcode]],sets[code],0),2),INDEX(sets[],MATCH(AllCardsViz[[#This Row],[Setcode]],sets[tokenSetCode],0),2))</f>
        <v>Amonkhet</v>
      </c>
      <c r="I23" t="str">
        <f>IFERROR(_xlfn.IFNA(INDEX(cards[],MATCH(AllCardsViz[[#This Row],[uuid]],cards[uuid],0),74),INDEX(tokens[],MATCH(AllCardsViz[[#This Row],[uuid]],tokens[uuid],0),46)),"")</f>
        <v>Destroy target creature or planeswalker.</v>
      </c>
    </row>
    <row r="24" spans="1:9" x14ac:dyDescent="0.35">
      <c r="A24" t="str" cm="1">
        <f t="array" ref="A24">IFERROR(INDEX(_xlfn.VSTACK(cards[uuid],tokens[uuid]), ROW()-ROW($A$1)),"")</f>
        <v>8d6b22fe-8583-5908-b964-05e3174e3154</v>
      </c>
      <c r="B24" t="str">
        <f>IFERROR(_xlfn.IFNA(INDEX(cards[],MATCH(AllCardsViz[[#This Row],[uuid]],cards[uuid],0),50),INDEX(tokens[],MATCH(AllCardsViz[[#This Row],[uuid]],tokens[uuid],0),28)),"")</f>
        <v>Thallid Devourer</v>
      </c>
      <c r="C24" t="str">
        <f>IFERROR(_xlfn.IFNA(INDEX(cards[],MATCH(AllCardsViz[[#This Row],[uuid]],cards[uuid],0),63),""),"")</f>
        <v>uncommon</v>
      </c>
      <c r="D24" t="str">
        <f>IFERROR(_xlfn.IFNA(INDEX(cards[],MATCH(AllCardsViz[[#This Row],[uuid]],cards[uuid],0),67),INDEX(tokens[],MATCH(AllCardsViz[[#This Row],[uuid]],tokens[uuid],0),40)),"")</f>
        <v>FEM</v>
      </c>
      <c r="E24" t="str">
        <f>IFERROR(_xlfn.IFNA(INDEX(cards[],MATCH(AllCardsViz[[#This Row],[uuid]],cards[uuid],0),68),INDEX(tokens[],MATCH(AllCardsViz[[#This Row],[uuid]],tokens[uuid],0),41)),"")</f>
        <v/>
      </c>
      <c r="F24" t="str">
        <f>IFERROR(_xlfn.IFNA(INDEX(cards[],MATCH(AllCardsViz[[#This Row],[uuid]],cards[uuid],0),42),INDEX(tokens[],MATCH(AllCardsViz[[#This Row],[uuid]],tokens[uuid],0),24)),"")</f>
        <v/>
      </c>
      <c r="G24" t="str">
        <f>IFERROR(_xlfn.IFNA(INDEX(cards[],MATCH(AllCardsViz[[#This Row],[uuid]],cards[uuid],0),21),INDEX(tokens[],MATCH(AllCardsViz[[#This Row],[uuid]],tokens[uuid],0),13)),"")</f>
        <v>nonfoil</v>
      </c>
      <c r="H24" t="str">
        <f>IFERROR(INDEX(sets[],MATCH(AllCardsViz[[#This Row],[Setcode]],sets[code],0),2),INDEX(sets[],MATCH(AllCardsViz[[#This Row],[Setcode]],sets[tokenSetCode],0),2))</f>
        <v>Fallen Empires</v>
      </c>
      <c r="I24" t="str">
        <f>IFERROR(_xlfn.IFNA(INDEX(cards[],MATCH(AllCardsViz[[#This Row],[uuid]],cards[uuid],0),74),INDEX(tokens[],MATCH(AllCardsViz[[#This Row],[uuid]],tokens[uuid],0),46)),"")</f>
        <v>At the beginning of your upkeep, put a spore counter on this creature.
Remove three spore counters from this creature: Create a 1/1 green Saproling creature token.
Sacrifice a Saproling: This creature gets +1/+2 until end of turn.</v>
      </c>
    </row>
    <row r="25" spans="1:9" x14ac:dyDescent="0.35">
      <c r="A25" t="str" cm="1">
        <f t="array" ref="A25">IFERROR(INDEX(_xlfn.VSTACK(cards[uuid],tokens[uuid]), ROW()-ROW($A$1)),"")</f>
        <v>91556c5f-b11e-573d-a3bb-627dfa6c2926</v>
      </c>
      <c r="B25" t="str">
        <f>IFERROR(_xlfn.IFNA(INDEX(cards[],MATCH(AllCardsViz[[#This Row],[uuid]],cards[uuid],0),50),INDEX(tokens[],MATCH(AllCardsViz[[#This Row],[uuid]],tokens[uuid],0),28)),"")</f>
        <v>Hungry Mist</v>
      </c>
      <c r="C25" t="str">
        <f>IFERROR(_xlfn.IFNA(INDEX(cards[],MATCH(AllCardsViz[[#This Row],[uuid]],cards[uuid],0),63),""),"")</f>
        <v>common</v>
      </c>
      <c r="D25" t="str">
        <f>IFERROR(_xlfn.IFNA(INDEX(cards[],MATCH(AllCardsViz[[#This Row],[uuid]],cards[uuid],0),67),INDEX(tokens[],MATCH(AllCardsViz[[#This Row],[uuid]],tokens[uuid],0),40)),"")</f>
        <v>HML</v>
      </c>
      <c r="E25" t="str">
        <f>IFERROR(_xlfn.IFNA(INDEX(cards[],MATCH(AllCardsViz[[#This Row],[uuid]],cards[uuid],0),68),INDEX(tokens[],MATCH(AllCardsViz[[#This Row],[uuid]],tokens[uuid],0),41)),"")</f>
        <v/>
      </c>
      <c r="F25" t="str">
        <f>IFERROR(_xlfn.IFNA(INDEX(cards[],MATCH(AllCardsViz[[#This Row],[uuid]],cards[uuid],0),42),INDEX(tokens[],MATCH(AllCardsViz[[#This Row],[uuid]],tokens[uuid],0),24)),"")</f>
        <v/>
      </c>
      <c r="G25" t="str">
        <f>IFERROR(_xlfn.IFNA(INDEX(cards[],MATCH(AllCardsViz[[#This Row],[uuid]],cards[uuid],0),21),INDEX(tokens[],MATCH(AllCardsViz[[#This Row],[uuid]],tokens[uuid],0),13)),"")</f>
        <v>nonfoil</v>
      </c>
      <c r="H25" t="str">
        <f>IFERROR(INDEX(sets[],MATCH(AllCardsViz[[#This Row],[Setcode]],sets[code],0),2),INDEX(sets[],MATCH(AllCardsViz[[#This Row],[Setcode]],sets[tokenSetCode],0),2))</f>
        <v>Homelands</v>
      </c>
      <c r="I25" t="str">
        <f>IFERROR(_xlfn.IFNA(INDEX(cards[],MATCH(AllCardsViz[[#This Row],[uuid]],cards[uuid],0),74),INDEX(tokens[],MATCH(AllCardsViz[[#This Row],[uuid]],tokens[uuid],0),46)),"")</f>
        <v>At the beginning of your upkeep, sacrifice this creature unless you pay {G}{G}.</v>
      </c>
    </row>
    <row r="26" spans="1:9" x14ac:dyDescent="0.35">
      <c r="A26" t="str" cm="1">
        <f t="array" ref="A26">IFERROR(INDEX(_xlfn.VSTACK(cards[uuid],tokens[uuid]), ROW()-ROW($A$1)),"")</f>
        <v>9c015664-e6e8-53a4-ad48-276138b18098</v>
      </c>
      <c r="B26" t="str">
        <f>IFERROR(_xlfn.IFNA(INDEX(cards[],MATCH(AllCardsViz[[#This Row],[uuid]],cards[uuid],0),50),INDEX(tokens[],MATCH(AllCardsViz[[#This Row],[uuid]],tokens[uuid],0),28)),"")</f>
        <v>Syphon Soul</v>
      </c>
      <c r="C26" t="str">
        <f>IFERROR(_xlfn.IFNA(INDEX(cards[],MATCH(AllCardsViz[[#This Row],[uuid]],cards[uuid],0),63),""),"")</f>
        <v>common</v>
      </c>
      <c r="D26" t="str">
        <f>IFERROR(_xlfn.IFNA(INDEX(cards[],MATCH(AllCardsViz[[#This Row],[uuid]],cards[uuid],0),67),INDEX(tokens[],MATCH(AllCardsViz[[#This Row],[uuid]],tokens[uuid],0),40)),"")</f>
        <v>ONS</v>
      </c>
      <c r="E26" t="str">
        <f>IFERROR(_xlfn.IFNA(INDEX(cards[],MATCH(AllCardsViz[[#This Row],[uuid]],cards[uuid],0),68),INDEX(tokens[],MATCH(AllCardsViz[[#This Row],[uuid]],tokens[uuid],0),41)),"")</f>
        <v/>
      </c>
      <c r="F26" t="str">
        <f>IFERROR(_xlfn.IFNA(INDEX(cards[],MATCH(AllCardsViz[[#This Row],[uuid]],cards[uuid],0),42),INDEX(tokens[],MATCH(AllCardsViz[[#This Row],[uuid]],tokens[uuid],0),24)),"")</f>
        <v/>
      </c>
      <c r="G26" t="str">
        <f>IFERROR(_xlfn.IFNA(INDEX(cards[],MATCH(AllCardsViz[[#This Row],[uuid]],cards[uuid],0),21),INDEX(tokens[],MATCH(AllCardsViz[[#This Row],[uuid]],tokens[uuid],0),13)),"")</f>
        <v>nonfoil, foil</v>
      </c>
      <c r="H26" t="str">
        <f>IFERROR(INDEX(sets[],MATCH(AllCardsViz[[#This Row],[Setcode]],sets[code],0),2),INDEX(sets[],MATCH(AllCardsViz[[#This Row],[Setcode]],sets[tokenSetCode],0),2))</f>
        <v>Onslaught</v>
      </c>
      <c r="I26" t="str">
        <f>IFERROR(_xlfn.IFNA(INDEX(cards[],MATCH(AllCardsViz[[#This Row],[uuid]],cards[uuid],0),74),INDEX(tokens[],MATCH(AllCardsViz[[#This Row],[uuid]],tokens[uuid],0),46)),"")</f>
        <v>Syphon Soul deals 2 damage to each other player. You gain life equal to the damage dealt this way.</v>
      </c>
    </row>
    <row r="27" spans="1:9" x14ac:dyDescent="0.35">
      <c r="A27" t="str" cm="1">
        <f t="array" ref="A27">IFERROR(INDEX(_xlfn.VSTACK(cards[uuid],tokens[uuid]), ROW()-ROW($A$1)),"")</f>
        <v>9ce99de8-bbd0-5043-9670-7f69ec41c1eb</v>
      </c>
      <c r="B27" t="str">
        <f>IFERROR(_xlfn.IFNA(INDEX(cards[],MATCH(AllCardsViz[[#This Row],[uuid]],cards[uuid],0),50),INDEX(tokens[],MATCH(AllCardsViz[[#This Row],[uuid]],tokens[uuid],0),28)),"")</f>
        <v>Bubbling Cauldron</v>
      </c>
      <c r="C27" t="str">
        <f>IFERROR(_xlfn.IFNA(INDEX(cards[],MATCH(AllCardsViz[[#This Row],[uuid]],cards[uuid],0),63),""),"")</f>
        <v>uncommon</v>
      </c>
      <c r="D27" t="str">
        <f>IFERROR(_xlfn.IFNA(INDEX(cards[],MATCH(AllCardsViz[[#This Row],[uuid]],cards[uuid],0),67),INDEX(tokens[],MATCH(AllCardsViz[[#This Row],[uuid]],tokens[uuid],0),40)),"")</f>
        <v>IMA</v>
      </c>
      <c r="E27" t="str">
        <f>IFERROR(_xlfn.IFNA(INDEX(cards[],MATCH(AllCardsViz[[#This Row],[uuid]],cards[uuid],0),68),INDEX(tokens[],MATCH(AllCardsViz[[#This Row],[uuid]],tokens[uuid],0),41)),"")</f>
        <v/>
      </c>
      <c r="F27" t="str">
        <f>IFERROR(_xlfn.IFNA(INDEX(cards[],MATCH(AllCardsViz[[#This Row],[uuid]],cards[uuid],0),42),INDEX(tokens[],MATCH(AllCardsViz[[#This Row],[uuid]],tokens[uuid],0),24)),"")</f>
        <v/>
      </c>
      <c r="G27" t="str">
        <f>IFERROR(_xlfn.IFNA(INDEX(cards[],MATCH(AllCardsViz[[#This Row],[uuid]],cards[uuid],0),21),INDEX(tokens[],MATCH(AllCardsViz[[#This Row],[uuid]],tokens[uuid],0),13)),"")</f>
        <v>nonfoil, foil</v>
      </c>
      <c r="H27" t="str">
        <f>IFERROR(INDEX(sets[],MATCH(AllCardsViz[[#This Row],[Setcode]],sets[code],0),2),INDEX(sets[],MATCH(AllCardsViz[[#This Row],[Setcode]],sets[tokenSetCode],0),2))</f>
        <v>Iconic Masters</v>
      </c>
      <c r="I27" t="str">
        <f>IFERROR(_xlfn.IFNA(INDEX(cards[],MATCH(AllCardsViz[[#This Row],[uuid]],cards[uuid],0),74),INDEX(tokens[],MATCH(AllCardsViz[[#This Row],[uuid]],tokens[uuid],0),46)),"")</f>
        <v>{1}, {T}, Sacrifice a creature: You gain 4 life.
{1}, {T}, Sacrifice a creature named Festering Newt: Each opponent loses 4 life. You gain life equal to the life lost this way.</v>
      </c>
    </row>
    <row r="28" spans="1:9" x14ac:dyDescent="0.35">
      <c r="A28" t="str" cm="1">
        <f t="array" ref="A28">IFERROR(INDEX(_xlfn.VSTACK(cards[uuid],tokens[uuid]), ROW()-ROW($A$1)),"")</f>
        <v>a4072135-41e9-54e1-8905-4a853e6cf9ff</v>
      </c>
      <c r="B28" t="str">
        <f>IFERROR(_xlfn.IFNA(INDEX(cards[],MATCH(AllCardsViz[[#This Row],[uuid]],cards[uuid],0),50),INDEX(tokens[],MATCH(AllCardsViz[[#This Row],[uuid]],tokens[uuid],0),28)),"")</f>
        <v>The Thirteenth Doctor</v>
      </c>
      <c r="C28" t="str">
        <f>IFERROR(_xlfn.IFNA(INDEX(cards[],MATCH(AllCardsViz[[#This Row],[uuid]],cards[uuid],0),63),""),"")</f>
        <v>mythic</v>
      </c>
      <c r="D28" t="str">
        <f>IFERROR(_xlfn.IFNA(INDEX(cards[],MATCH(AllCardsViz[[#This Row],[uuid]],cards[uuid],0),67),INDEX(tokens[],MATCH(AllCardsViz[[#This Row],[uuid]],tokens[uuid],0),40)),"")</f>
        <v>WHO</v>
      </c>
      <c r="E28" t="str">
        <f>IFERROR(_xlfn.IFNA(INDEX(cards[],MATCH(AllCardsViz[[#This Row],[uuid]],cards[uuid],0),68),INDEX(tokens[],MATCH(AllCardsViz[[#This Row],[uuid]],tokens[uuid],0),41)),"")</f>
        <v/>
      </c>
      <c r="F28" t="str">
        <f>IFERROR(_xlfn.IFNA(INDEX(cards[],MATCH(AllCardsViz[[#This Row],[uuid]],cards[uuid],0),42),INDEX(tokens[],MATCH(AllCardsViz[[#This Row],[uuid]],tokens[uuid],0),24)),"")</f>
        <v>Paradox, Team TARDIS</v>
      </c>
      <c r="G28" t="str">
        <f>IFERROR(_xlfn.IFNA(INDEX(cards[],MATCH(AllCardsViz[[#This Row],[uuid]],cards[uuid],0),21),INDEX(tokens[],MATCH(AllCardsViz[[#This Row],[uuid]],tokens[uuid],0),13)),"")</f>
        <v>nonfoil, foil</v>
      </c>
      <c r="H28" t="str">
        <f>IFERROR(INDEX(sets[],MATCH(AllCardsViz[[#This Row],[Setcode]],sets[code],0),2),INDEX(sets[],MATCH(AllCardsViz[[#This Row],[Setcode]],sets[tokenSetCode],0),2))</f>
        <v>Doctor Who</v>
      </c>
      <c r="I28" t="str">
        <f>IFERROR(_xlfn.IFNA(INDEX(cards[],MATCH(AllCardsViz[[#This Row],[uuid]],cards[uuid],0),74),INDEX(tokens[],MATCH(AllCardsViz[[#This Row],[uuid]],tokens[uuid],0),46)),"")</f>
        <v>Paradox — Whenever you cast a spell from anywhere other than your hand, put a +1/+1 counter on target creature.
Team TARDIS — At the beginning of your end step, untap each creature you control with a counter on it.</v>
      </c>
    </row>
    <row r="29" spans="1:9" x14ac:dyDescent="0.35">
      <c r="A29" t="str" cm="1">
        <f t="array" ref="A29">IFERROR(INDEX(_xlfn.VSTACK(cards[uuid],tokens[uuid]), ROW()-ROW($A$1)),"")</f>
        <v>a499b95b-8f0f-56e2-ba4e-077e5bc6979e</v>
      </c>
      <c r="B29" t="str">
        <f>IFERROR(_xlfn.IFNA(INDEX(cards[],MATCH(AllCardsViz[[#This Row],[uuid]],cards[uuid],0),50),INDEX(tokens[],MATCH(AllCardsViz[[#This Row],[uuid]],tokens[uuid],0),28)),"")</f>
        <v>Forest</v>
      </c>
      <c r="C29" t="str">
        <f>IFERROR(_xlfn.IFNA(INDEX(cards[],MATCH(AllCardsViz[[#This Row],[uuid]],cards[uuid],0),63),""),"")</f>
        <v>common</v>
      </c>
      <c r="D29" t="str">
        <f>IFERROR(_xlfn.IFNA(INDEX(cards[],MATCH(AllCardsViz[[#This Row],[uuid]],cards[uuid],0),67),INDEX(tokens[],MATCH(AllCardsViz[[#This Row],[uuid]],tokens[uuid],0),40)),"")</f>
        <v>MID</v>
      </c>
      <c r="E29" t="str">
        <f>IFERROR(_xlfn.IFNA(INDEX(cards[],MATCH(AllCardsViz[[#This Row],[uuid]],cards[uuid],0),68),INDEX(tokens[],MATCH(AllCardsViz[[#This Row],[uuid]],tokens[uuid],0),41)),"")</f>
        <v/>
      </c>
      <c r="F29" t="str">
        <f>IFERROR(_xlfn.IFNA(INDEX(cards[],MATCH(AllCardsViz[[#This Row],[uuid]],cards[uuid],0),42),INDEX(tokens[],MATCH(AllCardsViz[[#This Row],[uuid]],tokens[uuid],0),24)),"")</f>
        <v/>
      </c>
      <c r="G29" t="str">
        <f>IFERROR(_xlfn.IFNA(INDEX(cards[],MATCH(AllCardsViz[[#This Row],[uuid]],cards[uuid],0),21),INDEX(tokens[],MATCH(AllCardsViz[[#This Row],[uuid]],tokens[uuid],0),13)),"")</f>
        <v>nonfoil, foil</v>
      </c>
      <c r="H29" t="str">
        <f>IFERROR(INDEX(sets[],MATCH(AllCardsViz[[#This Row],[Setcode]],sets[code],0),2),INDEX(sets[],MATCH(AllCardsViz[[#This Row],[Setcode]],sets[tokenSetCode],0),2))</f>
        <v>Innistrad: Midnight Hunt</v>
      </c>
      <c r="I29" t="str">
        <f>IFERROR(_xlfn.IFNA(INDEX(cards[],MATCH(AllCardsViz[[#This Row],[uuid]],cards[uuid],0),74),INDEX(tokens[],MATCH(AllCardsViz[[#This Row],[uuid]],tokens[uuid],0),46)),"")</f>
        <v>({T}: Add {G}.)</v>
      </c>
    </row>
    <row r="30" spans="1:9" x14ac:dyDescent="0.35">
      <c r="A30" t="str" cm="1">
        <f t="array" ref="A30">IFERROR(INDEX(_xlfn.VSTACK(cards[uuid],tokens[uuid]), ROW()-ROW($A$1)),"")</f>
        <v>a8b3fc41-5f35-5fe2-bc74-7e015a836fd3</v>
      </c>
      <c r="B30" t="str">
        <f>IFERROR(_xlfn.IFNA(INDEX(cards[],MATCH(AllCardsViz[[#This Row],[uuid]],cards[uuid],0),50),INDEX(tokens[],MATCH(AllCardsViz[[#This Row],[uuid]],tokens[uuid],0),28)),"")</f>
        <v>Deftblade Elite</v>
      </c>
      <c r="C30" t="str">
        <f>IFERROR(_xlfn.IFNA(INDEX(cards[],MATCH(AllCardsViz[[#This Row],[uuid]],cards[uuid],0),63),""),"")</f>
        <v>common</v>
      </c>
      <c r="D30" t="str">
        <f>IFERROR(_xlfn.IFNA(INDEX(cards[],MATCH(AllCardsViz[[#This Row],[uuid]],cards[uuid],0),67),INDEX(tokens[],MATCH(AllCardsViz[[#This Row],[uuid]],tokens[uuid],0),40)),"")</f>
        <v>PLST</v>
      </c>
      <c r="E30" t="str">
        <f>IFERROR(_xlfn.IFNA(INDEX(cards[],MATCH(AllCardsViz[[#This Row],[uuid]],cards[uuid],0),68),INDEX(tokens[],MATCH(AllCardsViz[[#This Row],[uuid]],tokens[uuid],0),41)),"")</f>
        <v/>
      </c>
      <c r="F30" t="str">
        <f>IFERROR(_xlfn.IFNA(INDEX(cards[],MATCH(AllCardsViz[[#This Row],[uuid]],cards[uuid],0),42),INDEX(tokens[],MATCH(AllCardsViz[[#This Row],[uuid]],tokens[uuid],0),24)),"")</f>
        <v>Provoke</v>
      </c>
      <c r="G30" t="str">
        <f>IFERROR(_xlfn.IFNA(INDEX(cards[],MATCH(AllCardsViz[[#This Row],[uuid]],cards[uuid],0),21),INDEX(tokens[],MATCH(AllCardsViz[[#This Row],[uuid]],tokens[uuid],0),13)),"")</f>
        <v>nonfoil</v>
      </c>
      <c r="H30" t="str">
        <f>IFERROR(INDEX(sets[],MATCH(AllCardsViz[[#This Row],[Setcode]],sets[code],0),2),INDEX(sets[],MATCH(AllCardsViz[[#This Row],[Setcode]],sets[tokenSetCode],0),2))</f>
        <v>The List</v>
      </c>
      <c r="I30" t="str">
        <f>IFERROR(_xlfn.IFNA(INDEX(cards[],MATCH(AllCardsViz[[#This Row],[uuid]],cards[uuid],0),74),INDEX(tokens[],MATCH(AllCardsViz[[#This Row],[uuid]],tokens[uuid],0),46)),"")</f>
        <v>Provoke (Whenever this creature attacks, you may have target creature defending player controls untap and block it if able.)
{1}{W}: Prevent all combat damage that would be dealt to and dealt by this creature this turn.</v>
      </c>
    </row>
    <row r="31" spans="1:9" x14ac:dyDescent="0.35">
      <c r="A31" t="str" cm="1">
        <f t="array" ref="A31">IFERROR(INDEX(_xlfn.VSTACK(cards[uuid],tokens[uuid]), ROW()-ROW($A$1)),"")</f>
        <v>aa480225-6f03-5f0f-85af-41af75e515aa</v>
      </c>
      <c r="B31" t="str">
        <f>IFERROR(_xlfn.IFNA(INDEX(cards[],MATCH(AllCardsViz[[#This Row],[uuid]],cards[uuid],0),50),INDEX(tokens[],MATCH(AllCardsViz[[#This Row],[uuid]],tokens[uuid],0),28)),"")</f>
        <v>Viashino Runner</v>
      </c>
      <c r="C31" t="str">
        <f>IFERROR(_xlfn.IFNA(INDEX(cards[],MATCH(AllCardsViz[[#This Row],[uuid]],cards[uuid],0),63),""),"")</f>
        <v>common</v>
      </c>
      <c r="D31" t="str">
        <f>IFERROR(_xlfn.IFNA(INDEX(cards[],MATCH(AllCardsViz[[#This Row],[uuid]],cards[uuid],0),67),INDEX(tokens[],MATCH(AllCardsViz[[#This Row],[uuid]],tokens[uuid],0),40)),"")</f>
        <v>USG</v>
      </c>
      <c r="E31" t="str">
        <f>IFERROR(_xlfn.IFNA(INDEX(cards[],MATCH(AllCardsViz[[#This Row],[uuid]],cards[uuid],0),68),INDEX(tokens[],MATCH(AllCardsViz[[#This Row],[uuid]],tokens[uuid],0),41)),"")</f>
        <v/>
      </c>
      <c r="F31" t="str">
        <f>IFERROR(_xlfn.IFNA(INDEX(cards[],MATCH(AllCardsViz[[#This Row],[uuid]],cards[uuid],0),42),INDEX(tokens[],MATCH(AllCardsViz[[#This Row],[uuid]],tokens[uuid],0),24)),"")</f>
        <v>Menace</v>
      </c>
      <c r="G31" t="str">
        <f>IFERROR(_xlfn.IFNA(INDEX(cards[],MATCH(AllCardsViz[[#This Row],[uuid]],cards[uuid],0),21),INDEX(tokens[],MATCH(AllCardsViz[[#This Row],[uuid]],tokens[uuid],0),13)),"")</f>
        <v>nonfoil</v>
      </c>
      <c r="H31" t="str">
        <f>IFERROR(INDEX(sets[],MATCH(AllCardsViz[[#This Row],[Setcode]],sets[code],0),2),INDEX(sets[],MATCH(AllCardsViz[[#This Row],[Setcode]],sets[tokenSetCode],0),2))</f>
        <v>Urza's Saga</v>
      </c>
      <c r="I31" t="str">
        <f>IFERROR(_xlfn.IFNA(INDEX(cards[],MATCH(AllCardsViz[[#This Row],[uuid]],cards[uuid],0),74),INDEX(tokens[],MATCH(AllCardsViz[[#This Row],[uuid]],tokens[uuid],0),46)),"")</f>
        <v>Menace (This creature can't be blocked except by two or more creatures.)</v>
      </c>
    </row>
    <row r="32" spans="1:9" x14ac:dyDescent="0.35">
      <c r="A32" t="str" cm="1">
        <f t="array" ref="A32">IFERROR(INDEX(_xlfn.VSTACK(cards[uuid],tokens[uuid]), ROW()-ROW($A$1)),"")</f>
        <v>aff7557c-2e85-5bda-8231-d8f1e46b43c8</v>
      </c>
      <c r="B32" t="str">
        <f>IFERROR(_xlfn.IFNA(INDEX(cards[],MATCH(AllCardsViz[[#This Row],[uuid]],cards[uuid],0),50),INDEX(tokens[],MATCH(AllCardsViz[[#This Row],[uuid]],tokens[uuid],0),28)),"")</f>
        <v>Angel of Glory's Rise</v>
      </c>
      <c r="C32" t="str">
        <f>IFERROR(_xlfn.IFNA(INDEX(cards[],MATCH(AllCardsViz[[#This Row],[uuid]],cards[uuid],0),63),""),"")</f>
        <v>rare</v>
      </c>
      <c r="D32" t="str">
        <f>IFERROR(_xlfn.IFNA(INDEX(cards[],MATCH(AllCardsViz[[#This Row],[uuid]],cards[uuid],0),67),INDEX(tokens[],MATCH(AllCardsViz[[#This Row],[uuid]],tokens[uuid],0),40)),"")</f>
        <v>PAVR</v>
      </c>
      <c r="E32" t="str">
        <f>IFERROR(_xlfn.IFNA(INDEX(cards[],MATCH(AllCardsViz[[#This Row],[uuid]],cards[uuid],0),68),INDEX(tokens[],MATCH(AllCardsViz[[#This Row],[uuid]],tokens[uuid],0),41)),"")</f>
        <v/>
      </c>
      <c r="F32" t="str">
        <f>IFERROR(_xlfn.IFNA(INDEX(cards[],MATCH(AllCardsViz[[#This Row],[uuid]],cards[uuid],0),42),INDEX(tokens[],MATCH(AllCardsViz[[#This Row],[uuid]],tokens[uuid],0),24)),"")</f>
        <v>Flying</v>
      </c>
      <c r="G32" t="str">
        <f>IFERROR(_xlfn.IFNA(INDEX(cards[],MATCH(AllCardsViz[[#This Row],[uuid]],cards[uuid],0),21),INDEX(tokens[],MATCH(AllCardsViz[[#This Row],[uuid]],tokens[uuid],0),13)),"")</f>
        <v>foil</v>
      </c>
      <c r="H32" t="str">
        <f>IFERROR(INDEX(sets[],MATCH(AllCardsViz[[#This Row],[Setcode]],sets[code],0),2),INDEX(sets[],MATCH(AllCardsViz[[#This Row],[Setcode]],sets[tokenSetCode],0),2))</f>
        <v>Avacyn Restored Promos</v>
      </c>
      <c r="I32" t="str">
        <f>IFERROR(_xlfn.IFNA(INDEX(cards[],MATCH(AllCardsViz[[#This Row],[uuid]],cards[uuid],0),74),INDEX(tokens[],MATCH(AllCardsViz[[#This Row],[uuid]],tokens[uuid],0),46)),"")</f>
        <v>Flying
When this creature enters, exile all Zombies, then return all Human creature cards from your graveyard to the battlefield.</v>
      </c>
    </row>
    <row r="33" spans="1:9" x14ac:dyDescent="0.35">
      <c r="A33" t="str" cm="1">
        <f t="array" ref="A33">IFERROR(INDEX(_xlfn.VSTACK(cards[uuid],tokens[uuid]), ROW()-ROW($A$1)),"")</f>
        <v>b23e355d-5190-5db8-ad5a-5ff9d0fe9bea</v>
      </c>
      <c r="B33" t="str">
        <f>IFERROR(_xlfn.IFNA(INDEX(cards[],MATCH(AllCardsViz[[#This Row],[uuid]],cards[uuid],0),50),INDEX(tokens[],MATCH(AllCardsViz[[#This Row],[uuid]],tokens[uuid],0),28)),"")</f>
        <v>Staying Power</v>
      </c>
      <c r="C33" t="str">
        <f>IFERROR(_xlfn.IFNA(INDEX(cards[],MATCH(AllCardsViz[[#This Row],[uuid]],cards[uuid],0),63),""),"")</f>
        <v>rare</v>
      </c>
      <c r="D33" t="str">
        <f>IFERROR(_xlfn.IFNA(INDEX(cards[],MATCH(AllCardsViz[[#This Row],[uuid]],cards[uuid],0),67),INDEX(tokens[],MATCH(AllCardsViz[[#This Row],[uuid]],tokens[uuid],0),40)),"")</f>
        <v>UND</v>
      </c>
      <c r="E33" t="str">
        <f>IFERROR(_xlfn.IFNA(INDEX(cards[],MATCH(AllCardsViz[[#This Row],[uuid]],cards[uuid],0),68),INDEX(tokens[],MATCH(AllCardsViz[[#This Row],[uuid]],tokens[uuid],0),41)),"")</f>
        <v/>
      </c>
      <c r="F33" t="str">
        <f>IFERROR(_xlfn.IFNA(INDEX(cards[],MATCH(AllCardsViz[[#This Row],[uuid]],cards[uuid],0),42),INDEX(tokens[],MATCH(AllCardsViz[[#This Row],[uuid]],tokens[uuid],0),24)),"")</f>
        <v/>
      </c>
      <c r="G33" t="str">
        <f>IFERROR(_xlfn.IFNA(INDEX(cards[],MATCH(AllCardsViz[[#This Row],[uuid]],cards[uuid],0),21),INDEX(tokens[],MATCH(AllCardsViz[[#This Row],[uuid]],tokens[uuid],0),13)),"")</f>
        <v>nonfoil</v>
      </c>
      <c r="H33" t="str">
        <f>IFERROR(INDEX(sets[],MATCH(AllCardsViz[[#This Row],[Setcode]],sets[code],0),2),INDEX(sets[],MATCH(AllCardsViz[[#This Row],[Setcode]],sets[tokenSetCode],0),2))</f>
        <v>Unsanctioned</v>
      </c>
      <c r="I33" t="str">
        <f>IFERROR(_xlfn.IFNA(INDEX(cards[],MATCH(AllCardsViz[[#This Row],[uuid]],cards[uuid],0),74),INDEX(tokens[],MATCH(AllCardsViz[[#This Row],[uuid]],tokens[uuid],0),46)),"")</f>
        <v>"Until end of turn" and "this turn" effects don't end.</v>
      </c>
    </row>
    <row r="34" spans="1:9" x14ac:dyDescent="0.35">
      <c r="A34" t="str" cm="1">
        <f t="array" ref="A34">IFERROR(INDEX(_xlfn.VSTACK(cards[uuid],tokens[uuid]), ROW()-ROW($A$1)),"")</f>
        <v>b473e6ca-2c93-5244-b821-a8bc41061ddb</v>
      </c>
      <c r="B34" t="str">
        <f>IFERROR(_xlfn.IFNA(INDEX(cards[],MATCH(AllCardsViz[[#This Row],[uuid]],cards[uuid],0),50),INDEX(tokens[],MATCH(AllCardsViz[[#This Row],[uuid]],tokens[uuid],0),28)),"")</f>
        <v>Flameshot</v>
      </c>
      <c r="C34" t="str">
        <f>IFERROR(_xlfn.IFNA(INDEX(cards[],MATCH(AllCardsViz[[#This Row],[uuid]],cards[uuid],0),63),""),"")</f>
        <v>uncommon</v>
      </c>
      <c r="D34" t="str">
        <f>IFERROR(_xlfn.IFNA(INDEX(cards[],MATCH(AllCardsViz[[#This Row],[uuid]],cards[uuid],0),67),INDEX(tokens[],MATCH(AllCardsViz[[#This Row],[uuid]],tokens[uuid],0),40)),"")</f>
        <v>PLST</v>
      </c>
      <c r="E34" t="str">
        <f>IFERROR(_xlfn.IFNA(INDEX(cards[],MATCH(AllCardsViz[[#This Row],[uuid]],cards[uuid],0),68),INDEX(tokens[],MATCH(AllCardsViz[[#This Row],[uuid]],tokens[uuid],0),41)),"")</f>
        <v/>
      </c>
      <c r="F34" t="str">
        <f>IFERROR(_xlfn.IFNA(INDEX(cards[],MATCH(AllCardsViz[[#This Row],[uuid]],cards[uuid],0),42),INDEX(tokens[],MATCH(AllCardsViz[[#This Row],[uuid]],tokens[uuid],0),24)),"")</f>
        <v/>
      </c>
      <c r="G34" t="str">
        <f>IFERROR(_xlfn.IFNA(INDEX(cards[],MATCH(AllCardsViz[[#This Row],[uuid]],cards[uuid],0),21),INDEX(tokens[],MATCH(AllCardsViz[[#This Row],[uuid]],tokens[uuid],0),13)),"")</f>
        <v>nonfoil</v>
      </c>
      <c r="H34" t="str">
        <f>IFERROR(INDEX(sets[],MATCH(AllCardsViz[[#This Row],[Setcode]],sets[code],0),2),INDEX(sets[],MATCH(AllCardsViz[[#This Row],[Setcode]],sets[tokenSetCode],0),2))</f>
        <v>The List</v>
      </c>
      <c r="I34" t="str">
        <f>IFERROR(_xlfn.IFNA(INDEX(cards[],MATCH(AllCardsViz[[#This Row],[uuid]],cards[uuid],0),74),INDEX(tokens[],MATCH(AllCardsViz[[#This Row],[uuid]],tokens[uuid],0),46)),"")</f>
        <v>You may discard a Mountain card rather than pay this spell's mana cost.
Flameshot deals 3 damage divided as you choose among one, two, or three target creatures.</v>
      </c>
    </row>
    <row r="35" spans="1:9" x14ac:dyDescent="0.35">
      <c r="A35" t="str" cm="1">
        <f t="array" ref="A35">IFERROR(INDEX(_xlfn.VSTACK(cards[uuid],tokens[uuid]), ROW()-ROW($A$1)),"")</f>
        <v>bafac74c-f4f8-5c71-8a6b-0bd02c536c47</v>
      </c>
      <c r="B35" t="str">
        <f>IFERROR(_xlfn.IFNA(INDEX(cards[],MATCH(AllCardsViz[[#This Row],[uuid]],cards[uuid],0),50),INDEX(tokens[],MATCH(AllCardsViz[[#This Row],[uuid]],tokens[uuid],0),28)),"")</f>
        <v>Prismatic Ending</v>
      </c>
      <c r="C35" t="str">
        <f>IFERROR(_xlfn.IFNA(INDEX(cards[],MATCH(AllCardsViz[[#This Row],[uuid]],cards[uuid],0),63),""),"")</f>
        <v>uncommon</v>
      </c>
      <c r="D35" t="str">
        <f>IFERROR(_xlfn.IFNA(INDEX(cards[],MATCH(AllCardsViz[[#This Row],[uuid]],cards[uuid],0),67),INDEX(tokens[],MATCH(AllCardsViz[[#This Row],[uuid]],tokens[uuid],0),40)),"")</f>
        <v>MH2</v>
      </c>
      <c r="E35" t="str">
        <f>IFERROR(_xlfn.IFNA(INDEX(cards[],MATCH(AllCardsViz[[#This Row],[uuid]],cards[uuid],0),68),INDEX(tokens[],MATCH(AllCardsViz[[#This Row],[uuid]],tokens[uuid],0),41)),"")</f>
        <v/>
      </c>
      <c r="F35" t="str">
        <f>IFERROR(_xlfn.IFNA(INDEX(cards[],MATCH(AllCardsViz[[#This Row],[uuid]],cards[uuid],0),42),INDEX(tokens[],MATCH(AllCardsViz[[#This Row],[uuid]],tokens[uuid],0),24)),"")</f>
        <v>Converge</v>
      </c>
      <c r="G35" t="str">
        <f>IFERROR(_xlfn.IFNA(INDEX(cards[],MATCH(AllCardsViz[[#This Row],[uuid]],cards[uuid],0),21),INDEX(tokens[],MATCH(AllCardsViz[[#This Row],[uuid]],tokens[uuid],0),13)),"")</f>
        <v>nonfoil, foil, etched</v>
      </c>
      <c r="H35" t="str">
        <f>IFERROR(INDEX(sets[],MATCH(AllCardsViz[[#This Row],[Setcode]],sets[code],0),2),INDEX(sets[],MATCH(AllCardsViz[[#This Row],[Setcode]],sets[tokenSetCode],0),2))</f>
        <v>Modern Horizons 2</v>
      </c>
      <c r="I35" t="str">
        <f>IFERROR(_xlfn.IFNA(INDEX(cards[],MATCH(AllCardsViz[[#This Row],[uuid]],cards[uuid],0),74),INDEX(tokens[],MATCH(AllCardsViz[[#This Row],[uuid]],tokens[uuid],0),46)),"")</f>
        <v>Converge — Exile target nonland permanent if its mana value is less than or equal to the number of colors of mana spent to cast this spell.</v>
      </c>
    </row>
    <row r="36" spans="1:9" x14ac:dyDescent="0.35">
      <c r="A36" t="str" cm="1">
        <f t="array" ref="A36">IFERROR(INDEX(_xlfn.VSTACK(cards[uuid],tokens[uuid]), ROW()-ROW($A$1)),"")</f>
        <v>bf2540bd-5984-569c-b6ab-c5d77db981bd</v>
      </c>
      <c r="B36" t="str">
        <f>IFERROR(_xlfn.IFNA(INDEX(cards[],MATCH(AllCardsViz[[#This Row],[uuid]],cards[uuid],0),50),INDEX(tokens[],MATCH(AllCardsViz[[#This Row],[uuid]],tokens[uuid],0),28)),"")</f>
        <v>Boundary Lands Ranger</v>
      </c>
      <c r="C36" t="str">
        <f>IFERROR(_xlfn.IFNA(INDEX(cards[],MATCH(AllCardsViz[[#This Row],[uuid]],cards[uuid],0),63),""),"")</f>
        <v>common</v>
      </c>
      <c r="D36" t="str">
        <f>IFERROR(_xlfn.IFNA(INDEX(cards[],MATCH(AllCardsViz[[#This Row],[uuid]],cards[uuid],0),67),INDEX(tokens[],MATCH(AllCardsViz[[#This Row],[uuid]],tokens[uuid],0),40)),"")</f>
        <v>PIO</v>
      </c>
      <c r="E36" t="str">
        <f>IFERROR(_xlfn.IFNA(INDEX(cards[],MATCH(AllCardsViz[[#This Row],[uuid]],cards[uuid],0),68),INDEX(tokens[],MATCH(AllCardsViz[[#This Row],[uuid]],tokens[uuid],0),41)),"")</f>
        <v/>
      </c>
      <c r="F36" t="str">
        <f>IFERROR(_xlfn.IFNA(INDEX(cards[],MATCH(AllCardsViz[[#This Row],[uuid]],cards[uuid],0),42),INDEX(tokens[],MATCH(AllCardsViz[[#This Row],[uuid]],tokens[uuid],0),24)),"")</f>
        <v/>
      </c>
      <c r="G36" t="str">
        <f>IFERROR(_xlfn.IFNA(INDEX(cards[],MATCH(AllCardsViz[[#This Row],[uuid]],cards[uuid],0),21),INDEX(tokens[],MATCH(AllCardsViz[[#This Row],[uuid]],tokens[uuid],0),13)),"")</f>
        <v>nonfoil</v>
      </c>
      <c r="H36" t="str">
        <f>IFERROR(INDEX(sets[],MATCH(AllCardsViz[[#This Row],[Setcode]],sets[code],0),2),INDEX(sets[],MATCH(AllCardsViz[[#This Row],[Setcode]],sets[tokenSetCode],0),2))</f>
        <v>Pioneer Masters</v>
      </c>
      <c r="I36" t="str">
        <f>IFERROR(_xlfn.IFNA(INDEX(cards[],MATCH(AllCardsViz[[#This Row],[uuid]],cards[uuid],0),74),INDEX(tokens[],MATCH(AllCardsViz[[#This Row],[uuid]],tokens[uuid],0),46)),"")</f>
        <v>At the beginning of combat on your turn, if you control a creature with power 4 or greater, you may discard a card. If you do, draw a card.</v>
      </c>
    </row>
    <row r="37" spans="1:9" x14ac:dyDescent="0.35">
      <c r="A37" t="str" cm="1">
        <f t="array" ref="A37">IFERROR(INDEX(_xlfn.VSTACK(cards[uuid],tokens[uuid]), ROW()-ROW($A$1)),"")</f>
        <v>cc6ce5a2-49d0-59de-a17e-362f47b67773</v>
      </c>
      <c r="B37" t="str">
        <f>IFERROR(_xlfn.IFNA(INDEX(cards[],MATCH(AllCardsViz[[#This Row],[uuid]],cards[uuid],0),50),INDEX(tokens[],MATCH(AllCardsViz[[#This Row],[uuid]],tokens[uuid],0),28)),"")</f>
        <v>Ouphe Vandals</v>
      </c>
      <c r="C37" t="str">
        <f>IFERROR(_xlfn.IFNA(INDEX(cards[],MATCH(AllCardsViz[[#This Row],[uuid]],cards[uuid],0),63),""),"")</f>
        <v>uncommon</v>
      </c>
      <c r="D37" t="str">
        <f>IFERROR(_xlfn.IFNA(INDEX(cards[],MATCH(AllCardsViz[[#This Row],[uuid]],cards[uuid],0),67),INDEX(tokens[],MATCH(AllCardsViz[[#This Row],[uuid]],tokens[uuid],0),40)),"")</f>
        <v>5DN</v>
      </c>
      <c r="E37" t="str">
        <f>IFERROR(_xlfn.IFNA(INDEX(cards[],MATCH(AllCardsViz[[#This Row],[uuid]],cards[uuid],0),68),INDEX(tokens[],MATCH(AllCardsViz[[#This Row],[uuid]],tokens[uuid],0),41)),"")</f>
        <v/>
      </c>
      <c r="F37" t="str">
        <f>IFERROR(_xlfn.IFNA(INDEX(cards[],MATCH(AllCardsViz[[#This Row],[uuid]],cards[uuid],0),42),INDEX(tokens[],MATCH(AllCardsViz[[#This Row],[uuid]],tokens[uuid],0),24)),"")</f>
        <v/>
      </c>
      <c r="G37" t="str">
        <f>IFERROR(_xlfn.IFNA(INDEX(cards[],MATCH(AllCardsViz[[#This Row],[uuid]],cards[uuid],0),21),INDEX(tokens[],MATCH(AllCardsViz[[#This Row],[uuid]],tokens[uuid],0),13)),"")</f>
        <v>nonfoil, foil</v>
      </c>
      <c r="H37" t="str">
        <f>IFERROR(INDEX(sets[],MATCH(AllCardsViz[[#This Row],[Setcode]],sets[code],0),2),INDEX(sets[],MATCH(AllCardsViz[[#This Row],[Setcode]],sets[tokenSetCode],0),2))</f>
        <v>Fifth Dawn</v>
      </c>
      <c r="I37" t="str">
        <f>IFERROR(_xlfn.IFNA(INDEX(cards[],MATCH(AllCardsViz[[#This Row],[uuid]],cards[uuid],0),74),INDEX(tokens[],MATCH(AllCardsViz[[#This Row],[uuid]],tokens[uuid],0),46)),"")</f>
        <v>{G}, Sacrifice this creature: Counter target activated ability from an artifact source and destroy that artifact if it's on the battlefield. (Mana abilities can't be targeted.)</v>
      </c>
    </row>
    <row r="38" spans="1:9" x14ac:dyDescent="0.35">
      <c r="A38" t="str" cm="1">
        <f t="array" ref="A38">IFERROR(INDEX(_xlfn.VSTACK(cards[uuid],tokens[uuid]), ROW()-ROW($A$1)),"")</f>
        <v>d0bcc932-d1f2-509c-90de-42512b6fef75</v>
      </c>
      <c r="B38" t="str">
        <f>IFERROR(_xlfn.IFNA(INDEX(cards[],MATCH(AllCardsViz[[#This Row],[uuid]],cards[uuid],0),50),INDEX(tokens[],MATCH(AllCardsViz[[#This Row],[uuid]],tokens[uuid],0),28)),"")</f>
        <v>Guild Feud</v>
      </c>
      <c r="C38" t="str">
        <f>IFERROR(_xlfn.IFNA(INDEX(cards[],MATCH(AllCardsViz[[#This Row],[uuid]],cards[uuid],0),63),""),"")</f>
        <v>rare</v>
      </c>
      <c r="D38" t="str">
        <f>IFERROR(_xlfn.IFNA(INDEX(cards[],MATCH(AllCardsViz[[#This Row],[uuid]],cards[uuid],0),67),INDEX(tokens[],MATCH(AllCardsViz[[#This Row],[uuid]],tokens[uuid],0),40)),"")</f>
        <v>RTR</v>
      </c>
      <c r="E38" t="str">
        <f>IFERROR(_xlfn.IFNA(INDEX(cards[],MATCH(AllCardsViz[[#This Row],[uuid]],cards[uuid],0),68),INDEX(tokens[],MATCH(AllCardsViz[[#This Row],[uuid]],tokens[uuid],0),41)),"")</f>
        <v/>
      </c>
      <c r="F38" t="str">
        <f>IFERROR(_xlfn.IFNA(INDEX(cards[],MATCH(AllCardsViz[[#This Row],[uuid]],cards[uuid],0),42),INDEX(tokens[],MATCH(AllCardsViz[[#This Row],[uuid]],tokens[uuid],0),24)),"")</f>
        <v>Fight</v>
      </c>
      <c r="G38" t="str">
        <f>IFERROR(_xlfn.IFNA(INDEX(cards[],MATCH(AllCardsViz[[#This Row],[uuid]],cards[uuid],0),21),INDEX(tokens[],MATCH(AllCardsViz[[#This Row],[uuid]],tokens[uuid],0),13)),"")</f>
        <v>nonfoil, foil</v>
      </c>
      <c r="H38" t="str">
        <f>IFERROR(INDEX(sets[],MATCH(AllCardsViz[[#This Row],[Setcode]],sets[code],0),2),INDEX(sets[],MATCH(AllCardsViz[[#This Row],[Setcode]],sets[tokenSetCode],0),2))</f>
        <v>Return to Ravnica</v>
      </c>
      <c r="I38" t="str">
        <f>IFERROR(_xlfn.IFNA(INDEX(cards[],MATCH(AllCardsViz[[#This Row],[uuid]],cards[uuid],0),74),INDEX(tokens[],MATCH(AllCardsViz[[#This Row],[uuid]],tokens[uuid],0),46)),"")</f>
        <v>At the beginning of your upkeep, target opponent reveals the top three cards of their library, may put a creature card from among them onto the battlefield, then puts the rest into their graveyard. You do the same with the top three cards of your library. If two creatures are put onto the battlefield this way, those creatures fight each other.</v>
      </c>
    </row>
    <row r="39" spans="1:9" x14ac:dyDescent="0.35">
      <c r="A39" t="str" cm="1">
        <f t="array" ref="A39">IFERROR(INDEX(_xlfn.VSTACK(cards[uuid],tokens[uuid]), ROW()-ROW($A$1)),"")</f>
        <v>d54b922f-006e-59ff-bfeb-f96f3278fc7b</v>
      </c>
      <c r="B39" t="str">
        <f>IFERROR(_xlfn.IFNA(INDEX(cards[],MATCH(AllCardsViz[[#This Row],[uuid]],cards[uuid],0),50),INDEX(tokens[],MATCH(AllCardsViz[[#This Row],[uuid]],tokens[uuid],0),28)),"")</f>
        <v>Plains</v>
      </c>
      <c r="C39" t="str">
        <f>IFERROR(_xlfn.IFNA(INDEX(cards[],MATCH(AllCardsViz[[#This Row],[uuid]],cards[uuid],0),63),""),"")</f>
        <v>common</v>
      </c>
      <c r="D39" t="str">
        <f>IFERROR(_xlfn.IFNA(INDEX(cards[],MATCH(AllCardsViz[[#This Row],[uuid]],cards[uuid],0),67),INDEX(tokens[],MATCH(AllCardsViz[[#This Row],[uuid]],tokens[uuid],0),40)),"")</f>
        <v>ME3</v>
      </c>
      <c r="E39" t="str">
        <f>IFERROR(_xlfn.IFNA(INDEX(cards[],MATCH(AllCardsViz[[#This Row],[uuid]],cards[uuid],0),68),INDEX(tokens[],MATCH(AllCardsViz[[#This Row],[uuid]],tokens[uuid],0),41)),"")</f>
        <v/>
      </c>
      <c r="F39" t="str">
        <f>IFERROR(_xlfn.IFNA(INDEX(cards[],MATCH(AllCardsViz[[#This Row],[uuid]],cards[uuid],0),42),INDEX(tokens[],MATCH(AllCardsViz[[#This Row],[uuid]],tokens[uuid],0),24)),"")</f>
        <v/>
      </c>
      <c r="G39" t="str">
        <f>IFERROR(_xlfn.IFNA(INDEX(cards[],MATCH(AllCardsViz[[#This Row],[uuid]],cards[uuid],0),21),INDEX(tokens[],MATCH(AllCardsViz[[#This Row],[uuid]],tokens[uuid],0),13)),"")</f>
        <v>nonfoil, foil</v>
      </c>
      <c r="H39" t="str">
        <f>IFERROR(INDEX(sets[],MATCH(AllCardsViz[[#This Row],[Setcode]],sets[code],0),2),INDEX(sets[],MATCH(AllCardsViz[[#This Row],[Setcode]],sets[tokenSetCode],0),2))</f>
        <v>Masters Edition III</v>
      </c>
      <c r="I39" t="str">
        <f>IFERROR(_xlfn.IFNA(INDEX(cards[],MATCH(AllCardsViz[[#This Row],[uuid]],cards[uuid],0),74),INDEX(tokens[],MATCH(AllCardsViz[[#This Row],[uuid]],tokens[uuid],0),46)),"")</f>
        <v>({T}: Add {W}.)</v>
      </c>
    </row>
    <row r="40" spans="1:9" x14ac:dyDescent="0.35">
      <c r="A40" t="str" cm="1">
        <f t="array" ref="A40">IFERROR(INDEX(_xlfn.VSTACK(cards[uuid],tokens[uuid]), ROW()-ROW($A$1)),"")</f>
        <v>e7613acb-a554-5a49-aa38-88fff17503fe</v>
      </c>
      <c r="B40" t="str">
        <f>IFERROR(_xlfn.IFNA(INDEX(cards[],MATCH(AllCardsViz[[#This Row],[uuid]],cards[uuid],0),50),INDEX(tokens[],MATCH(AllCardsViz[[#This Row],[uuid]],tokens[uuid],0),28)),"")</f>
        <v>Font of Ire</v>
      </c>
      <c r="C40" t="str">
        <f>IFERROR(_xlfn.IFNA(INDEX(cards[],MATCH(AllCardsViz[[#This Row],[uuid]],cards[uuid],0),63),""),"")</f>
        <v>common</v>
      </c>
      <c r="D40" t="str">
        <f>IFERROR(_xlfn.IFNA(INDEX(cards[],MATCH(AllCardsViz[[#This Row],[uuid]],cards[uuid],0),67),INDEX(tokens[],MATCH(AllCardsViz[[#This Row],[uuid]],tokens[uuid],0),40)),"")</f>
        <v>JOU</v>
      </c>
      <c r="E40" t="str">
        <f>IFERROR(_xlfn.IFNA(INDEX(cards[],MATCH(AllCardsViz[[#This Row],[uuid]],cards[uuid],0),68),INDEX(tokens[],MATCH(AllCardsViz[[#This Row],[uuid]],tokens[uuid],0),41)),"")</f>
        <v/>
      </c>
      <c r="F40" t="str">
        <f>IFERROR(_xlfn.IFNA(INDEX(cards[],MATCH(AllCardsViz[[#This Row],[uuid]],cards[uuid],0),42),INDEX(tokens[],MATCH(AllCardsViz[[#This Row],[uuid]],tokens[uuid],0),24)),"")</f>
        <v/>
      </c>
      <c r="G40" t="str">
        <f>IFERROR(_xlfn.IFNA(INDEX(cards[],MATCH(AllCardsViz[[#This Row],[uuid]],cards[uuid],0),21),INDEX(tokens[],MATCH(AllCardsViz[[#This Row],[uuid]],tokens[uuid],0),13)),"")</f>
        <v>nonfoil, foil</v>
      </c>
      <c r="H40" t="str">
        <f>IFERROR(INDEX(sets[],MATCH(AllCardsViz[[#This Row],[Setcode]],sets[code],0),2),INDEX(sets[],MATCH(AllCardsViz[[#This Row],[Setcode]],sets[tokenSetCode],0),2))</f>
        <v>Journey into Nyx</v>
      </c>
      <c r="I40" t="str">
        <f>IFERROR(_xlfn.IFNA(INDEX(cards[],MATCH(AllCardsViz[[#This Row],[uuid]],cards[uuid],0),74),INDEX(tokens[],MATCH(AllCardsViz[[#This Row],[uuid]],tokens[uuid],0),46)),"")</f>
        <v>{3}{R}, Sacrifice this enchantment: It deals 5 damage to target player or planeswalker.</v>
      </c>
    </row>
    <row r="41" spans="1:9" x14ac:dyDescent="0.35">
      <c r="A41" t="str" cm="1">
        <f t="array" ref="A41">IFERROR(INDEX(_xlfn.VSTACK(cards[uuid],tokens[uuid]), ROW()-ROW($A$1)),"")</f>
        <v>e9325157-a5ff-5ee4-a392-28829db53b10</v>
      </c>
      <c r="B41" t="str">
        <f>IFERROR(_xlfn.IFNA(INDEX(cards[],MATCH(AllCardsViz[[#This Row],[uuid]],cards[uuid],0),50),INDEX(tokens[],MATCH(AllCardsViz[[#This Row],[uuid]],tokens[uuid],0),28)),"")</f>
        <v>Prismatic Vista</v>
      </c>
      <c r="C41" t="str">
        <f>IFERROR(_xlfn.IFNA(INDEX(cards[],MATCH(AllCardsViz[[#This Row],[uuid]],cards[uuid],0),63),""),"")</f>
        <v>mythic</v>
      </c>
      <c r="D41" t="str">
        <f>IFERROR(_xlfn.IFNA(INDEX(cards[],MATCH(AllCardsViz[[#This Row],[uuid]],cards[uuid],0),67),INDEX(tokens[],MATCH(AllCardsViz[[#This Row],[uuid]],tokens[uuid],0),40)),"")</f>
        <v>SPG</v>
      </c>
      <c r="E41" t="str">
        <f>IFERROR(_xlfn.IFNA(INDEX(cards[],MATCH(AllCardsViz[[#This Row],[uuid]],cards[uuid],0),68),INDEX(tokens[],MATCH(AllCardsViz[[#This Row],[uuid]],tokens[uuid],0),41)),"")</f>
        <v/>
      </c>
      <c r="F41" t="str">
        <f>IFERROR(_xlfn.IFNA(INDEX(cards[],MATCH(AllCardsViz[[#This Row],[uuid]],cards[uuid],0),42),INDEX(tokens[],MATCH(AllCardsViz[[#This Row],[uuid]],tokens[uuid],0),24)),"")</f>
        <v/>
      </c>
      <c r="G41" t="str">
        <f>IFERROR(_xlfn.IFNA(INDEX(cards[],MATCH(AllCardsViz[[#This Row],[uuid]],cards[uuid],0),21),INDEX(tokens[],MATCH(AllCardsViz[[#This Row],[uuid]],tokens[uuid],0),13)),"")</f>
        <v>nonfoil, foil</v>
      </c>
      <c r="H41" t="str">
        <f>IFERROR(INDEX(sets[],MATCH(AllCardsViz[[#This Row],[Setcode]],sets[code],0),2),INDEX(sets[],MATCH(AllCardsViz[[#This Row],[Setcode]],sets[tokenSetCode],0),2))</f>
        <v>Special Guests</v>
      </c>
      <c r="I41" t="str">
        <f>IFERROR(_xlfn.IFNA(INDEX(cards[],MATCH(AllCardsViz[[#This Row],[uuid]],cards[uuid],0),74),INDEX(tokens[],MATCH(AllCardsViz[[#This Row],[uuid]],tokens[uuid],0),46)),"")</f>
        <v>{T}, Pay 1 life, Sacrifice this land: Search your library for a basic land card, put it onto the battlefield, then shuffle.</v>
      </c>
    </row>
    <row r="42" spans="1:9" x14ac:dyDescent="0.35">
      <c r="A42" t="str" cm="1">
        <f t="array" ref="A42">IFERROR(INDEX(_xlfn.VSTACK(cards[uuid],tokens[uuid]), ROW()-ROW($A$1)),"")</f>
        <v>efdbf638-dbe6-5813-ba0b-dafbac1e1468</v>
      </c>
      <c r="B42" t="str">
        <f>IFERROR(_xlfn.IFNA(INDEX(cards[],MATCH(AllCardsViz[[#This Row],[uuid]],cards[uuid],0),50),INDEX(tokens[],MATCH(AllCardsViz[[#This Row],[uuid]],tokens[uuid],0),28)),"")</f>
        <v>Prismatic Ending</v>
      </c>
      <c r="C42" t="str">
        <f>IFERROR(_xlfn.IFNA(INDEX(cards[],MATCH(AllCardsViz[[#This Row],[uuid]],cards[uuid],0),63),""),"")</f>
        <v>uncommon</v>
      </c>
      <c r="D42" t="str">
        <f>IFERROR(_xlfn.IFNA(INDEX(cards[],MATCH(AllCardsViz[[#This Row],[uuid]],cards[uuid],0),67),INDEX(tokens[],MATCH(AllCardsViz[[#This Row],[uuid]],tokens[uuid],0),40)),"")</f>
        <v>MH2</v>
      </c>
      <c r="E42" t="str">
        <f>IFERROR(_xlfn.IFNA(INDEX(cards[],MATCH(AllCardsViz[[#This Row],[uuid]],cards[uuid],0),68),INDEX(tokens[],MATCH(AllCardsViz[[#This Row],[uuid]],tokens[uuid],0),41)),"")</f>
        <v/>
      </c>
      <c r="F42" t="str">
        <f>IFERROR(_xlfn.IFNA(INDEX(cards[],MATCH(AllCardsViz[[#This Row],[uuid]],cards[uuid],0),42),INDEX(tokens[],MATCH(AllCardsViz[[#This Row],[uuid]],tokens[uuid],0),24)),"")</f>
        <v>Converge</v>
      </c>
      <c r="G42" t="str">
        <f>IFERROR(_xlfn.IFNA(INDEX(cards[],MATCH(AllCardsViz[[#This Row],[uuid]],cards[uuid],0),21),INDEX(tokens[],MATCH(AllCardsViz[[#This Row],[uuid]],tokens[uuid],0),13)),"")</f>
        <v>nonfoil, foil</v>
      </c>
      <c r="H42" t="str">
        <f>IFERROR(INDEX(sets[],MATCH(AllCardsViz[[#This Row],[Setcode]],sets[code],0),2),INDEX(sets[],MATCH(AllCardsViz[[#This Row],[Setcode]],sets[tokenSetCode],0),2))</f>
        <v>Modern Horizons 2</v>
      </c>
      <c r="I42" t="str">
        <f>IFERROR(_xlfn.IFNA(INDEX(cards[],MATCH(AllCardsViz[[#This Row],[uuid]],cards[uuid],0),74),INDEX(tokens[],MATCH(AllCardsViz[[#This Row],[uuid]],tokens[uuid],0),46)),"")</f>
        <v>Converge — Exile target nonland permanent if its mana value is less than or equal to the number of colors of mana spent to cast this spell.</v>
      </c>
    </row>
    <row r="43" spans="1:9" x14ac:dyDescent="0.35">
      <c r="A43" t="str" cm="1">
        <f t="array" ref="A43">IFERROR(INDEX(_xlfn.VSTACK(cards[uuid],tokens[uuid]), ROW()-ROW($A$1)),"")</f>
        <v>f1e4acc1-1bb7-57ea-9d61-edb3e803ab5c</v>
      </c>
      <c r="B43" t="str">
        <f>IFERROR(_xlfn.IFNA(INDEX(cards[],MATCH(AllCardsViz[[#This Row],[uuid]],cards[uuid],0),50),INDEX(tokens[],MATCH(AllCardsViz[[#This Row],[uuid]],tokens[uuid],0),28)),"")</f>
        <v>Crenellated Wall</v>
      </c>
      <c r="C43" t="str">
        <f>IFERROR(_xlfn.IFNA(INDEX(cards[],MATCH(AllCardsViz[[#This Row],[uuid]],cards[uuid],0),63),""),"")</f>
        <v>uncommon</v>
      </c>
      <c r="D43" t="str">
        <f>IFERROR(_xlfn.IFNA(INDEX(cards[],MATCH(AllCardsViz[[#This Row],[uuid]],cards[uuid],0),67),INDEX(tokens[],MATCH(AllCardsViz[[#This Row],[uuid]],tokens[uuid],0),40)),"")</f>
        <v>MMQ</v>
      </c>
      <c r="E43" t="str">
        <f>IFERROR(_xlfn.IFNA(INDEX(cards[],MATCH(AllCardsViz[[#This Row],[uuid]],cards[uuid],0),68),INDEX(tokens[],MATCH(AllCardsViz[[#This Row],[uuid]],tokens[uuid],0),41)),"")</f>
        <v/>
      </c>
      <c r="F43" t="str">
        <f>IFERROR(_xlfn.IFNA(INDEX(cards[],MATCH(AllCardsViz[[#This Row],[uuid]],cards[uuid],0),42),INDEX(tokens[],MATCH(AllCardsViz[[#This Row],[uuid]],tokens[uuid],0),24)),"")</f>
        <v>Defender</v>
      </c>
      <c r="G43" t="str">
        <f>IFERROR(_xlfn.IFNA(INDEX(cards[],MATCH(AllCardsViz[[#This Row],[uuid]],cards[uuid],0),21),INDEX(tokens[],MATCH(AllCardsViz[[#This Row],[uuid]],tokens[uuid],0),13)),"")</f>
        <v>nonfoil, foil</v>
      </c>
      <c r="H43" t="str">
        <f>IFERROR(INDEX(sets[],MATCH(AllCardsViz[[#This Row],[Setcode]],sets[code],0),2),INDEX(sets[],MATCH(AllCardsViz[[#This Row],[Setcode]],sets[tokenSetCode],0),2))</f>
        <v>Mercadian Masques</v>
      </c>
      <c r="I43" t="str">
        <f>IFERROR(_xlfn.IFNA(INDEX(cards[],MATCH(AllCardsViz[[#This Row],[uuid]],cards[uuid],0),74),INDEX(tokens[],MATCH(AllCardsViz[[#This Row],[uuid]],tokens[uuid],0),46)),"")</f>
        <v>Defender (This creature can't attack.)
{T}: Target creature gets +0/+4 until end of turn.</v>
      </c>
    </row>
    <row r="44" spans="1:9" x14ac:dyDescent="0.35">
      <c r="A44" t="str" cm="1">
        <f t="array" ref="A44">IFERROR(INDEX(_xlfn.VSTACK(cards[uuid],tokens[uuid]), ROW()-ROW($A$1)),"")</f>
        <v>f4198239-6754-5db7-9229-4cc9e264151e</v>
      </c>
      <c r="B44" t="str">
        <f>IFERROR(_xlfn.IFNA(INDEX(cards[],MATCH(AllCardsViz[[#This Row],[uuid]],cards[uuid],0),50),INDEX(tokens[],MATCH(AllCardsViz[[#This Row],[uuid]],tokens[uuid],0),28)),"")</f>
        <v>Renounce</v>
      </c>
      <c r="C44" t="str">
        <f>IFERROR(_xlfn.IFNA(INDEX(cards[],MATCH(AllCardsViz[[#This Row],[uuid]],cards[uuid],0),63),""),"")</f>
        <v>uncommon</v>
      </c>
      <c r="D44" t="str">
        <f>IFERROR(_xlfn.IFNA(INDEX(cards[],MATCH(AllCardsViz[[#This Row],[uuid]],cards[uuid],0),67),INDEX(tokens[],MATCH(AllCardsViz[[#This Row],[uuid]],tokens[uuid],0),40)),"")</f>
        <v>MMQ</v>
      </c>
      <c r="E44" t="str">
        <f>IFERROR(_xlfn.IFNA(INDEX(cards[],MATCH(AllCardsViz[[#This Row],[uuid]],cards[uuid],0),68),INDEX(tokens[],MATCH(AllCardsViz[[#This Row],[uuid]],tokens[uuid],0),41)),"")</f>
        <v/>
      </c>
      <c r="F44" t="str">
        <f>IFERROR(_xlfn.IFNA(INDEX(cards[],MATCH(AllCardsViz[[#This Row],[uuid]],cards[uuid],0),42),INDEX(tokens[],MATCH(AllCardsViz[[#This Row],[uuid]],tokens[uuid],0),24)),"")</f>
        <v/>
      </c>
      <c r="G44" t="str">
        <f>IFERROR(_xlfn.IFNA(INDEX(cards[],MATCH(AllCardsViz[[#This Row],[uuid]],cards[uuid],0),21),INDEX(tokens[],MATCH(AllCardsViz[[#This Row],[uuid]],tokens[uuid],0),13)),"")</f>
        <v>nonfoil, foil</v>
      </c>
      <c r="H44" t="str">
        <f>IFERROR(INDEX(sets[],MATCH(AllCardsViz[[#This Row],[Setcode]],sets[code],0),2),INDEX(sets[],MATCH(AllCardsViz[[#This Row],[Setcode]],sets[tokenSetCode],0),2))</f>
        <v>Mercadian Masques</v>
      </c>
      <c r="I44" t="str">
        <f>IFERROR(_xlfn.IFNA(INDEX(cards[],MATCH(AllCardsViz[[#This Row],[uuid]],cards[uuid],0),74),INDEX(tokens[],MATCH(AllCardsViz[[#This Row],[uuid]],tokens[uuid],0),46)),"")</f>
        <v>Sacrifice any number of permanents. You gain 2 life for each permanent sacrificed this way.</v>
      </c>
    </row>
    <row r="45" spans="1:9" x14ac:dyDescent="0.35">
      <c r="A45" t="str" cm="1">
        <f t="array" ref="A45">IFERROR(INDEX(_xlfn.VSTACK(cards[uuid],tokens[uuid]), ROW()-ROW($A$1)),"")</f>
        <v>f7aa8817-24f8-5dbb-a726-353611565ffe</v>
      </c>
      <c r="B45" t="str">
        <f>IFERROR(_xlfn.IFNA(INDEX(cards[],MATCH(AllCardsViz[[#This Row],[uuid]],cards[uuid],0),50),INDEX(tokens[],MATCH(AllCardsViz[[#This Row],[uuid]],tokens[uuid],0),28)),"")</f>
        <v>Viashino Runner</v>
      </c>
      <c r="C45" t="str">
        <f>IFERROR(_xlfn.IFNA(INDEX(cards[],MATCH(AllCardsViz[[#This Row],[uuid]],cards[uuid],0),63),""),"")</f>
        <v>common</v>
      </c>
      <c r="D45" t="str">
        <f>IFERROR(_xlfn.IFNA(INDEX(cards[],MATCH(AllCardsViz[[#This Row],[uuid]],cards[uuid],0),67),INDEX(tokens[],MATCH(AllCardsViz[[#This Row],[uuid]],tokens[uuid],0),40)),"")</f>
        <v>10E</v>
      </c>
      <c r="E45" t="str">
        <f>IFERROR(_xlfn.IFNA(INDEX(cards[],MATCH(AllCardsViz[[#This Row],[uuid]],cards[uuid],0),68),INDEX(tokens[],MATCH(AllCardsViz[[#This Row],[uuid]],tokens[uuid],0),41)),"")</f>
        <v/>
      </c>
      <c r="F45" t="str">
        <f>IFERROR(_xlfn.IFNA(INDEX(cards[],MATCH(AllCardsViz[[#This Row],[uuid]],cards[uuid],0),42),INDEX(tokens[],MATCH(AllCardsViz[[#This Row],[uuid]],tokens[uuid],0),24)),"")</f>
        <v>Menace</v>
      </c>
      <c r="G45" t="str">
        <f>IFERROR(_xlfn.IFNA(INDEX(cards[],MATCH(AllCardsViz[[#This Row],[uuid]],cards[uuid],0),21),INDEX(tokens[],MATCH(AllCardsViz[[#This Row],[uuid]],tokens[uuid],0),13)),"")</f>
        <v>nonfoil, foil</v>
      </c>
      <c r="H45" t="str">
        <f>IFERROR(INDEX(sets[],MATCH(AllCardsViz[[#This Row],[Setcode]],sets[code],0),2),INDEX(sets[],MATCH(AllCardsViz[[#This Row],[Setcode]],sets[tokenSetCode],0),2))</f>
        <v>Tenth Edition</v>
      </c>
      <c r="I45" t="str">
        <f>IFERROR(_xlfn.IFNA(INDEX(cards[],MATCH(AllCardsViz[[#This Row],[uuid]],cards[uuid],0),74),INDEX(tokens[],MATCH(AllCardsViz[[#This Row],[uuid]],tokens[uuid],0),46)),"")</f>
        <v>Menace (This creature can't be blocked except by two or more creatures.)</v>
      </c>
    </row>
    <row r="46" spans="1:9" x14ac:dyDescent="0.35">
      <c r="A46" t="str" cm="1">
        <f t="array" ref="A46">IFERROR(INDEX(_xlfn.VSTACK(cards[uuid],tokens[uuid]), ROW()-ROW($A$1)),"")</f>
        <v>fcdd9620-9c54-5a56-adc4-13a277babc20</v>
      </c>
      <c r="B46" t="str">
        <f>IFERROR(_xlfn.IFNA(INDEX(cards[],MATCH(AllCardsViz[[#This Row],[uuid]],cards[uuid],0),50),INDEX(tokens[],MATCH(AllCardsViz[[#This Row],[uuid]],tokens[uuid],0),28)),"")</f>
        <v>Nissa, Steward of Elements</v>
      </c>
      <c r="C46" t="str">
        <f>IFERROR(_xlfn.IFNA(INDEX(cards[],MATCH(AllCardsViz[[#This Row],[uuid]],cards[uuid],0),63),""),"")</f>
        <v>mythic</v>
      </c>
      <c r="D46" t="str">
        <f>IFERROR(_xlfn.IFNA(INDEX(cards[],MATCH(AllCardsViz[[#This Row],[uuid]],cards[uuid],0),67),INDEX(tokens[],MATCH(AllCardsViz[[#This Row],[uuid]],tokens[uuid],0),40)),"")</f>
        <v>AKR</v>
      </c>
      <c r="E46" t="str">
        <f>IFERROR(_xlfn.IFNA(INDEX(cards[],MATCH(AllCardsViz[[#This Row],[uuid]],cards[uuid],0),68),INDEX(tokens[],MATCH(AllCardsViz[[#This Row],[uuid]],tokens[uuid],0),41)),"")</f>
        <v/>
      </c>
      <c r="F46" t="str">
        <f>IFERROR(_xlfn.IFNA(INDEX(cards[],MATCH(AllCardsViz[[#This Row],[uuid]],cards[uuid],0),42),INDEX(tokens[],MATCH(AllCardsViz[[#This Row],[uuid]],tokens[uuid],0),24)),"")</f>
        <v>Scry</v>
      </c>
      <c r="G46" t="str">
        <f>IFERROR(_xlfn.IFNA(INDEX(cards[],MATCH(AllCardsViz[[#This Row],[uuid]],cards[uuid],0),21),INDEX(tokens[],MATCH(AllCardsViz[[#This Row],[uuid]],tokens[uuid],0),13)),"")</f>
        <v>nonfoil</v>
      </c>
      <c r="H46" t="str">
        <f>IFERROR(INDEX(sets[],MATCH(AllCardsViz[[#This Row],[Setcode]],sets[code],0),2),INDEX(sets[],MATCH(AllCardsViz[[#This Row],[Setcode]],sets[tokenSetCode],0),2))</f>
        <v>Amonkhet Remastered</v>
      </c>
      <c r="I46" t="str">
        <f>IFERROR(_xlfn.IFNA(INDEX(cards[],MATCH(AllCardsViz[[#This Row],[uuid]],cards[uuid],0),74),INDEX(tokens[],MATCH(AllCardsViz[[#This Row],[uuid]],tokens[uuid],0),46)),"")</f>
        <v>[+2]: Scry 2.
[0]: Look at the top card of your library. If it's a land card or a creature card with mana value less than or equal to the number of loyalty counters on Nissa, you may put that card onto the battlefield.
[−6]: Untap up to two target lands you control. They become 5/5 Elemental creatures with flying and haste until end of turn. They're still lands.</v>
      </c>
    </row>
    <row r="47" spans="1:9" x14ac:dyDescent="0.35">
      <c r="A47" t="str" cm="1">
        <f t="array" ref="A47">IFERROR(INDEX(_xlfn.VSTACK(cards[uuid],tokens[uuid]), ROW()-ROW($A$1)),"")</f>
        <v>fd1183ad-ae98-5c4b-b93d-97d32b74d999</v>
      </c>
      <c r="B47" t="str">
        <f>IFERROR(_xlfn.IFNA(INDEX(cards[],MATCH(AllCardsViz[[#This Row],[uuid]],cards[uuid],0),50),INDEX(tokens[],MATCH(AllCardsViz[[#This Row],[uuid]],tokens[uuid],0),28)),"")</f>
        <v>Culling Drone</v>
      </c>
      <c r="C47" t="str">
        <f>IFERROR(_xlfn.IFNA(INDEX(cards[],MATCH(AllCardsViz[[#This Row],[uuid]],cards[uuid],0),63),""),"")</f>
        <v>common</v>
      </c>
      <c r="D47" t="str">
        <f>IFERROR(_xlfn.IFNA(INDEX(cards[],MATCH(AllCardsViz[[#This Row],[uuid]],cards[uuid],0),67),INDEX(tokens[],MATCH(AllCardsViz[[#This Row],[uuid]],tokens[uuid],0),40)),"")</f>
        <v>BFZ</v>
      </c>
      <c r="E47" t="str">
        <f>IFERROR(_xlfn.IFNA(INDEX(cards[],MATCH(AllCardsViz[[#This Row],[uuid]],cards[uuid],0),68),INDEX(tokens[],MATCH(AllCardsViz[[#This Row],[uuid]],tokens[uuid],0),41)),"")</f>
        <v/>
      </c>
      <c r="F47" t="str">
        <f>IFERROR(_xlfn.IFNA(INDEX(cards[],MATCH(AllCardsViz[[#This Row],[uuid]],cards[uuid],0),42),INDEX(tokens[],MATCH(AllCardsViz[[#This Row],[uuid]],tokens[uuid],0),24)),"")</f>
        <v>Devoid, Ingest</v>
      </c>
      <c r="G47" t="str">
        <f>IFERROR(_xlfn.IFNA(INDEX(cards[],MATCH(AllCardsViz[[#This Row],[uuid]],cards[uuid],0),21),INDEX(tokens[],MATCH(AllCardsViz[[#This Row],[uuid]],tokens[uuid],0),13)),"")</f>
        <v>nonfoil, foil</v>
      </c>
      <c r="H47" t="str">
        <f>IFERROR(INDEX(sets[],MATCH(AllCardsViz[[#This Row],[Setcode]],sets[code],0),2),INDEX(sets[],MATCH(AllCardsViz[[#This Row],[Setcode]],sets[tokenSetCode],0),2))</f>
        <v>Battle for Zendikar</v>
      </c>
      <c r="I47" t="str">
        <f>IFERROR(_xlfn.IFNA(INDEX(cards[],MATCH(AllCardsViz[[#This Row],[uuid]],cards[uuid],0),74),INDEX(tokens[],MATCH(AllCardsViz[[#This Row],[uuid]],tokens[uuid],0),46)),"")</f>
        <v>Devoid (This card has no color.)
Ingest (Whenever this creature deals combat damage to a player, that player exiles the top card of their library.)</v>
      </c>
    </row>
    <row r="48" spans="1:9" x14ac:dyDescent="0.35">
      <c r="A48" t="str" cm="1">
        <f t="array" ref="A48">IFERROR(INDEX(_xlfn.VSTACK(cards[uuid],tokens[uuid]), ROW()-ROW($A$1)),"")</f>
        <v>078d4e89-af80-58ae-9be8-7efd5eab2269</v>
      </c>
      <c r="B48" t="str">
        <f>IFERROR(_xlfn.IFNA(INDEX(cards[],MATCH(AllCardsViz[[#This Row],[uuid]],cards[uuid],0),50),INDEX(tokens[],MATCH(AllCardsViz[[#This Row],[uuid]],tokens[uuid],0),28)),"")</f>
        <v>Bloodvial Purveyor // Bloodvial Purveyor</v>
      </c>
      <c r="C48" t="str">
        <f>IFERROR(_xlfn.IFNA(INDEX(cards[],MATCH(AllCardsViz[[#This Row],[uuid]],cards[uuid],0),63),""),"")</f>
        <v/>
      </c>
      <c r="D48" t="str">
        <f>IFERROR(_xlfn.IFNA(INDEX(cards[],MATCH(AllCardsViz[[#This Row],[uuid]],cards[uuid],0),67),INDEX(tokens[],MATCH(AllCardsViz[[#This Row],[uuid]],tokens[uuid],0),40)),"")</f>
        <v>AVOW</v>
      </c>
      <c r="E48" t="str">
        <f>IFERROR(_xlfn.IFNA(INDEX(cards[],MATCH(AllCardsViz[[#This Row],[uuid]],cards[uuid],0),68),INDEX(tokens[],MATCH(AllCardsViz[[#This Row],[uuid]],tokens[uuid],0),41)),"")</f>
        <v>a</v>
      </c>
      <c r="F48" t="str">
        <f>IFERROR(_xlfn.IFNA(INDEX(cards[],MATCH(AllCardsViz[[#This Row],[uuid]],cards[uuid],0),42),INDEX(tokens[],MATCH(AllCardsViz[[#This Row],[uuid]],tokens[uuid],0),24)),"")</f>
        <v/>
      </c>
      <c r="G48" t="str">
        <f>IFERROR(_xlfn.IFNA(INDEX(cards[],MATCH(AllCardsViz[[#This Row],[uuid]],cards[uuid],0),21),INDEX(tokens[],MATCH(AllCardsViz[[#This Row],[uuid]],tokens[uuid],0),13)),"")</f>
        <v>nonfoil, foil, signed</v>
      </c>
      <c r="H48" t="str">
        <f>IFERROR(INDEX(sets[],MATCH(AllCardsViz[[#This Row],[Setcode]],sets[code],0),2),INDEX(sets[],MATCH(AllCardsViz[[#This Row],[Setcode]],sets[tokenSetCode],0),2))</f>
        <v>Crimson Vow Art Series</v>
      </c>
      <c r="I48" t="str">
        <f>IFERROR(_xlfn.IFNA(INDEX(cards[],MATCH(AllCardsViz[[#This Row],[uuid]],cards[uuid],0),74),INDEX(tokens[],MATCH(AllCardsViz[[#This Row],[uuid]],tokens[uuid],0),46)),"")</f>
        <v/>
      </c>
    </row>
    <row r="49" spans="1:9" x14ac:dyDescent="0.35">
      <c r="A49" t="str" cm="1">
        <f t="array" ref="A49">IFERROR(INDEX(_xlfn.VSTACK(cards[uuid],tokens[uuid]), ROW()-ROW($A$1)),"")</f>
        <v>0b952d69-5db0-59c2-810b-d4b10d452872</v>
      </c>
      <c r="B49" t="str">
        <f>IFERROR(_xlfn.IFNA(INDEX(cards[],MATCH(AllCardsViz[[#This Row],[uuid]],cards[uuid],0),50),INDEX(tokens[],MATCH(AllCardsViz[[#This Row],[uuid]],tokens[uuid],0),28)),"")</f>
        <v>Silent Clearing // Silent Clearing</v>
      </c>
      <c r="C49" t="str">
        <f>IFERROR(_xlfn.IFNA(INDEX(cards[],MATCH(AllCardsViz[[#This Row],[uuid]],cards[uuid],0),63),""),"")</f>
        <v/>
      </c>
      <c r="D49" t="str">
        <f>IFERROR(_xlfn.IFNA(INDEX(cards[],MATCH(AllCardsViz[[#This Row],[uuid]],cards[uuid],0),67),INDEX(tokens[],MATCH(AllCardsViz[[#This Row],[uuid]],tokens[uuid],0),40)),"")</f>
        <v>AMH1</v>
      </c>
      <c r="E49" t="str">
        <f>IFERROR(_xlfn.IFNA(INDEX(cards[],MATCH(AllCardsViz[[#This Row],[uuid]],cards[uuid],0),68),INDEX(tokens[],MATCH(AllCardsViz[[#This Row],[uuid]],tokens[uuid],0),41)),"")</f>
        <v>a</v>
      </c>
      <c r="F49" t="str">
        <f>IFERROR(_xlfn.IFNA(INDEX(cards[],MATCH(AllCardsViz[[#This Row],[uuid]],cards[uuid],0),42),INDEX(tokens[],MATCH(AllCardsViz[[#This Row],[uuid]],tokens[uuid],0),24)),"")</f>
        <v/>
      </c>
      <c r="G49" t="str">
        <f>IFERROR(_xlfn.IFNA(INDEX(cards[],MATCH(AllCardsViz[[#This Row],[uuid]],cards[uuid],0),21),INDEX(tokens[],MATCH(AllCardsViz[[#This Row],[uuid]],tokens[uuid],0),13)),"")</f>
        <v>nonfoil, signed</v>
      </c>
      <c r="H49" t="str">
        <f>IFERROR(INDEX(sets[],MATCH(AllCardsViz[[#This Row],[Setcode]],sets[code],0),2),INDEX(sets[],MATCH(AllCardsViz[[#This Row],[Setcode]],sets[tokenSetCode],0),2))</f>
        <v>Modern Horizons Art Series</v>
      </c>
      <c r="I49" t="str">
        <f>IFERROR(_xlfn.IFNA(INDEX(cards[],MATCH(AllCardsViz[[#This Row],[uuid]],cards[uuid],0),74),INDEX(tokens[],MATCH(AllCardsViz[[#This Row],[uuid]],tokens[uuid],0),46)),"")</f>
        <v/>
      </c>
    </row>
    <row r="50" spans="1:9" x14ac:dyDescent="0.35">
      <c r="A50" t="str" cm="1">
        <f t="array" ref="A50">IFERROR(INDEX(_xlfn.VSTACK(cards[uuid],tokens[uuid]), ROW()-ROW($A$1)),"")</f>
        <v>0fc5756d-2258-5d14-b4c4-65aa4efa8f3e</v>
      </c>
      <c r="B50" t="str">
        <f>IFERROR(_xlfn.IFNA(INDEX(cards[],MATCH(AllCardsViz[[#This Row],[uuid]],cards[uuid],0),50),INDEX(tokens[],MATCH(AllCardsViz[[#This Row],[uuid]],tokens[uuid],0),28)),"")</f>
        <v>Warriors</v>
      </c>
      <c r="C50" t="str">
        <f>IFERROR(_xlfn.IFNA(INDEX(cards[],MATCH(AllCardsViz[[#This Row],[uuid]],cards[uuid],0),63),""),"")</f>
        <v/>
      </c>
      <c r="D50" t="str">
        <f>IFERROR(_xlfn.IFNA(INDEX(cards[],MATCH(AllCardsViz[[#This Row],[uuid]],cards[uuid],0),67),INDEX(tokens[],MATCH(AllCardsViz[[#This Row],[uuid]],tokens[uuid],0),40)),"")</f>
        <v>FJ25</v>
      </c>
      <c r="E50" t="str">
        <f>IFERROR(_xlfn.IFNA(INDEX(cards[],MATCH(AllCardsViz[[#This Row],[uuid]],cards[uuid],0),68),INDEX(tokens[],MATCH(AllCardsViz[[#This Row],[uuid]],tokens[uuid],0),41)),"")</f>
        <v/>
      </c>
      <c r="F50" t="str">
        <f>IFERROR(_xlfn.IFNA(INDEX(cards[],MATCH(AllCardsViz[[#This Row],[uuid]],cards[uuid],0),42),INDEX(tokens[],MATCH(AllCardsViz[[#This Row],[uuid]],tokens[uuid],0),24)),"")</f>
        <v/>
      </c>
      <c r="G50" t="str">
        <f>IFERROR(_xlfn.IFNA(INDEX(cards[],MATCH(AllCardsViz[[#This Row],[uuid]],cards[uuid],0),21),INDEX(tokens[],MATCH(AllCardsViz[[#This Row],[uuid]],tokens[uuid],0),13)),"")</f>
        <v>nonfoil</v>
      </c>
      <c r="H50" t="str">
        <f>IFERROR(INDEX(sets[],MATCH(AllCardsViz[[#This Row],[Setcode]],sets[code],0),2),INDEX(sets[],MATCH(AllCardsViz[[#This Row],[Setcode]],sets[tokenSetCode],0),2))</f>
        <v>Foundations Jumpstart Front Cards</v>
      </c>
      <c r="I50" t="str">
        <f>IFERROR(_xlfn.IFNA(INDEX(cards[],MATCH(AllCardsViz[[#This Row],[uuid]],cards[uuid],0),74),INDEX(tokens[],MATCH(AllCardsViz[[#This Row],[uuid]],tokens[uuid],0),46)),"")</f>
        <v>(Theme color: {R}.)</v>
      </c>
    </row>
    <row r="51" spans="1:9" x14ac:dyDescent="0.35">
      <c r="A51" t="str" cm="1">
        <f t="array" ref="A51">IFERROR(INDEX(_xlfn.VSTACK(cards[uuid],tokens[uuid]), ROW()-ROW($A$1)),"")</f>
        <v>2d1d135f-3384-5ce1-85b4-bc3aa05d9ce0</v>
      </c>
      <c r="B51" t="str">
        <f>IFERROR(_xlfn.IFNA(INDEX(cards[],MATCH(AllCardsViz[[#This Row],[uuid]],cards[uuid],0),50),INDEX(tokens[],MATCH(AllCardsViz[[#This Row],[uuid]],tokens[uuid],0),28)),"")</f>
        <v>Season of Weaving // Season of Weaving</v>
      </c>
      <c r="C51" t="str">
        <f>IFERROR(_xlfn.IFNA(INDEX(cards[],MATCH(AllCardsViz[[#This Row],[uuid]],cards[uuid],0),63),""),"")</f>
        <v/>
      </c>
      <c r="D51" t="str">
        <f>IFERROR(_xlfn.IFNA(INDEX(cards[],MATCH(AllCardsViz[[#This Row],[uuid]],cards[uuid],0),67),INDEX(tokens[],MATCH(AllCardsViz[[#This Row],[uuid]],tokens[uuid],0),40)),"")</f>
        <v>ABLB</v>
      </c>
      <c r="E51" t="str">
        <f>IFERROR(_xlfn.IFNA(INDEX(cards[],MATCH(AllCardsViz[[#This Row],[uuid]],cards[uuid],0),68),INDEX(tokens[],MATCH(AllCardsViz[[#This Row],[uuid]],tokens[uuid],0),41)),"")</f>
        <v>a</v>
      </c>
      <c r="F51" t="str">
        <f>IFERROR(_xlfn.IFNA(INDEX(cards[],MATCH(AllCardsViz[[#This Row],[uuid]],cards[uuid],0),42),INDEX(tokens[],MATCH(AllCardsViz[[#This Row],[uuid]],tokens[uuid],0),24)),"")</f>
        <v/>
      </c>
      <c r="G51" t="str">
        <f>IFERROR(_xlfn.IFNA(INDEX(cards[],MATCH(AllCardsViz[[#This Row],[uuid]],cards[uuid],0),21),INDEX(tokens[],MATCH(AllCardsViz[[#This Row],[uuid]],tokens[uuid],0),13)),"")</f>
        <v>nonfoil, foil, signed</v>
      </c>
      <c r="H51" t="str">
        <f>IFERROR(INDEX(sets[],MATCH(AllCardsViz[[#This Row],[Setcode]],sets[code],0),2),INDEX(sets[],MATCH(AllCardsViz[[#This Row],[Setcode]],sets[tokenSetCode],0),2))</f>
        <v>Bloomburrow Art Series</v>
      </c>
      <c r="I51" t="str">
        <f>IFERROR(_xlfn.IFNA(INDEX(cards[],MATCH(AllCardsViz[[#This Row],[uuid]],cards[uuid],0),74),INDEX(tokens[],MATCH(AllCardsViz[[#This Row],[uuid]],tokens[uuid],0),46)),"")</f>
        <v/>
      </c>
    </row>
    <row r="52" spans="1:9" x14ac:dyDescent="0.35">
      <c r="A52" t="str" cm="1">
        <f t="array" ref="A52">IFERROR(INDEX(_xlfn.VSTACK(cards[uuid],tokens[uuid]), ROW()-ROW($A$1)),"")</f>
        <v>4767463a-62d8-5706-89e5-6e1155cd4d3e</v>
      </c>
      <c r="B52" t="str">
        <f>IFERROR(_xlfn.IFNA(INDEX(cards[],MATCH(AllCardsViz[[#This Row],[uuid]],cards[uuid],0),50),INDEX(tokens[],MATCH(AllCardsViz[[#This Row],[uuid]],tokens[uuid],0),28)),"")</f>
        <v>Shadrix Silverquill // Shadrix Silverquill</v>
      </c>
      <c r="C52" t="str">
        <f>IFERROR(_xlfn.IFNA(INDEX(cards[],MATCH(AllCardsViz[[#This Row],[uuid]],cards[uuid],0),63),""),"")</f>
        <v/>
      </c>
      <c r="D52" t="str">
        <f>IFERROR(_xlfn.IFNA(INDEX(cards[],MATCH(AllCardsViz[[#This Row],[uuid]],cards[uuid],0),67),INDEX(tokens[],MATCH(AllCardsViz[[#This Row],[uuid]],tokens[uuid],0),40)),"")</f>
        <v>ASTX</v>
      </c>
      <c r="E52" t="str">
        <f>IFERROR(_xlfn.IFNA(INDEX(cards[],MATCH(AllCardsViz[[#This Row],[uuid]],cards[uuid],0),68),INDEX(tokens[],MATCH(AllCardsViz[[#This Row],[uuid]],tokens[uuid],0),41)),"")</f>
        <v>a</v>
      </c>
      <c r="F52" t="str">
        <f>IFERROR(_xlfn.IFNA(INDEX(cards[],MATCH(AllCardsViz[[#This Row],[uuid]],cards[uuid],0),42),INDEX(tokens[],MATCH(AllCardsViz[[#This Row],[uuid]],tokens[uuid],0),24)),"")</f>
        <v/>
      </c>
      <c r="G52" t="str">
        <f>IFERROR(_xlfn.IFNA(INDEX(cards[],MATCH(AllCardsViz[[#This Row],[uuid]],cards[uuid],0),21),INDEX(tokens[],MATCH(AllCardsViz[[#This Row],[uuid]],tokens[uuid],0),13)),"")</f>
        <v>nonfoil, foil, signed</v>
      </c>
      <c r="H52" t="str">
        <f>IFERROR(INDEX(sets[],MATCH(AllCardsViz[[#This Row],[Setcode]],sets[code],0),2),INDEX(sets[],MATCH(AllCardsViz[[#This Row],[Setcode]],sets[tokenSetCode],0),2))</f>
        <v>Strixhaven Art Series</v>
      </c>
      <c r="I52" t="str">
        <f>IFERROR(_xlfn.IFNA(INDEX(cards[],MATCH(AllCardsViz[[#This Row],[uuid]],cards[uuid],0),74),INDEX(tokens[],MATCH(AllCardsViz[[#This Row],[uuid]],tokens[uuid],0),46)),"")</f>
        <v/>
      </c>
    </row>
    <row r="53" spans="1:9" x14ac:dyDescent="0.35">
      <c r="A53" t="str" cm="1">
        <f t="array" ref="A53">IFERROR(INDEX(_xlfn.VSTACK(cards[uuid],tokens[uuid]), ROW()-ROW($A$1)),"")</f>
        <v>62118980-b180-5006-80c4-cdc91d1ca44a</v>
      </c>
      <c r="B53" t="str">
        <f>IFERROR(_xlfn.IFNA(INDEX(cards[],MATCH(AllCardsViz[[#This Row],[uuid]],cards[uuid],0),50),INDEX(tokens[],MATCH(AllCardsViz[[#This Row],[uuid]],tokens[uuid],0),28)),"")</f>
        <v>Sythis, Harvest's Hand // Sythis, Harvest's Hand</v>
      </c>
      <c r="C53" t="str">
        <f>IFERROR(_xlfn.IFNA(INDEX(cards[],MATCH(AllCardsViz[[#This Row],[uuid]],cards[uuid],0),63),""),"")</f>
        <v/>
      </c>
      <c r="D53" t="str">
        <f>IFERROR(_xlfn.IFNA(INDEX(cards[],MATCH(AllCardsViz[[#This Row],[uuid]],cards[uuid],0),67),INDEX(tokens[],MATCH(AllCardsViz[[#This Row],[uuid]],tokens[uuid],0),40)),"")</f>
        <v>AMH2</v>
      </c>
      <c r="E53" t="str">
        <f>IFERROR(_xlfn.IFNA(INDEX(cards[],MATCH(AllCardsViz[[#This Row],[uuid]],cards[uuid],0),68),INDEX(tokens[],MATCH(AllCardsViz[[#This Row],[uuid]],tokens[uuid],0),41)),"")</f>
        <v>a</v>
      </c>
      <c r="F53" t="str">
        <f>IFERROR(_xlfn.IFNA(INDEX(cards[],MATCH(AllCardsViz[[#This Row],[uuid]],cards[uuid],0),42),INDEX(tokens[],MATCH(AllCardsViz[[#This Row],[uuid]],tokens[uuid],0),24)),"")</f>
        <v/>
      </c>
      <c r="G53" t="str">
        <f>IFERROR(_xlfn.IFNA(INDEX(cards[],MATCH(AllCardsViz[[#This Row],[uuid]],cards[uuid],0),21),INDEX(tokens[],MATCH(AllCardsViz[[#This Row],[uuid]],tokens[uuid],0),13)),"")</f>
        <v>nonfoil, foil, signed</v>
      </c>
      <c r="H53" t="str">
        <f>IFERROR(INDEX(sets[],MATCH(AllCardsViz[[#This Row],[Setcode]],sets[code],0),2),INDEX(sets[],MATCH(AllCardsViz[[#This Row],[Setcode]],sets[tokenSetCode],0),2))</f>
        <v>Modern Horizons 2 Art Series</v>
      </c>
      <c r="I53" t="str">
        <f>IFERROR(_xlfn.IFNA(INDEX(cards[],MATCH(AllCardsViz[[#This Row],[uuid]],cards[uuid],0),74),INDEX(tokens[],MATCH(AllCardsViz[[#This Row],[uuid]],tokens[uuid],0),46)),"")</f>
        <v/>
      </c>
    </row>
    <row r="54" spans="1:9" x14ac:dyDescent="0.35">
      <c r="A54" t="str" cm="1">
        <f t="array" ref="A54">IFERROR(INDEX(_xlfn.VSTACK(cards[uuid],tokens[uuid]), ROW()-ROW($A$1)),"")</f>
        <v>701dcbc1-659a-5b77-8eda-2157fec85d8d</v>
      </c>
      <c r="B54" t="str">
        <f>IFERROR(_xlfn.IFNA(INDEX(cards[],MATCH(AllCardsViz[[#This Row],[uuid]],cards[uuid],0),50),INDEX(tokens[],MATCH(AllCardsViz[[#This Row],[uuid]],tokens[uuid],0),28)),"")</f>
        <v>Ranger-Captain of Eos // Ranger-Captain of Eos</v>
      </c>
      <c r="C54" t="str">
        <f>IFERROR(_xlfn.IFNA(INDEX(cards[],MATCH(AllCardsViz[[#This Row],[uuid]],cards[uuid],0),63),""),"")</f>
        <v/>
      </c>
      <c r="D54" t="str">
        <f>IFERROR(_xlfn.IFNA(INDEX(cards[],MATCH(AllCardsViz[[#This Row],[uuid]],cards[uuid],0),67),INDEX(tokens[],MATCH(AllCardsViz[[#This Row],[uuid]],tokens[uuid],0),40)),"")</f>
        <v>AMH1</v>
      </c>
      <c r="E54" t="str">
        <f>IFERROR(_xlfn.IFNA(INDEX(cards[],MATCH(AllCardsViz[[#This Row],[uuid]],cards[uuid],0),68),INDEX(tokens[],MATCH(AllCardsViz[[#This Row],[uuid]],tokens[uuid],0),41)),"")</f>
        <v>a</v>
      </c>
      <c r="F54" t="str">
        <f>IFERROR(_xlfn.IFNA(INDEX(cards[],MATCH(AllCardsViz[[#This Row],[uuid]],cards[uuid],0),42),INDEX(tokens[],MATCH(AllCardsViz[[#This Row],[uuid]],tokens[uuid],0),24)),"")</f>
        <v/>
      </c>
      <c r="G54" t="str">
        <f>IFERROR(_xlfn.IFNA(INDEX(cards[],MATCH(AllCardsViz[[#This Row],[uuid]],cards[uuid],0),21),INDEX(tokens[],MATCH(AllCardsViz[[#This Row],[uuid]],tokens[uuid],0),13)),"")</f>
        <v>nonfoil, signed</v>
      </c>
      <c r="H54" t="str">
        <f>IFERROR(INDEX(sets[],MATCH(AllCardsViz[[#This Row],[Setcode]],sets[code],0),2),INDEX(sets[],MATCH(AllCardsViz[[#This Row],[Setcode]],sets[tokenSetCode],0),2))</f>
        <v>Modern Horizons Art Series</v>
      </c>
      <c r="I54" t="str">
        <f>IFERROR(_xlfn.IFNA(INDEX(cards[],MATCH(AllCardsViz[[#This Row],[uuid]],cards[uuid],0),74),INDEX(tokens[],MATCH(AllCardsViz[[#This Row],[uuid]],tokens[uuid],0),46)),"")</f>
        <v/>
      </c>
    </row>
    <row r="55" spans="1:9" x14ac:dyDescent="0.35">
      <c r="A55" t="str" cm="1">
        <f t="array" ref="A55">IFERROR(INDEX(_xlfn.VSTACK(cards[uuid],tokens[uuid]), ROW()-ROW($A$1)),"")</f>
        <v>75e2741e-f3e4-5f9d-bebd-c591e0c36430</v>
      </c>
      <c r="B55" t="str">
        <f>IFERROR(_xlfn.IFNA(INDEX(cards[],MATCH(AllCardsViz[[#This Row],[uuid]],cards[uuid],0),50),INDEX(tokens[],MATCH(AllCardsViz[[#This Row],[uuid]],tokens[uuid],0),28)),"")</f>
        <v>All Will Be One // All Will Be One</v>
      </c>
      <c r="C55" t="str">
        <f>IFERROR(_xlfn.IFNA(INDEX(cards[],MATCH(AllCardsViz[[#This Row],[uuid]],cards[uuid],0),63),""),"")</f>
        <v/>
      </c>
      <c r="D55" t="str">
        <f>IFERROR(_xlfn.IFNA(INDEX(cards[],MATCH(AllCardsViz[[#This Row],[uuid]],cards[uuid],0),67),INDEX(tokens[],MATCH(AllCardsViz[[#This Row],[uuid]],tokens[uuid],0),40)),"")</f>
        <v>AONE</v>
      </c>
      <c r="E55" t="str">
        <f>IFERROR(_xlfn.IFNA(INDEX(cards[],MATCH(AllCardsViz[[#This Row],[uuid]],cards[uuid],0),68),INDEX(tokens[],MATCH(AllCardsViz[[#This Row],[uuid]],tokens[uuid],0),41)),"")</f>
        <v>a</v>
      </c>
      <c r="F55" t="str">
        <f>IFERROR(_xlfn.IFNA(INDEX(cards[],MATCH(AllCardsViz[[#This Row],[uuid]],cards[uuid],0),42),INDEX(tokens[],MATCH(AllCardsViz[[#This Row],[uuid]],tokens[uuid],0),24)),"")</f>
        <v/>
      </c>
      <c r="G55" t="str">
        <f>IFERROR(_xlfn.IFNA(INDEX(cards[],MATCH(AllCardsViz[[#This Row],[uuid]],cards[uuid],0),21),INDEX(tokens[],MATCH(AllCardsViz[[#This Row],[uuid]],tokens[uuid],0),13)),"")</f>
        <v>nonfoil, foil, signed</v>
      </c>
      <c r="H55" t="str">
        <f>IFERROR(INDEX(sets[],MATCH(AllCardsViz[[#This Row],[Setcode]],sets[code],0),2),INDEX(sets[],MATCH(AllCardsViz[[#This Row],[Setcode]],sets[tokenSetCode],0),2))</f>
        <v>Phyrexia: All Will Be One Art Series</v>
      </c>
      <c r="I55" t="str">
        <f>IFERROR(_xlfn.IFNA(INDEX(cards[],MATCH(AllCardsViz[[#This Row],[uuid]],cards[uuid],0),74),INDEX(tokens[],MATCH(AllCardsViz[[#This Row],[uuid]],tokens[uuid],0),46)),"")</f>
        <v/>
      </c>
    </row>
    <row r="56" spans="1:9" x14ac:dyDescent="0.35">
      <c r="A56" t="str" cm="1">
        <f t="array" ref="A56">IFERROR(INDEX(_xlfn.VSTACK(cards[uuid],tokens[uuid]), ROW()-ROW($A$1)),"")</f>
        <v>928521d7-c94d-59c8-90e5-a2698afab4ac</v>
      </c>
      <c r="B56" t="str">
        <f>IFERROR(_xlfn.IFNA(INDEX(cards[],MATCH(AllCardsViz[[#This Row],[uuid]],cards[uuid],0),50),INDEX(tokens[],MATCH(AllCardsViz[[#This Row],[uuid]],tokens[uuid],0),28)),"")</f>
        <v>Bloom Tender // Bloom Tender</v>
      </c>
      <c r="C56" t="str">
        <f>IFERROR(_xlfn.IFNA(INDEX(cards[],MATCH(AllCardsViz[[#This Row],[uuid]],cards[uuid],0),63),""),"")</f>
        <v/>
      </c>
      <c r="D56" t="str">
        <f>IFERROR(_xlfn.IFNA(INDEX(cards[],MATCH(AllCardsViz[[#This Row],[uuid]],cards[uuid],0),67),INDEX(tokens[],MATCH(AllCardsViz[[#This Row],[uuid]],tokens[uuid],0),40)),"")</f>
        <v>AFDN</v>
      </c>
      <c r="E56" t="str">
        <f>IFERROR(_xlfn.IFNA(INDEX(cards[],MATCH(AllCardsViz[[#This Row],[uuid]],cards[uuid],0),68),INDEX(tokens[],MATCH(AllCardsViz[[#This Row],[uuid]],tokens[uuid],0),41)),"")</f>
        <v>a</v>
      </c>
      <c r="F56" t="str">
        <f>IFERROR(_xlfn.IFNA(INDEX(cards[],MATCH(AllCardsViz[[#This Row],[uuid]],cards[uuid],0),42),INDEX(tokens[],MATCH(AllCardsViz[[#This Row],[uuid]],tokens[uuid],0),24)),"")</f>
        <v/>
      </c>
      <c r="G56" t="str">
        <f>IFERROR(_xlfn.IFNA(INDEX(cards[],MATCH(AllCardsViz[[#This Row],[uuid]],cards[uuid],0),21),INDEX(tokens[],MATCH(AllCardsViz[[#This Row],[uuid]],tokens[uuid],0),13)),"")</f>
        <v>nonfoil, foil, signed</v>
      </c>
      <c r="H56" t="str">
        <f>IFERROR(INDEX(sets[],MATCH(AllCardsViz[[#This Row],[Setcode]],sets[code],0),2),INDEX(sets[],MATCH(AllCardsViz[[#This Row],[Setcode]],sets[tokenSetCode],0),2))</f>
        <v>Foundations Art Series</v>
      </c>
      <c r="I56" t="str">
        <f>IFERROR(_xlfn.IFNA(INDEX(cards[],MATCH(AllCardsViz[[#This Row],[uuid]],cards[uuid],0),74),INDEX(tokens[],MATCH(AllCardsViz[[#This Row],[uuid]],tokens[uuid],0),46)),"")</f>
        <v/>
      </c>
    </row>
    <row r="57" spans="1:9" x14ac:dyDescent="0.35">
      <c r="A57" t="str" cm="1">
        <f t="array" ref="A57">IFERROR(INDEX(_xlfn.VSTACK(cards[uuid],tokens[uuid]), ROW()-ROW($A$1)),"")</f>
        <v>93c8adfe-6a83-5376-9ccf-53c8966b8a3d</v>
      </c>
      <c r="B57" t="str">
        <f>IFERROR(_xlfn.IFNA(INDEX(cards[],MATCH(AllCardsViz[[#This Row],[uuid]],cards[uuid],0),50),INDEX(tokens[],MATCH(AllCardsViz[[#This Row],[uuid]],tokens[uuid],0),28)),"")</f>
        <v>Bloom Tender // Bloom Tender</v>
      </c>
      <c r="C57" t="str">
        <f>IFERROR(_xlfn.IFNA(INDEX(cards[],MATCH(AllCardsViz[[#This Row],[uuid]],cards[uuid],0),63),""),"")</f>
        <v/>
      </c>
      <c r="D57" t="str">
        <f>IFERROR(_xlfn.IFNA(INDEX(cards[],MATCH(AllCardsViz[[#This Row],[uuid]],cards[uuid],0),67),INDEX(tokens[],MATCH(AllCardsViz[[#This Row],[uuid]],tokens[uuid],0),40)),"")</f>
        <v>AFDN</v>
      </c>
      <c r="E57" t="str">
        <f>IFERROR(_xlfn.IFNA(INDEX(cards[],MATCH(AllCardsViz[[#This Row],[uuid]],cards[uuid],0),68),INDEX(tokens[],MATCH(AllCardsViz[[#This Row],[uuid]],tokens[uuid],0),41)),"")</f>
        <v>b</v>
      </c>
      <c r="F57" t="str">
        <f>IFERROR(_xlfn.IFNA(INDEX(cards[],MATCH(AllCardsViz[[#This Row],[uuid]],cards[uuid],0),42),INDEX(tokens[],MATCH(AllCardsViz[[#This Row],[uuid]],tokens[uuid],0),24)),"")</f>
        <v/>
      </c>
      <c r="G57" t="str">
        <f>IFERROR(_xlfn.IFNA(INDEX(cards[],MATCH(AllCardsViz[[#This Row],[uuid]],cards[uuid],0),21),INDEX(tokens[],MATCH(AllCardsViz[[#This Row],[uuid]],tokens[uuid],0),13)),"")</f>
        <v>nonfoil, foil, signed</v>
      </c>
      <c r="H57" t="str">
        <f>IFERROR(INDEX(sets[],MATCH(AllCardsViz[[#This Row],[Setcode]],sets[code],0),2),INDEX(sets[],MATCH(AllCardsViz[[#This Row],[Setcode]],sets[tokenSetCode],0),2))</f>
        <v>Foundations Art Series</v>
      </c>
      <c r="I57" t="str">
        <f>IFERROR(_xlfn.IFNA(INDEX(cards[],MATCH(AllCardsViz[[#This Row],[uuid]],cards[uuid],0),74),INDEX(tokens[],MATCH(AllCardsViz[[#This Row],[uuid]],tokens[uuid],0),46)),"")</f>
        <v/>
      </c>
    </row>
    <row r="58" spans="1:9" x14ac:dyDescent="0.35">
      <c r="A58" t="str" cm="1">
        <f t="array" ref="A58">IFERROR(INDEX(_xlfn.VSTACK(cards[uuid],tokens[uuid]), ROW()-ROW($A$1)),"")</f>
        <v>978e07d3-d388-5379-8c20-f67c6af0936d</v>
      </c>
      <c r="B58" t="str">
        <f>IFERROR(_xlfn.IFNA(INDEX(cards[],MATCH(AllCardsViz[[#This Row],[uuid]],cards[uuid],0),50),INDEX(tokens[],MATCH(AllCardsViz[[#This Row],[uuid]],tokens[uuid],0),28)),"")</f>
        <v>Blossoming Calm // Blossoming Calm</v>
      </c>
      <c r="C58" t="str">
        <f>IFERROR(_xlfn.IFNA(INDEX(cards[],MATCH(AllCardsViz[[#This Row],[uuid]],cards[uuid],0),63),""),"")</f>
        <v/>
      </c>
      <c r="D58" t="str">
        <f>IFERROR(_xlfn.IFNA(INDEX(cards[],MATCH(AllCardsViz[[#This Row],[uuid]],cards[uuid],0),67),INDEX(tokens[],MATCH(AllCardsViz[[#This Row],[uuid]],tokens[uuid],0),40)),"")</f>
        <v>AMH2</v>
      </c>
      <c r="E58" t="str">
        <f>IFERROR(_xlfn.IFNA(INDEX(cards[],MATCH(AllCardsViz[[#This Row],[uuid]],cards[uuid],0),68),INDEX(tokens[],MATCH(AllCardsViz[[#This Row],[uuid]],tokens[uuid],0),41)),"")</f>
        <v>a</v>
      </c>
      <c r="F58" t="str">
        <f>IFERROR(_xlfn.IFNA(INDEX(cards[],MATCH(AllCardsViz[[#This Row],[uuid]],cards[uuid],0),42),INDEX(tokens[],MATCH(AllCardsViz[[#This Row],[uuid]],tokens[uuid],0),24)),"")</f>
        <v/>
      </c>
      <c r="G58" t="str">
        <f>IFERROR(_xlfn.IFNA(INDEX(cards[],MATCH(AllCardsViz[[#This Row],[uuid]],cards[uuid],0),21),INDEX(tokens[],MATCH(AllCardsViz[[#This Row],[uuid]],tokens[uuid],0),13)),"")</f>
        <v>nonfoil, signed</v>
      </c>
      <c r="H58" t="str">
        <f>IFERROR(INDEX(sets[],MATCH(AllCardsViz[[#This Row],[Setcode]],sets[code],0),2),INDEX(sets[],MATCH(AllCardsViz[[#This Row],[Setcode]],sets[tokenSetCode],0),2))</f>
        <v>Modern Horizons 2 Art Series</v>
      </c>
      <c r="I58" t="str">
        <f>IFERROR(_xlfn.IFNA(INDEX(cards[],MATCH(AllCardsViz[[#This Row],[uuid]],cards[uuid],0),74),INDEX(tokens[],MATCH(AllCardsViz[[#This Row],[uuid]],tokens[uuid],0),46)),"")</f>
        <v/>
      </c>
    </row>
    <row r="59" spans="1:9" x14ac:dyDescent="0.35">
      <c r="A59" t="str" cm="1">
        <f t="array" ref="A59">IFERROR(INDEX(_xlfn.VSTACK(cards[uuid],tokens[uuid]), ROW()-ROW($A$1)),"")</f>
        <v>aa58de39-347e-5228-b381-0ece08608070</v>
      </c>
      <c r="B59" t="str">
        <f>IFERROR(_xlfn.IFNA(INDEX(cards[],MATCH(AllCardsViz[[#This Row],[uuid]],cards[uuid],0),50),INDEX(tokens[],MATCH(AllCardsViz[[#This Row],[uuid]],tokens[uuid],0),28)),"")</f>
        <v>Season of Weaving // Season of Weaving</v>
      </c>
      <c r="C59" t="str">
        <f>IFERROR(_xlfn.IFNA(INDEX(cards[],MATCH(AllCardsViz[[#This Row],[uuid]],cards[uuid],0),63),""),"")</f>
        <v/>
      </c>
      <c r="D59" t="str">
        <f>IFERROR(_xlfn.IFNA(INDEX(cards[],MATCH(AllCardsViz[[#This Row],[uuid]],cards[uuid],0),67),INDEX(tokens[],MATCH(AllCardsViz[[#This Row],[uuid]],tokens[uuid],0),40)),"")</f>
        <v>ABLB</v>
      </c>
      <c r="E59" t="str">
        <f>IFERROR(_xlfn.IFNA(INDEX(cards[],MATCH(AllCardsViz[[#This Row],[uuid]],cards[uuid],0),68),INDEX(tokens[],MATCH(AllCardsViz[[#This Row],[uuid]],tokens[uuid],0),41)),"")</f>
        <v>b</v>
      </c>
      <c r="F59" t="str">
        <f>IFERROR(_xlfn.IFNA(INDEX(cards[],MATCH(AllCardsViz[[#This Row],[uuid]],cards[uuid],0),42),INDEX(tokens[],MATCH(AllCardsViz[[#This Row],[uuid]],tokens[uuid],0),24)),"")</f>
        <v/>
      </c>
      <c r="G59" t="str">
        <f>IFERROR(_xlfn.IFNA(INDEX(cards[],MATCH(AllCardsViz[[#This Row],[uuid]],cards[uuid],0),21),INDEX(tokens[],MATCH(AllCardsViz[[#This Row],[uuid]],tokens[uuid],0),13)),"")</f>
        <v>nonfoil, foil, signed</v>
      </c>
      <c r="H59" t="str">
        <f>IFERROR(INDEX(sets[],MATCH(AllCardsViz[[#This Row],[Setcode]],sets[code],0),2),INDEX(sets[],MATCH(AllCardsViz[[#This Row],[Setcode]],sets[tokenSetCode],0),2))</f>
        <v>Bloomburrow Art Series</v>
      </c>
      <c r="I59" t="str">
        <f>IFERROR(_xlfn.IFNA(INDEX(cards[],MATCH(AllCardsViz[[#This Row],[uuid]],cards[uuid],0),74),INDEX(tokens[],MATCH(AllCardsViz[[#This Row],[uuid]],tokens[uuid],0),46)),"")</f>
        <v/>
      </c>
    </row>
    <row r="60" spans="1:9" x14ac:dyDescent="0.35">
      <c r="A60" t="str" cm="1">
        <f t="array" ref="A60">IFERROR(INDEX(_xlfn.VSTACK(cards[uuid],tokens[uuid]), ROW()-ROW($A$1)),"")</f>
        <v>aaf9b28b-4552-5665-b719-b8711215002b</v>
      </c>
      <c r="B60" t="str">
        <f>IFERROR(_xlfn.IFNA(INDEX(cards[],MATCH(AllCardsViz[[#This Row],[uuid]],cards[uuid],0),50),INDEX(tokens[],MATCH(AllCardsViz[[#This Row],[uuid]],tokens[uuid],0),28)),"")</f>
        <v>Rampant Frogantua // Rampant Frogantua</v>
      </c>
      <c r="C60" t="str">
        <f>IFERROR(_xlfn.IFNA(INDEX(cards[],MATCH(AllCardsViz[[#This Row],[uuid]],cards[uuid],0),63),""),"")</f>
        <v/>
      </c>
      <c r="D60" t="str">
        <f>IFERROR(_xlfn.IFNA(INDEX(cards[],MATCH(AllCardsViz[[#This Row],[uuid]],cards[uuid],0),67),INDEX(tokens[],MATCH(AllCardsViz[[#This Row],[uuid]],tokens[uuid],0),40)),"")</f>
        <v>AMH3</v>
      </c>
      <c r="E60" t="str">
        <f>IFERROR(_xlfn.IFNA(INDEX(cards[],MATCH(AllCardsViz[[#This Row],[uuid]],cards[uuid],0),68),INDEX(tokens[],MATCH(AllCardsViz[[#This Row],[uuid]],tokens[uuid],0),41)),"")</f>
        <v>a</v>
      </c>
      <c r="F60" t="str">
        <f>IFERROR(_xlfn.IFNA(INDEX(cards[],MATCH(AllCardsViz[[#This Row],[uuid]],cards[uuid],0),42),INDEX(tokens[],MATCH(AllCardsViz[[#This Row],[uuid]],tokens[uuid],0),24)),"")</f>
        <v/>
      </c>
      <c r="G60" t="str">
        <f>IFERROR(_xlfn.IFNA(INDEX(cards[],MATCH(AllCardsViz[[#This Row],[uuid]],cards[uuid],0),21),INDEX(tokens[],MATCH(AllCardsViz[[#This Row],[uuid]],tokens[uuid],0),13)),"")</f>
        <v>nonfoil, foil, signed</v>
      </c>
      <c r="H60" t="str">
        <f>IFERROR(INDEX(sets[],MATCH(AllCardsViz[[#This Row],[Setcode]],sets[code],0),2),INDEX(sets[],MATCH(AllCardsViz[[#This Row],[Setcode]],sets[tokenSetCode],0),2))</f>
        <v>Modern Horizons 3 Art Series</v>
      </c>
      <c r="I60" t="str">
        <f>IFERROR(_xlfn.IFNA(INDEX(cards[],MATCH(AllCardsViz[[#This Row],[uuid]],cards[uuid],0),74),INDEX(tokens[],MATCH(AllCardsViz[[#This Row],[uuid]],tokens[uuid],0),46)),"")</f>
        <v/>
      </c>
    </row>
    <row r="61" spans="1:9" x14ac:dyDescent="0.35">
      <c r="A61" t="str" cm="1">
        <f t="array" ref="A61">IFERROR(INDEX(_xlfn.VSTACK(cards[uuid],tokens[uuid]), ROW()-ROW($A$1)),"")</f>
        <v>d4588e8f-e5a0-53e5-ac90-0a5183f0d118</v>
      </c>
      <c r="B61" t="str">
        <f>IFERROR(_xlfn.IFNA(INDEX(cards[],MATCH(AllCardsViz[[#This Row],[uuid]],cards[uuid],0),50),INDEX(tokens[],MATCH(AllCardsViz[[#This Row],[uuid]],tokens[uuid],0),28)),"")</f>
        <v>Chillerpillar // Chillerpillar</v>
      </c>
      <c r="C61" t="str">
        <f>IFERROR(_xlfn.IFNA(INDEX(cards[],MATCH(AllCardsViz[[#This Row],[uuid]],cards[uuid],0),63),""),"")</f>
        <v/>
      </c>
      <c r="D61" t="str">
        <f>IFERROR(_xlfn.IFNA(INDEX(cards[],MATCH(AllCardsViz[[#This Row],[uuid]],cards[uuid],0),67),INDEX(tokens[],MATCH(AllCardsViz[[#This Row],[uuid]],tokens[uuid],0),40)),"")</f>
        <v>AMH1</v>
      </c>
      <c r="E61" t="str">
        <f>IFERROR(_xlfn.IFNA(INDEX(cards[],MATCH(AllCardsViz[[#This Row],[uuid]],cards[uuid],0),68),INDEX(tokens[],MATCH(AllCardsViz[[#This Row],[uuid]],tokens[uuid],0),41)),"")</f>
        <v>a</v>
      </c>
      <c r="F61" t="str">
        <f>IFERROR(_xlfn.IFNA(INDEX(cards[],MATCH(AllCardsViz[[#This Row],[uuid]],cards[uuid],0),42),INDEX(tokens[],MATCH(AllCardsViz[[#This Row],[uuid]],tokens[uuid],0),24)),"")</f>
        <v/>
      </c>
      <c r="G61" t="str">
        <f>IFERROR(_xlfn.IFNA(INDEX(cards[],MATCH(AllCardsViz[[#This Row],[uuid]],cards[uuid],0),21),INDEX(tokens[],MATCH(AllCardsViz[[#This Row],[uuid]],tokens[uuid],0),13)),"")</f>
        <v>nonfoil, signed</v>
      </c>
      <c r="H61" t="str">
        <f>IFERROR(INDEX(sets[],MATCH(AllCardsViz[[#This Row],[Setcode]],sets[code],0),2),INDEX(sets[],MATCH(AllCardsViz[[#This Row],[Setcode]],sets[tokenSetCode],0),2))</f>
        <v>Modern Horizons Art Series</v>
      </c>
      <c r="I61" t="str">
        <f>IFERROR(_xlfn.IFNA(INDEX(cards[],MATCH(AllCardsViz[[#This Row],[uuid]],cards[uuid],0),74),INDEX(tokens[],MATCH(AllCardsViz[[#This Row],[uuid]],tokens[uuid],0),46)),"")</f>
        <v/>
      </c>
    </row>
    <row r="62" spans="1:9" x14ac:dyDescent="0.35">
      <c r="A62" t="str" cm="1">
        <f t="array" ref="A62">IFERROR(INDEX(_xlfn.VSTACK(cards[uuid],tokens[uuid]), ROW()-ROW($A$1)),"")</f>
        <v>f7161b69-1d04-5f7b-92fe-ea2fd8bf8e88</v>
      </c>
      <c r="B62" t="str">
        <f>IFERROR(_xlfn.IFNA(INDEX(cards[],MATCH(AllCardsViz[[#This Row],[uuid]],cards[uuid],0),50),INDEX(tokens[],MATCH(AllCardsViz[[#This Row],[uuid]],tokens[uuid],0),28)),"")</f>
        <v>Jan Jansen, Chaos Crafter // Jan Jansen, Chaos Crafter</v>
      </c>
      <c r="C62" t="str">
        <f>IFERROR(_xlfn.IFNA(INDEX(cards[],MATCH(AllCardsViz[[#This Row],[uuid]],cards[uuid],0),63),""),"")</f>
        <v/>
      </c>
      <c r="D62" t="str">
        <f>IFERROR(_xlfn.IFNA(INDEX(cards[],MATCH(AllCardsViz[[#This Row],[uuid]],cards[uuid],0),67),INDEX(tokens[],MATCH(AllCardsViz[[#This Row],[uuid]],tokens[uuid],0),40)),"")</f>
        <v>ACLB</v>
      </c>
      <c r="E62" t="str">
        <f>IFERROR(_xlfn.IFNA(INDEX(cards[],MATCH(AllCardsViz[[#This Row],[uuid]],cards[uuid],0),68),INDEX(tokens[],MATCH(AllCardsViz[[#This Row],[uuid]],tokens[uuid],0),41)),"")</f>
        <v>a</v>
      </c>
      <c r="F62" t="str">
        <f>IFERROR(_xlfn.IFNA(INDEX(cards[],MATCH(AllCardsViz[[#This Row],[uuid]],cards[uuid],0),42),INDEX(tokens[],MATCH(AllCardsViz[[#This Row],[uuid]],tokens[uuid],0),24)),"")</f>
        <v/>
      </c>
      <c r="G62" t="str">
        <f>IFERROR(_xlfn.IFNA(INDEX(cards[],MATCH(AllCardsViz[[#This Row],[uuid]],cards[uuid],0),21),INDEX(tokens[],MATCH(AllCardsViz[[#This Row],[uuid]],tokens[uuid],0),13)),"")</f>
        <v>nonfoil, foil, signed</v>
      </c>
      <c r="H62" t="str">
        <f>IFERROR(INDEX(sets[],MATCH(AllCardsViz[[#This Row],[Setcode]],sets[code],0),2),INDEX(sets[],MATCH(AllCardsViz[[#This Row],[Setcode]],sets[tokenSetCode],0),2))</f>
        <v>Battle for Baldur's Gate Art Series</v>
      </c>
      <c r="I62" t="str">
        <f>IFERROR(_xlfn.IFNA(INDEX(cards[],MATCH(AllCardsViz[[#This Row],[uuid]],cards[uuid],0),74),INDEX(tokens[],MATCH(AllCardsViz[[#This Row],[uuid]],tokens[uuid],0),46)),"")</f>
        <v/>
      </c>
    </row>
    <row r="63" spans="1:9" x14ac:dyDescent="0.35">
      <c r="A63" t="str" cm="1">
        <f t="array" ref="A63">IFERROR(INDEX(_xlfn.VSTACK(cards[uuid],tokens[uuid]), ROW()-ROW($A$1)),"")</f>
        <v>fcfa94d1-04fc-5ef5-bee3-a1296627c4c1</v>
      </c>
      <c r="B63" t="str">
        <f>IFERROR(_xlfn.IFNA(INDEX(cards[],MATCH(AllCardsViz[[#This Row],[uuid]],cards[uuid],0),50),INDEX(tokens[],MATCH(AllCardsViz[[#This Row],[uuid]],tokens[uuid],0),28)),"")</f>
        <v>Unblinking Observer // Unblinking Observer</v>
      </c>
      <c r="C63" t="str">
        <f>IFERROR(_xlfn.IFNA(INDEX(cards[],MATCH(AllCardsViz[[#This Row],[uuid]],cards[uuid],0),63),""),"")</f>
        <v/>
      </c>
      <c r="D63" t="str">
        <f>IFERROR(_xlfn.IFNA(INDEX(cards[],MATCH(AllCardsViz[[#This Row],[uuid]],cards[uuid],0),67),INDEX(tokens[],MATCH(AllCardsViz[[#This Row],[uuid]],tokens[uuid],0),40)),"")</f>
        <v>AMID</v>
      </c>
      <c r="E63" t="str">
        <f>IFERROR(_xlfn.IFNA(INDEX(cards[],MATCH(AllCardsViz[[#This Row],[uuid]],cards[uuid],0),68),INDEX(tokens[],MATCH(AllCardsViz[[#This Row],[uuid]],tokens[uuid],0),41)),"")</f>
        <v>a</v>
      </c>
      <c r="F63" t="str">
        <f>IFERROR(_xlfn.IFNA(INDEX(cards[],MATCH(AllCardsViz[[#This Row],[uuid]],cards[uuid],0),42),INDEX(tokens[],MATCH(AllCardsViz[[#This Row],[uuid]],tokens[uuid],0),24)),"")</f>
        <v/>
      </c>
      <c r="G63" t="str">
        <f>IFERROR(_xlfn.IFNA(INDEX(cards[],MATCH(AllCardsViz[[#This Row],[uuid]],cards[uuid],0),21),INDEX(tokens[],MATCH(AllCardsViz[[#This Row],[uuid]],tokens[uuid],0),13)),"")</f>
        <v>nonfoil, foil, signed</v>
      </c>
      <c r="H63" t="str">
        <f>IFERROR(INDEX(sets[],MATCH(AllCardsViz[[#This Row],[Setcode]],sets[code],0),2),INDEX(sets[],MATCH(AllCardsViz[[#This Row],[Setcode]],sets[tokenSetCode],0),2))</f>
        <v>Midnight Hunt Art Series</v>
      </c>
      <c r="I63" t="str">
        <f>IFERROR(_xlfn.IFNA(INDEX(cards[],MATCH(AllCardsViz[[#This Row],[uuid]],cards[uuid],0),74),INDEX(tokens[],MATCH(AllCardsViz[[#This Row],[uuid]],tokens[uuid],0),46)),"")</f>
        <v/>
      </c>
    </row>
    <row r="64" spans="1:9" x14ac:dyDescent="0.35">
      <c r="A64" t="str" cm="1">
        <f t="array" ref="A64">IFERROR(INDEX(_xlfn.VSTACK(cards[uuid],tokens[uuid]), ROW()-ROW($A$1)),"")</f>
        <v>07299c29-bc9b-5a48-b885-deb5ab41f49c</v>
      </c>
      <c r="B64" t="str">
        <f>IFERROR(_xlfn.IFNA(INDEX(cards[],MATCH(AllCardsViz[[#This Row],[uuid]],cards[uuid],0),50),INDEX(tokens[],MATCH(AllCardsViz[[#This Row],[uuid]],tokens[uuid],0),28)),"")</f>
        <v>Cat</v>
      </c>
      <c r="C64" t="str">
        <f>IFERROR(_xlfn.IFNA(INDEX(cards[],MATCH(AllCardsViz[[#This Row],[uuid]],cards[uuid],0),63),""),"")</f>
        <v/>
      </c>
      <c r="D64" t="str">
        <f>IFERROR(_xlfn.IFNA(INDEX(cards[],MATCH(AllCardsViz[[#This Row],[uuid]],cards[uuid],0),67),INDEX(tokens[],MATCH(AllCardsViz[[#This Row],[uuid]],tokens[uuid],0),40)),"")</f>
        <v>PLST</v>
      </c>
      <c r="E64" t="str">
        <f>IFERROR(_xlfn.IFNA(INDEX(cards[],MATCH(AllCardsViz[[#This Row],[uuid]],cards[uuid],0),68),INDEX(tokens[],MATCH(AllCardsViz[[#This Row],[uuid]],tokens[uuid],0),41)),"")</f>
        <v/>
      </c>
      <c r="F64" t="str">
        <f>IFERROR(_xlfn.IFNA(INDEX(cards[],MATCH(AllCardsViz[[#This Row],[uuid]],cards[uuid],0),42),INDEX(tokens[],MATCH(AllCardsViz[[#This Row],[uuid]],tokens[uuid],0),24)),"")</f>
        <v/>
      </c>
      <c r="G64" t="str">
        <f>IFERROR(_xlfn.IFNA(INDEX(cards[],MATCH(AllCardsViz[[#This Row],[uuid]],cards[uuid],0),21),INDEX(tokens[],MATCH(AllCardsViz[[#This Row],[uuid]],tokens[uuid],0),13)),"")</f>
        <v>nonfoil</v>
      </c>
      <c r="H64" t="str">
        <f>IFERROR(INDEX(sets[],MATCH(AllCardsViz[[#This Row],[Setcode]],sets[code],0),2),INDEX(sets[],MATCH(AllCardsViz[[#This Row],[Setcode]],sets[tokenSetCode],0),2))</f>
        <v>The List</v>
      </c>
      <c r="I64" t="str">
        <f>IFERROR(_xlfn.IFNA(INDEX(cards[],MATCH(AllCardsViz[[#This Row],[uuid]],cards[uuid],0),74),INDEX(tokens[],MATCH(AllCardsViz[[#This Row],[uuid]],tokens[uuid],0),46)),"")</f>
        <v/>
      </c>
    </row>
    <row r="65" spans="1:9" x14ac:dyDescent="0.35">
      <c r="A65" t="str" cm="1">
        <f t="array" ref="A65">IFERROR(INDEX(_xlfn.VSTACK(cards[uuid],tokens[uuid]), ROW()-ROW($A$1)),"")</f>
        <v>db939e9b-b7c1-5084-9880-1856f29766c5</v>
      </c>
      <c r="B65" t="str">
        <f>IFERROR(_xlfn.IFNA(INDEX(cards[],MATCH(AllCardsViz[[#This Row],[uuid]],cards[uuid],0),50),INDEX(tokens[],MATCH(AllCardsViz[[#This Row],[uuid]],tokens[uuid],0),28)),"")</f>
        <v>Devil</v>
      </c>
      <c r="C65" t="str">
        <f>IFERROR(_xlfn.IFNA(INDEX(cards[],MATCH(AllCardsViz[[#This Row],[uuid]],cards[uuid],0),63),""),"")</f>
        <v/>
      </c>
      <c r="D65" t="str">
        <f>IFERROR(_xlfn.IFNA(INDEX(cards[],MATCH(AllCardsViz[[#This Row],[uuid]],cards[uuid],0),67),INDEX(tokens[],MATCH(AllCardsViz[[#This Row],[uuid]],tokens[uuid],0),40)),"")</f>
        <v>TDSC</v>
      </c>
      <c r="E65" t="str">
        <f>IFERROR(_xlfn.IFNA(INDEX(cards[],MATCH(AllCardsViz[[#This Row],[uuid]],cards[uuid],0),68),INDEX(tokens[],MATCH(AllCardsViz[[#This Row],[uuid]],tokens[uuid],0),41)),"")</f>
        <v/>
      </c>
      <c r="F65" t="str">
        <f>IFERROR(_xlfn.IFNA(INDEX(cards[],MATCH(AllCardsViz[[#This Row],[uuid]],cards[uuid],0),42),INDEX(tokens[],MATCH(AllCardsViz[[#This Row],[uuid]],tokens[uuid],0),24)),"")</f>
        <v/>
      </c>
      <c r="G65" t="str">
        <f>IFERROR(_xlfn.IFNA(INDEX(cards[],MATCH(AllCardsViz[[#This Row],[uuid]],cards[uuid],0),21),INDEX(tokens[],MATCH(AllCardsViz[[#This Row],[uuid]],tokens[uuid],0),13)),"")</f>
        <v>nonfoil, foil</v>
      </c>
      <c r="H65" t="str">
        <f>IFERROR(INDEX(sets[],MATCH(AllCardsViz[[#This Row],[Setcode]],sets[code],0),2),INDEX(sets[],MATCH(AllCardsViz[[#This Row],[Setcode]],sets[tokenSetCode],0),2))</f>
        <v>Duskmourn: House of Horror Commander</v>
      </c>
      <c r="I65" t="str">
        <f>IFERROR(_xlfn.IFNA(INDEX(cards[],MATCH(AllCardsViz[[#This Row],[uuid]],cards[uuid],0),74),INDEX(tokens[],MATCH(AllCardsViz[[#This Row],[uuid]],tokens[uuid],0),46)),"")</f>
        <v>When this creature dies, it deals 1 damage to any target.</v>
      </c>
    </row>
    <row r="66" spans="1:9" x14ac:dyDescent="0.35">
      <c r="A66" t="str" cm="1">
        <f t="array" ref="A66">IFERROR(INDEX(_xlfn.VSTACK(cards[uuid],tokens[uuid]), ROW()-ROW($A$1)),"")</f>
        <v>6f222117-73e0-5b15-8f8d-529bfa2cdbc1</v>
      </c>
      <c r="B66" t="str">
        <f>IFERROR(_xlfn.IFNA(INDEX(cards[],MATCH(AllCardsViz[[#This Row],[uuid]],cards[uuid],0),50),INDEX(tokens[],MATCH(AllCardsViz[[#This Row],[uuid]],tokens[uuid],0),28)),"")</f>
        <v>Dog</v>
      </c>
      <c r="C66" t="str">
        <f>IFERROR(_xlfn.IFNA(INDEX(cards[],MATCH(AllCardsViz[[#This Row],[uuid]],cards[uuid],0),63),""),"")</f>
        <v/>
      </c>
      <c r="D66" t="str">
        <f>IFERROR(_xlfn.IFNA(INDEX(cards[],MATCH(AllCardsViz[[#This Row],[uuid]],cards[uuid],0),67),INDEX(tokens[],MATCH(AllCardsViz[[#This Row],[uuid]],tokens[uuid],0),40)),"")</f>
        <v>TMKM</v>
      </c>
      <c r="E66" t="str">
        <f>IFERROR(_xlfn.IFNA(INDEX(cards[],MATCH(AllCardsViz[[#This Row],[uuid]],cards[uuid],0),68),INDEX(tokens[],MATCH(AllCardsViz[[#This Row],[uuid]],tokens[uuid],0),41)),"")</f>
        <v/>
      </c>
      <c r="F66" t="str">
        <f>IFERROR(_xlfn.IFNA(INDEX(cards[],MATCH(AllCardsViz[[#This Row],[uuid]],cards[uuid],0),42),INDEX(tokens[],MATCH(AllCardsViz[[#This Row],[uuid]],tokens[uuid],0),24)),"")</f>
        <v/>
      </c>
      <c r="G66" t="str">
        <f>IFERROR(_xlfn.IFNA(INDEX(cards[],MATCH(AllCardsViz[[#This Row],[uuid]],cards[uuid],0),21),INDEX(tokens[],MATCH(AllCardsViz[[#This Row],[uuid]],tokens[uuid],0),13)),"")</f>
        <v>nonfoil, foil</v>
      </c>
      <c r="H66" t="str">
        <f>IFERROR(INDEX(sets[],MATCH(AllCardsViz[[#This Row],[Setcode]],sets[code],0),2),INDEX(sets[],MATCH(AllCardsViz[[#This Row],[Setcode]],sets[tokenSetCode],0),2))</f>
        <v>Murders at Karlov Manor</v>
      </c>
      <c r="I66" t="str">
        <f>IFERROR(_xlfn.IFNA(INDEX(cards[],MATCH(AllCardsViz[[#This Row],[uuid]],cards[uuid],0),74),INDEX(tokens[],MATCH(AllCardsViz[[#This Row],[uuid]],tokens[uuid],0),46)),"")</f>
        <v/>
      </c>
    </row>
    <row r="67" spans="1:9" x14ac:dyDescent="0.35">
      <c r="A67" t="str" cm="1">
        <f t="array" ref="A67">IFERROR(INDEX(_xlfn.VSTACK(cards[uuid],tokens[uuid]), ROW()-ROW($A$1)),"")</f>
        <v>f0bb7e06-9698-5952-b890-442096073675</v>
      </c>
      <c r="B67" t="str">
        <f>IFERROR(_xlfn.IFNA(INDEX(cards[],MATCH(AllCardsViz[[#This Row],[uuid]],cards[uuid],0),50),INDEX(tokens[],MATCH(AllCardsViz[[#This Row],[uuid]],tokens[uuid],0),28)),"")</f>
        <v>Goblin</v>
      </c>
      <c r="C67" t="str">
        <f>IFERROR(_xlfn.IFNA(INDEX(cards[],MATCH(AllCardsViz[[#This Row],[uuid]],cards[uuid],0),63),""),"")</f>
        <v/>
      </c>
      <c r="D67" t="str">
        <f>IFERROR(_xlfn.IFNA(INDEX(cards[],MATCH(AllCardsViz[[#This Row],[uuid]],cards[uuid],0),67),INDEX(tokens[],MATCH(AllCardsViz[[#This Row],[uuid]],tokens[uuid],0),40)),"")</f>
        <v>TM3C</v>
      </c>
      <c r="E67" t="str">
        <f>IFERROR(_xlfn.IFNA(INDEX(cards[],MATCH(AllCardsViz[[#This Row],[uuid]],cards[uuid],0),68),INDEX(tokens[],MATCH(AllCardsViz[[#This Row],[uuid]],tokens[uuid],0),41)),"")</f>
        <v/>
      </c>
      <c r="F67" t="str">
        <f>IFERROR(_xlfn.IFNA(INDEX(cards[],MATCH(AllCardsViz[[#This Row],[uuid]],cards[uuid],0),42),INDEX(tokens[],MATCH(AllCardsViz[[#This Row],[uuid]],tokens[uuid],0),24)),"")</f>
        <v/>
      </c>
      <c r="G67" t="str">
        <f>IFERROR(_xlfn.IFNA(INDEX(cards[],MATCH(AllCardsViz[[#This Row],[uuid]],cards[uuid],0),21),INDEX(tokens[],MATCH(AllCardsViz[[#This Row],[uuid]],tokens[uuid],0),13)),"")</f>
        <v>nonfoil, foil</v>
      </c>
      <c r="H67" t="str">
        <f>IFERROR(INDEX(sets[],MATCH(AllCardsViz[[#This Row],[Setcode]],sets[code],0),2),INDEX(sets[],MATCH(AllCardsViz[[#This Row],[Setcode]],sets[tokenSetCode],0),2))</f>
        <v>Modern Horizons 3 Commander</v>
      </c>
      <c r="I67" t="str">
        <f>IFERROR(_xlfn.IFNA(INDEX(cards[],MATCH(AllCardsViz[[#This Row],[uuid]],cards[uuid],0),74),INDEX(tokens[],MATCH(AllCardsViz[[#This Row],[uuid]],tokens[uuid],0),46)),"")</f>
        <v/>
      </c>
    </row>
    <row r="68" spans="1:9" x14ac:dyDescent="0.35">
      <c r="A68" t="str" cm="1">
        <f t="array" ref="A68">IFERROR(INDEX(_xlfn.VSTACK(cards[uuid],tokens[uuid]), ROW()-ROW($A$1)),"")</f>
        <v>49481296-5e87-500b-9d95-8011f432466a</v>
      </c>
      <c r="B68" t="str">
        <f>IFERROR(_xlfn.IFNA(INDEX(cards[],MATCH(AllCardsViz[[#This Row],[uuid]],cards[uuid],0),50),INDEX(tokens[],MATCH(AllCardsViz[[#This Row],[uuid]],tokens[uuid],0),28)),"")</f>
        <v>Otter</v>
      </c>
      <c r="C68" t="str">
        <f>IFERROR(_xlfn.IFNA(INDEX(cards[],MATCH(AllCardsViz[[#This Row],[uuid]],cards[uuid],0),63),""),"")</f>
        <v/>
      </c>
      <c r="D68" t="str">
        <f>IFERROR(_xlfn.IFNA(INDEX(cards[],MATCH(AllCardsViz[[#This Row],[uuid]],cards[uuid],0),67),INDEX(tokens[],MATCH(AllCardsViz[[#This Row],[uuid]],tokens[uuid],0),40)),"")</f>
        <v>TBLB</v>
      </c>
      <c r="E68" t="str">
        <f>IFERROR(_xlfn.IFNA(INDEX(cards[],MATCH(AllCardsViz[[#This Row],[uuid]],cards[uuid],0),68),INDEX(tokens[],MATCH(AllCardsViz[[#This Row],[uuid]],tokens[uuid],0),41)),"")</f>
        <v/>
      </c>
      <c r="F68" t="str">
        <f>IFERROR(_xlfn.IFNA(INDEX(cards[],MATCH(AllCardsViz[[#This Row],[uuid]],cards[uuid],0),42),INDEX(tokens[],MATCH(AllCardsViz[[#This Row],[uuid]],tokens[uuid],0),24)),"")</f>
        <v>Prowess</v>
      </c>
      <c r="G68" t="str">
        <f>IFERROR(_xlfn.IFNA(INDEX(cards[],MATCH(AllCardsViz[[#This Row],[uuid]],cards[uuid],0),21),INDEX(tokens[],MATCH(AllCardsViz[[#This Row],[uuid]],tokens[uuid],0),13)),"")</f>
        <v>nonfoil, foil</v>
      </c>
      <c r="H68" t="str">
        <f>IFERROR(INDEX(sets[],MATCH(AllCardsViz[[#This Row],[Setcode]],sets[code],0),2),INDEX(sets[],MATCH(AllCardsViz[[#This Row],[Setcode]],sets[tokenSetCode],0),2))</f>
        <v>Bloomburrow</v>
      </c>
      <c r="I68" t="str">
        <f>IFERROR(_xlfn.IFNA(INDEX(cards[],MATCH(AllCardsViz[[#This Row],[uuid]],cards[uuid],0),74),INDEX(tokens[],MATCH(AllCardsViz[[#This Row],[uuid]],tokens[uuid],0),46)),"")</f>
        <v>Prowess (Whenever you cast a noncreature spell, this creature gets +1/+1 until end of turn.)</v>
      </c>
    </row>
    <row r="69" spans="1:9" x14ac:dyDescent="0.35">
      <c r="A69" t="str" cm="1">
        <f t="array" ref="A69">IFERROR(INDEX(_xlfn.VSTACK(cards[uuid],tokens[uuid]), ROW()-ROW($A$1)),"")</f>
        <v>011a9246-7f7c-50c7-ab99-3fc13469c13b</v>
      </c>
      <c r="B69" t="str">
        <f>IFERROR(_xlfn.IFNA(INDEX(cards[],MATCH(AllCardsViz[[#This Row],[uuid]],cards[uuid],0),50),INDEX(tokens[],MATCH(AllCardsViz[[#This Row],[uuid]],tokens[uuid],0),28)),"")</f>
        <v>Zombie</v>
      </c>
      <c r="C69" t="str">
        <f>IFERROR(_xlfn.IFNA(INDEX(cards[],MATCH(AllCardsViz[[#This Row],[uuid]],cards[uuid],0),63),""),"")</f>
        <v/>
      </c>
      <c r="D69" t="str">
        <f>IFERROR(_xlfn.IFNA(INDEX(cards[],MATCH(AllCardsViz[[#This Row],[uuid]],cards[uuid],0),67),INDEX(tokens[],MATCH(AllCardsViz[[#This Row],[uuid]],tokens[uuid],0),40)),"")</f>
        <v>TM11</v>
      </c>
      <c r="E69" t="str">
        <f>IFERROR(_xlfn.IFNA(INDEX(cards[],MATCH(AllCardsViz[[#This Row],[uuid]],cards[uuid],0),68),INDEX(tokens[],MATCH(AllCardsViz[[#This Row],[uuid]],tokens[uuid],0),41)),"")</f>
        <v/>
      </c>
      <c r="F69" t="str">
        <f>IFERROR(_xlfn.IFNA(INDEX(cards[],MATCH(AllCardsViz[[#This Row],[uuid]],cards[uuid],0),42),INDEX(tokens[],MATCH(AllCardsViz[[#This Row],[uuid]],tokens[uuid],0),24)),"")</f>
        <v/>
      </c>
      <c r="G69" t="str">
        <f>IFERROR(_xlfn.IFNA(INDEX(cards[],MATCH(AllCardsViz[[#This Row],[uuid]],cards[uuid],0),21),INDEX(tokens[],MATCH(AllCardsViz[[#This Row],[uuid]],tokens[uuid],0),13)),"")</f>
        <v>nonfoil</v>
      </c>
      <c r="H69" t="str">
        <f>IFERROR(INDEX(sets[],MATCH(AllCardsViz[[#This Row],[Setcode]],sets[code],0),2),INDEX(sets[],MATCH(AllCardsViz[[#This Row],[Setcode]],sets[tokenSetCode],0),2))</f>
        <v>Magic 2011</v>
      </c>
      <c r="I69" t="str">
        <f>IFERROR(_xlfn.IFNA(INDEX(cards[],MATCH(AllCardsViz[[#This Row],[uuid]],cards[uuid],0),74),INDEX(tokens[],MATCH(AllCardsViz[[#This Row],[uuid]],tokens[uuid],0),46)),"")</f>
        <v/>
      </c>
    </row>
    <row r="70" spans="1:9" x14ac:dyDescent="0.35">
      <c r="A70" t="str" cm="1">
        <f t="array" ref="A70">IFERROR(INDEX(_xlfn.VSTACK(cards[uuid],tokens[uuid]), ROW()-ROW($A$1)),"")</f>
        <v>e4dcfe4f-8441-5eec-9f74-a7b3672e90e0</v>
      </c>
      <c r="B70" t="str">
        <f>IFERROR(_xlfn.IFNA(INDEX(cards[],MATCH(AllCardsViz[[#This Row],[uuid]],cards[uuid],0),50),INDEX(tokens[],MATCH(AllCardsViz[[#This Row],[uuid]],tokens[uuid],0),28)),"")</f>
        <v>Karox Bladewing</v>
      </c>
      <c r="C70" t="str">
        <f>IFERROR(_xlfn.IFNA(INDEX(cards[],MATCH(AllCardsViz[[#This Row],[uuid]],cards[uuid],0),63),""),"")</f>
        <v/>
      </c>
      <c r="D70" t="str">
        <f>IFERROR(_xlfn.IFNA(INDEX(cards[],MATCH(AllCardsViz[[#This Row],[uuid]],cards[uuid],0),67),INDEX(tokens[],MATCH(AllCardsViz[[#This Row],[uuid]],tokens[uuid],0),40)),"")</f>
        <v>TDOM</v>
      </c>
      <c r="E70" t="str">
        <f>IFERROR(_xlfn.IFNA(INDEX(cards[],MATCH(AllCardsViz[[#This Row],[uuid]],cards[uuid],0),68),INDEX(tokens[],MATCH(AllCardsViz[[#This Row],[uuid]],tokens[uuid],0),41)),"")</f>
        <v/>
      </c>
      <c r="F70" t="str">
        <f>IFERROR(_xlfn.IFNA(INDEX(cards[],MATCH(AllCardsViz[[#This Row],[uuid]],cards[uuid],0),42),INDEX(tokens[],MATCH(AllCardsViz[[#This Row],[uuid]],tokens[uuid],0),24)),"")</f>
        <v>Flying</v>
      </c>
      <c r="G70" t="str">
        <f>IFERROR(_xlfn.IFNA(INDEX(cards[],MATCH(AllCardsViz[[#This Row],[uuid]],cards[uuid],0),21),INDEX(tokens[],MATCH(AllCardsViz[[#This Row],[uuid]],tokens[uuid],0),13)),"")</f>
        <v>nonfoil</v>
      </c>
      <c r="H70" t="str">
        <f>IFERROR(INDEX(sets[],MATCH(AllCardsViz[[#This Row],[Setcode]],sets[code],0),2),INDEX(sets[],MATCH(AllCardsViz[[#This Row],[Setcode]],sets[tokenSetCode],0),2))</f>
        <v>Dominaria</v>
      </c>
      <c r="I70" t="str">
        <f>IFERROR(_xlfn.IFNA(INDEX(cards[],MATCH(AllCardsViz[[#This Row],[uuid]],cards[uuid],0),74),INDEX(tokens[],MATCH(AllCardsViz[[#This Row],[uuid]],tokens[uuid],0),46)),"")</f>
        <v>Flying</v>
      </c>
    </row>
    <row r="71" spans="1:9" x14ac:dyDescent="0.35">
      <c r="A71" t="str" cm="1">
        <f t="array" ref="A71">IFERROR(INDEX(_xlfn.VSTACK(cards[uuid],tokens[uuid]), ROW()-ROW($A$1)),"")</f>
        <v/>
      </c>
      <c r="B71" t="str">
        <f>IFERROR(_xlfn.IFNA(INDEX(cards[],MATCH(AllCardsViz[[#This Row],[uuid]],cards[uuid],0),50),INDEX(tokens[],MATCH(AllCardsViz[[#This Row],[uuid]],tokens[uuid],0),28)),"")</f>
        <v/>
      </c>
      <c r="C71" t="str">
        <f>IFERROR(_xlfn.IFNA(INDEX(cards[],MATCH(AllCardsViz[[#This Row],[uuid]],cards[uuid],0),63),""),"")</f>
        <v/>
      </c>
      <c r="D71" t="str">
        <f>IFERROR(_xlfn.IFNA(INDEX(cards[],MATCH(AllCardsViz[[#This Row],[uuid]],cards[uuid],0),67),INDEX(tokens[],MATCH(AllCardsViz[[#This Row],[uuid]],tokens[uuid],0),40)),"")</f>
        <v/>
      </c>
      <c r="E71" t="str">
        <f>IFERROR(_xlfn.IFNA(INDEX(cards[],MATCH(AllCardsViz[[#This Row],[uuid]],cards[uuid],0),68),INDEX(tokens[],MATCH(AllCardsViz[[#This Row],[uuid]],tokens[uuid],0),41)),"")</f>
        <v/>
      </c>
      <c r="F71" t="str">
        <f>IFERROR(_xlfn.IFNA(INDEX(cards[],MATCH(AllCardsViz[[#This Row],[uuid]],cards[uuid],0),42),INDEX(tokens[],MATCH(AllCardsViz[[#This Row],[uuid]],tokens[uuid],0),24)),"")</f>
        <v/>
      </c>
      <c r="G71" t="str">
        <f>IFERROR(_xlfn.IFNA(INDEX(cards[],MATCH(AllCardsViz[[#This Row],[uuid]],cards[uuid],0),21),INDEX(tokens[],MATCH(AllCardsViz[[#This Row],[uuid]],tokens[uuid],0),13)),"")</f>
        <v/>
      </c>
      <c r="H71" t="str">
        <f>IFERROR(INDEX(sets[],MATCH(AllCardsViz[[#This Row],[Setcode]],sets[code],0),2),INDEX(sets[],MATCH(AllCardsViz[[#This Row],[Setcode]],sets[tokenSetCode],0),2))</f>
        <v>Revised Edition</v>
      </c>
      <c r="I71" t="str">
        <f>IFERROR(_xlfn.IFNA(INDEX(cards[],MATCH(AllCardsViz[[#This Row],[uuid]],cards[uuid],0),74),INDEX(tokens[],MATCH(AllCardsViz[[#This Row],[uuid]],tokens[uuid],0),46)),"")</f>
        <v/>
      </c>
    </row>
    <row r="72" spans="1:9" x14ac:dyDescent="0.35">
      <c r="A72" t="str" cm="1">
        <f t="array" ref="A72">IFERROR(INDEX(_xlfn.VSTACK(cards[uuid],tokens[uuid]), ROW()-ROW($A$1)),"")</f>
        <v/>
      </c>
      <c r="B72" t="str">
        <f>IFERROR(_xlfn.IFNA(INDEX(cards[],MATCH(AllCardsViz[[#This Row],[uuid]],cards[uuid],0),50),INDEX(tokens[],MATCH(AllCardsViz[[#This Row],[uuid]],tokens[uuid],0),28)),"")</f>
        <v/>
      </c>
      <c r="C72" t="str">
        <f>IFERROR(_xlfn.IFNA(INDEX(cards[],MATCH(AllCardsViz[[#This Row],[uuid]],cards[uuid],0),63),""),"")</f>
        <v/>
      </c>
      <c r="D72" t="str">
        <f>IFERROR(_xlfn.IFNA(INDEX(cards[],MATCH(AllCardsViz[[#This Row],[uuid]],cards[uuid],0),67),INDEX(tokens[],MATCH(AllCardsViz[[#This Row],[uuid]],tokens[uuid],0),40)),"")</f>
        <v/>
      </c>
      <c r="E72" t="str">
        <f>IFERROR(_xlfn.IFNA(INDEX(cards[],MATCH(AllCardsViz[[#This Row],[uuid]],cards[uuid],0),68),INDEX(tokens[],MATCH(AllCardsViz[[#This Row],[uuid]],tokens[uuid],0),41)),"")</f>
        <v/>
      </c>
      <c r="F72" t="str">
        <f>IFERROR(_xlfn.IFNA(INDEX(cards[],MATCH(AllCardsViz[[#This Row],[uuid]],cards[uuid],0),42),INDEX(tokens[],MATCH(AllCardsViz[[#This Row],[uuid]],tokens[uuid],0),24)),"")</f>
        <v/>
      </c>
      <c r="G72" t="str">
        <f>IFERROR(_xlfn.IFNA(INDEX(cards[],MATCH(AllCardsViz[[#This Row],[uuid]],cards[uuid],0),21),INDEX(tokens[],MATCH(AllCardsViz[[#This Row],[uuid]],tokens[uuid],0),13)),"")</f>
        <v/>
      </c>
      <c r="H72" t="str">
        <f>IFERROR(INDEX(sets[],MATCH(AllCardsViz[[#This Row],[Setcode]],sets[code],0),2),INDEX(sets[],MATCH(AllCardsViz[[#This Row],[Setcode]],sets[tokenSetCode],0),2))</f>
        <v>Revised Edition</v>
      </c>
      <c r="I72" t="str">
        <f>IFERROR(_xlfn.IFNA(INDEX(cards[],MATCH(AllCardsViz[[#This Row],[uuid]],cards[uuid],0),74),INDEX(tokens[],MATCH(AllCardsViz[[#This Row],[uuid]],tokens[uuid],0),46)),"")</f>
        <v/>
      </c>
    </row>
    <row r="73" spans="1:9" x14ac:dyDescent="0.35">
      <c r="A73" t="str" cm="1">
        <f t="array" ref="A73">IFERROR(INDEX(_xlfn.VSTACK(cards[uuid],tokens[uuid]), ROW()-ROW($A$1)),"")</f>
        <v/>
      </c>
      <c r="B73" t="str">
        <f>IFERROR(_xlfn.IFNA(INDEX(cards[],MATCH(AllCardsViz[[#This Row],[uuid]],cards[uuid],0),50),INDEX(tokens[],MATCH(AllCardsViz[[#This Row],[uuid]],tokens[uuid],0),28)),"")</f>
        <v/>
      </c>
      <c r="C73" t="str">
        <f>IFERROR(_xlfn.IFNA(INDEX(cards[],MATCH(AllCardsViz[[#This Row],[uuid]],cards[uuid],0),63),""),"")</f>
        <v/>
      </c>
      <c r="D73" t="str">
        <f>IFERROR(_xlfn.IFNA(INDEX(cards[],MATCH(AllCardsViz[[#This Row],[uuid]],cards[uuid],0),67),INDEX(tokens[],MATCH(AllCardsViz[[#This Row],[uuid]],tokens[uuid],0),40)),"")</f>
        <v/>
      </c>
      <c r="E73" t="str">
        <f>IFERROR(_xlfn.IFNA(INDEX(cards[],MATCH(AllCardsViz[[#This Row],[uuid]],cards[uuid],0),68),INDEX(tokens[],MATCH(AllCardsViz[[#This Row],[uuid]],tokens[uuid],0),41)),"")</f>
        <v/>
      </c>
      <c r="F73" t="str">
        <f>IFERROR(_xlfn.IFNA(INDEX(cards[],MATCH(AllCardsViz[[#This Row],[uuid]],cards[uuid],0),42),INDEX(tokens[],MATCH(AllCardsViz[[#This Row],[uuid]],tokens[uuid],0),24)),"")</f>
        <v/>
      </c>
      <c r="G73" t="str">
        <f>IFERROR(_xlfn.IFNA(INDEX(cards[],MATCH(AllCardsViz[[#This Row],[uuid]],cards[uuid],0),21),INDEX(tokens[],MATCH(AllCardsViz[[#This Row],[uuid]],tokens[uuid],0),13)),"")</f>
        <v/>
      </c>
      <c r="H73" t="str">
        <f>IFERROR(INDEX(sets[],MATCH(AllCardsViz[[#This Row],[Setcode]],sets[code],0),2),INDEX(sets[],MATCH(AllCardsViz[[#This Row],[Setcode]],sets[tokenSetCode],0),2))</f>
        <v>Revised Edition</v>
      </c>
      <c r="I73" t="str">
        <f>IFERROR(_xlfn.IFNA(INDEX(cards[],MATCH(AllCardsViz[[#This Row],[uuid]],cards[uuid],0),74),INDEX(tokens[],MATCH(AllCardsViz[[#This Row],[uuid]],tokens[uuid],0),46)),"")</f>
        <v/>
      </c>
    </row>
    <row r="74" spans="1:9" x14ac:dyDescent="0.35">
      <c r="A74" t="str" cm="1">
        <f t="array" ref="A74">IFERROR(INDEX(_xlfn.VSTACK(cards[uuid],tokens[uuid]), ROW()-ROW($A$1)),"")</f>
        <v/>
      </c>
      <c r="B74" t="str">
        <f>IFERROR(_xlfn.IFNA(INDEX(cards[],MATCH(AllCardsViz[[#This Row],[uuid]],cards[uuid],0),50),INDEX(tokens[],MATCH(AllCardsViz[[#This Row],[uuid]],tokens[uuid],0),28)),"")</f>
        <v/>
      </c>
      <c r="C74" t="str">
        <f>IFERROR(_xlfn.IFNA(INDEX(cards[],MATCH(AllCardsViz[[#This Row],[uuid]],cards[uuid],0),63),""),"")</f>
        <v/>
      </c>
      <c r="D74" t="str">
        <f>IFERROR(_xlfn.IFNA(INDEX(cards[],MATCH(AllCardsViz[[#This Row],[uuid]],cards[uuid],0),67),INDEX(tokens[],MATCH(AllCardsViz[[#This Row],[uuid]],tokens[uuid],0),40)),"")</f>
        <v/>
      </c>
      <c r="E74" t="str">
        <f>IFERROR(_xlfn.IFNA(INDEX(cards[],MATCH(AllCardsViz[[#This Row],[uuid]],cards[uuid],0),68),INDEX(tokens[],MATCH(AllCardsViz[[#This Row],[uuid]],tokens[uuid],0),41)),"")</f>
        <v/>
      </c>
      <c r="F74" t="str">
        <f>IFERROR(_xlfn.IFNA(INDEX(cards[],MATCH(AllCardsViz[[#This Row],[uuid]],cards[uuid],0),42),INDEX(tokens[],MATCH(AllCardsViz[[#This Row],[uuid]],tokens[uuid],0),24)),"")</f>
        <v/>
      </c>
      <c r="G74" t="str">
        <f>IFERROR(_xlfn.IFNA(INDEX(cards[],MATCH(AllCardsViz[[#This Row],[uuid]],cards[uuid],0),21),INDEX(tokens[],MATCH(AllCardsViz[[#This Row],[uuid]],tokens[uuid],0),13)),"")</f>
        <v/>
      </c>
      <c r="H74" t="str">
        <f>IFERROR(INDEX(sets[],MATCH(AllCardsViz[[#This Row],[Setcode]],sets[code],0),2),INDEX(sets[],MATCH(AllCardsViz[[#This Row],[Setcode]],sets[tokenSetCode],0),2))</f>
        <v>Revised Edition</v>
      </c>
      <c r="I74" t="str">
        <f>IFERROR(_xlfn.IFNA(INDEX(cards[],MATCH(AllCardsViz[[#This Row],[uuid]],cards[uuid],0),74),INDEX(tokens[],MATCH(AllCardsViz[[#This Row],[uuid]],tokens[uuid],0),46)),"")</f>
        <v/>
      </c>
    </row>
    <row r="75" spans="1:9" x14ac:dyDescent="0.35">
      <c r="A75" t="str" cm="1">
        <f t="array" ref="A75">IFERROR(INDEX(_xlfn.VSTACK(cards[uuid],tokens[uuid]), ROW()-ROW($A$1)),"")</f>
        <v/>
      </c>
      <c r="B75" t="str">
        <f>IFERROR(_xlfn.IFNA(INDEX(cards[],MATCH(AllCardsViz[[#This Row],[uuid]],cards[uuid],0),50),INDEX(tokens[],MATCH(AllCardsViz[[#This Row],[uuid]],tokens[uuid],0),28)),"")</f>
        <v/>
      </c>
      <c r="C75" t="str">
        <f>IFERROR(_xlfn.IFNA(INDEX(cards[],MATCH(AllCardsViz[[#This Row],[uuid]],cards[uuid],0),63),""),"")</f>
        <v/>
      </c>
      <c r="D75" t="str">
        <f>IFERROR(_xlfn.IFNA(INDEX(cards[],MATCH(AllCardsViz[[#This Row],[uuid]],cards[uuid],0),67),INDEX(tokens[],MATCH(AllCardsViz[[#This Row],[uuid]],tokens[uuid],0),40)),"")</f>
        <v/>
      </c>
      <c r="E75" t="str">
        <f>IFERROR(_xlfn.IFNA(INDEX(cards[],MATCH(AllCardsViz[[#This Row],[uuid]],cards[uuid],0),68),INDEX(tokens[],MATCH(AllCardsViz[[#This Row],[uuid]],tokens[uuid],0),41)),"")</f>
        <v/>
      </c>
      <c r="F75" t="str">
        <f>IFERROR(_xlfn.IFNA(INDEX(cards[],MATCH(AllCardsViz[[#This Row],[uuid]],cards[uuid],0),42),INDEX(tokens[],MATCH(AllCardsViz[[#This Row],[uuid]],tokens[uuid],0),24)),"")</f>
        <v/>
      </c>
      <c r="G75" t="str">
        <f>IFERROR(_xlfn.IFNA(INDEX(cards[],MATCH(AllCardsViz[[#This Row],[uuid]],cards[uuid],0),21),INDEX(tokens[],MATCH(AllCardsViz[[#This Row],[uuid]],tokens[uuid],0),13)),"")</f>
        <v/>
      </c>
      <c r="H75" t="str">
        <f>IFERROR(INDEX(sets[],MATCH(AllCardsViz[[#This Row],[Setcode]],sets[code],0),2),INDEX(sets[],MATCH(AllCardsViz[[#This Row],[Setcode]],sets[tokenSetCode],0),2))</f>
        <v>Revised Edition</v>
      </c>
      <c r="I75" t="str">
        <f>IFERROR(_xlfn.IFNA(INDEX(cards[],MATCH(AllCardsViz[[#This Row],[uuid]],cards[uuid],0),74),INDEX(tokens[],MATCH(AllCardsViz[[#This Row],[uuid]],tokens[uuid],0),46)),"")</f>
        <v/>
      </c>
    </row>
    <row r="76" spans="1:9" x14ac:dyDescent="0.35">
      <c r="A76" t="str" cm="1">
        <f t="array" ref="A76">IFERROR(INDEX(_xlfn.VSTACK(cards[uuid],tokens[uuid]), ROW()-ROW($A$1)),"")</f>
        <v/>
      </c>
      <c r="B76" t="str">
        <f>IFERROR(_xlfn.IFNA(INDEX(cards[],MATCH(AllCardsViz[[#This Row],[uuid]],cards[uuid],0),50),INDEX(tokens[],MATCH(AllCardsViz[[#This Row],[uuid]],tokens[uuid],0),28)),"")</f>
        <v/>
      </c>
      <c r="C76" t="str">
        <f>IFERROR(_xlfn.IFNA(INDEX(cards[],MATCH(AllCardsViz[[#This Row],[uuid]],cards[uuid],0),63),""),"")</f>
        <v/>
      </c>
      <c r="D76" t="str">
        <f>IFERROR(_xlfn.IFNA(INDEX(cards[],MATCH(AllCardsViz[[#This Row],[uuid]],cards[uuid],0),67),INDEX(tokens[],MATCH(AllCardsViz[[#This Row],[uuid]],tokens[uuid],0),40)),"")</f>
        <v/>
      </c>
      <c r="E76" t="str">
        <f>IFERROR(_xlfn.IFNA(INDEX(cards[],MATCH(AllCardsViz[[#This Row],[uuid]],cards[uuid],0),68),INDEX(tokens[],MATCH(AllCardsViz[[#This Row],[uuid]],tokens[uuid],0),41)),"")</f>
        <v/>
      </c>
      <c r="F76" t="str">
        <f>IFERROR(_xlfn.IFNA(INDEX(cards[],MATCH(AllCardsViz[[#This Row],[uuid]],cards[uuid],0),42),INDEX(tokens[],MATCH(AllCardsViz[[#This Row],[uuid]],tokens[uuid],0),24)),"")</f>
        <v/>
      </c>
      <c r="G76" t="str">
        <f>IFERROR(_xlfn.IFNA(INDEX(cards[],MATCH(AllCardsViz[[#This Row],[uuid]],cards[uuid],0),21),INDEX(tokens[],MATCH(AllCardsViz[[#This Row],[uuid]],tokens[uuid],0),13)),"")</f>
        <v/>
      </c>
      <c r="H76" t="str">
        <f>IFERROR(INDEX(sets[],MATCH(AllCardsViz[[#This Row],[Setcode]],sets[code],0),2),INDEX(sets[],MATCH(AllCardsViz[[#This Row],[Setcode]],sets[tokenSetCode],0),2))</f>
        <v>Revised Edition</v>
      </c>
      <c r="I76" t="str">
        <f>IFERROR(_xlfn.IFNA(INDEX(cards[],MATCH(AllCardsViz[[#This Row],[uuid]],cards[uuid],0),74),INDEX(tokens[],MATCH(AllCardsViz[[#This Row],[uuid]],tokens[uuid],0),46)),"")</f>
        <v/>
      </c>
    </row>
    <row r="77" spans="1:9" x14ac:dyDescent="0.35">
      <c r="A77" t="str" cm="1">
        <f t="array" ref="A77">IFERROR(INDEX(_xlfn.VSTACK(cards[uuid],tokens[uuid]), ROW()-ROW($A$1)),"")</f>
        <v/>
      </c>
      <c r="B77" t="str">
        <f>IFERROR(_xlfn.IFNA(INDEX(cards[],MATCH(AllCardsViz[[#This Row],[uuid]],cards[uuid],0),50),INDEX(tokens[],MATCH(AllCardsViz[[#This Row],[uuid]],tokens[uuid],0),28)),"")</f>
        <v/>
      </c>
      <c r="C77" t="str">
        <f>IFERROR(_xlfn.IFNA(INDEX(cards[],MATCH(AllCardsViz[[#This Row],[uuid]],cards[uuid],0),63),""),"")</f>
        <v/>
      </c>
      <c r="D77" t="str">
        <f>IFERROR(_xlfn.IFNA(INDEX(cards[],MATCH(AllCardsViz[[#This Row],[uuid]],cards[uuid],0),67),INDEX(tokens[],MATCH(AllCardsViz[[#This Row],[uuid]],tokens[uuid],0),40)),"")</f>
        <v/>
      </c>
      <c r="E77" t="str">
        <f>IFERROR(_xlfn.IFNA(INDEX(cards[],MATCH(AllCardsViz[[#This Row],[uuid]],cards[uuid],0),68),INDEX(tokens[],MATCH(AllCardsViz[[#This Row],[uuid]],tokens[uuid],0),41)),"")</f>
        <v/>
      </c>
      <c r="F77" t="str">
        <f>IFERROR(_xlfn.IFNA(INDEX(cards[],MATCH(AllCardsViz[[#This Row],[uuid]],cards[uuid],0),42),INDEX(tokens[],MATCH(AllCardsViz[[#This Row],[uuid]],tokens[uuid],0),24)),"")</f>
        <v/>
      </c>
      <c r="G77" t="str">
        <f>IFERROR(_xlfn.IFNA(INDEX(cards[],MATCH(AllCardsViz[[#This Row],[uuid]],cards[uuid],0),21),INDEX(tokens[],MATCH(AllCardsViz[[#This Row],[uuid]],tokens[uuid],0),13)),"")</f>
        <v/>
      </c>
      <c r="H77" t="str">
        <f>IFERROR(INDEX(sets[],MATCH(AllCardsViz[[#This Row],[Setcode]],sets[code],0),2),INDEX(sets[],MATCH(AllCardsViz[[#This Row],[Setcode]],sets[tokenSetCode],0),2))</f>
        <v>Revised Edition</v>
      </c>
      <c r="I77" t="str">
        <f>IFERROR(_xlfn.IFNA(INDEX(cards[],MATCH(AllCardsViz[[#This Row],[uuid]],cards[uuid],0),74),INDEX(tokens[],MATCH(AllCardsViz[[#This Row],[uuid]],tokens[uuid],0),46)),"")</f>
        <v/>
      </c>
    </row>
    <row r="78" spans="1:9" x14ac:dyDescent="0.35">
      <c r="A78" t="str" cm="1">
        <f t="array" ref="A78">IFERROR(INDEX(_xlfn.VSTACK(cards[uuid],tokens[uuid]), ROW()-ROW($A$1)),"")</f>
        <v/>
      </c>
      <c r="B78" t="str">
        <f>IFERROR(_xlfn.IFNA(INDEX(cards[],MATCH(AllCardsViz[[#This Row],[uuid]],cards[uuid],0),50),INDEX(tokens[],MATCH(AllCardsViz[[#This Row],[uuid]],tokens[uuid],0),28)),"")</f>
        <v/>
      </c>
      <c r="C78" t="str">
        <f>IFERROR(_xlfn.IFNA(INDEX(cards[],MATCH(AllCardsViz[[#This Row],[uuid]],cards[uuid],0),63),""),"")</f>
        <v/>
      </c>
      <c r="D78" t="str">
        <f>IFERROR(_xlfn.IFNA(INDEX(cards[],MATCH(AllCardsViz[[#This Row],[uuid]],cards[uuid],0),67),INDEX(tokens[],MATCH(AllCardsViz[[#This Row],[uuid]],tokens[uuid],0),40)),"")</f>
        <v/>
      </c>
      <c r="E78" t="str">
        <f>IFERROR(_xlfn.IFNA(INDEX(cards[],MATCH(AllCardsViz[[#This Row],[uuid]],cards[uuid],0),68),INDEX(tokens[],MATCH(AllCardsViz[[#This Row],[uuid]],tokens[uuid],0),41)),"")</f>
        <v/>
      </c>
      <c r="F78" t="str">
        <f>IFERROR(_xlfn.IFNA(INDEX(cards[],MATCH(AllCardsViz[[#This Row],[uuid]],cards[uuid],0),42),INDEX(tokens[],MATCH(AllCardsViz[[#This Row],[uuid]],tokens[uuid],0),24)),"")</f>
        <v/>
      </c>
      <c r="G78" t="str">
        <f>IFERROR(_xlfn.IFNA(INDEX(cards[],MATCH(AllCardsViz[[#This Row],[uuid]],cards[uuid],0),21),INDEX(tokens[],MATCH(AllCardsViz[[#This Row],[uuid]],tokens[uuid],0),13)),"")</f>
        <v/>
      </c>
      <c r="H78" t="str">
        <f>IFERROR(INDEX(sets[],MATCH(AllCardsViz[[#This Row],[Setcode]],sets[code],0),2),INDEX(sets[],MATCH(AllCardsViz[[#This Row],[Setcode]],sets[tokenSetCode],0),2))</f>
        <v>Revised Edition</v>
      </c>
      <c r="I78" t="str">
        <f>IFERROR(_xlfn.IFNA(INDEX(cards[],MATCH(AllCardsViz[[#This Row],[uuid]],cards[uuid],0),74),INDEX(tokens[],MATCH(AllCardsViz[[#This Row],[uuid]],tokens[uuid],0),46)),"")</f>
        <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E571-1504-4986-8E2F-A3A165C020B3}">
  <dimension ref="A1:G23"/>
  <sheetViews>
    <sheetView tabSelected="1" workbookViewId="0">
      <selection activeCell="F1" sqref="F1"/>
    </sheetView>
  </sheetViews>
  <sheetFormatPr defaultRowHeight="14.5" x14ac:dyDescent="0.35"/>
  <cols>
    <col min="1" max="1" width="38.1796875" bestFit="1" customWidth="1"/>
    <col min="2" max="2" width="24.54296875" bestFit="1" customWidth="1"/>
    <col min="3" max="3" width="13.54296875" bestFit="1" customWidth="1"/>
    <col min="4" max="4" width="15" bestFit="1" customWidth="1"/>
    <col min="5" max="5" width="11.1796875" bestFit="1" customWidth="1"/>
    <col min="6" max="6" width="10.54296875" bestFit="1" customWidth="1"/>
    <col min="7" max="7" width="7.81640625" bestFit="1" customWidth="1"/>
  </cols>
  <sheetData>
    <row r="1" spans="1:7" x14ac:dyDescent="0.35">
      <c r="A1" t="s">
        <v>324</v>
      </c>
      <c r="B1" t="s">
        <v>323</v>
      </c>
      <c r="C1" t="s">
        <v>310</v>
      </c>
      <c r="D1" t="s">
        <v>311</v>
      </c>
      <c r="E1" t="s">
        <v>312</v>
      </c>
      <c r="F1" t="s">
        <v>313</v>
      </c>
      <c r="G1" t="s">
        <v>314</v>
      </c>
    </row>
    <row r="2" spans="1:7" x14ac:dyDescent="0.35">
      <c r="A2" t="str">
        <f>myCollection[[#This Row],[uuid]]</f>
        <v>0add0930-720f-5bf5-bcf5-ee208eeb9040</v>
      </c>
      <c r="B2" t="str">
        <f>_xlfn.IFNA(INDEX(cards[],MATCH(MyCollectionViz[[#This Row],[uuid]],cards[uuid],0),50),INDEX(tokens[],MATCH(MyCollectionViz[[#This Row],[uuid]],tokens[uuid],0),28))</f>
        <v>Once Upon a Time</v>
      </c>
      <c r="C2">
        <f>INDEX(myCollection[],MATCH(MyCollectionViz[[#This Row],[uuid]],myCollection[uuid],0),3)</f>
        <v>1</v>
      </c>
      <c r="D2">
        <f>INDEX(myCollection[],MATCH(MyCollectionViz[[#This Row],[uuid]],myCollection[uuid],0),4)</f>
        <v>0</v>
      </c>
      <c r="E2" t="str">
        <f>INDEX(myCollection[],MATCH(MyCollectionViz[[#This Row],[uuid]],myCollection[uuid],0),5)</f>
        <v>Near Mint</v>
      </c>
      <c r="F2" t="str">
        <f>INDEX(myCollection[],MATCH(MyCollectionViz[[#This Row],[uuid]],myCollection[uuid],0),6)</f>
        <v>English</v>
      </c>
      <c r="G2" t="str">
        <f>INDEX(myCollection[],MATCH(MyCollectionViz[[#This Row],[uuid]],myCollection[uuid],0),7)</f>
        <v>foil</v>
      </c>
    </row>
    <row r="3" spans="1:7" x14ac:dyDescent="0.35">
      <c r="A3" t="str">
        <f>myCollection[[#This Row],[uuid]]</f>
        <v>154a09f3-65e3-5821-bc02-bd972b3be676</v>
      </c>
      <c r="B3" t="str">
        <f>_xlfn.IFNA(INDEX(cards[],MATCH(MyCollectionViz[[#This Row],[uuid]],cards[uuid],0),50),INDEX(tokens[],MATCH(MyCollectionViz[[#This Row],[uuid]],tokens[uuid],0),28))</f>
        <v>Snapping Sailback</v>
      </c>
      <c r="C3">
        <v>1</v>
      </c>
      <c r="D3">
        <f>INDEX(myCollection[],MATCH(MyCollectionViz[[#This Row],[uuid]],myCollection[uuid],0),4)</f>
        <v>0</v>
      </c>
      <c r="E3" t="str">
        <f>INDEX(myCollection[],MATCH(MyCollectionViz[[#This Row],[uuid]],myCollection[uuid],0),5)</f>
        <v>Near Mint</v>
      </c>
      <c r="F3" t="str">
        <f>INDEX(myCollection[],MATCH(MyCollectionViz[[#This Row],[uuid]],myCollection[uuid],0),6)</f>
        <v>English</v>
      </c>
      <c r="G3" t="str">
        <f>INDEX(myCollection[],MATCH(MyCollectionViz[[#This Row],[uuid]],myCollection[uuid],0),7)</f>
        <v>nonfoil</v>
      </c>
    </row>
    <row r="4" spans="1:7" x14ac:dyDescent="0.35">
      <c r="A4" t="str">
        <f>myCollection[[#This Row],[uuid]]</f>
        <v>16f1c97a-b896-59d0-80ab-6f00a6ea1d28</v>
      </c>
      <c r="B4" t="str">
        <f>_xlfn.IFNA(INDEX(cards[],MATCH(MyCollectionViz[[#This Row],[uuid]],cards[uuid],0),50),INDEX(tokens[],MATCH(MyCollectionViz[[#This Row],[uuid]],tokens[uuid],0),28))</f>
        <v>Dragonscale Boon</v>
      </c>
      <c r="C4">
        <v>1</v>
      </c>
      <c r="D4">
        <f>INDEX(myCollection[],MATCH(MyCollectionViz[[#This Row],[uuid]],myCollection[uuid],0),4)</f>
        <v>0</v>
      </c>
      <c r="E4" t="str">
        <f>INDEX(myCollection[],MATCH(MyCollectionViz[[#This Row],[uuid]],myCollection[uuid],0),5)</f>
        <v>Near Mint</v>
      </c>
      <c r="F4" t="str">
        <f>INDEX(myCollection[],MATCH(MyCollectionViz[[#This Row],[uuid]],myCollection[uuid],0),6)</f>
        <v>English</v>
      </c>
      <c r="G4" t="str">
        <f>INDEX(myCollection[],MATCH(MyCollectionViz[[#This Row],[uuid]],myCollection[uuid],0),7)</f>
        <v>nonfoil</v>
      </c>
    </row>
    <row r="5" spans="1:7" x14ac:dyDescent="0.35">
      <c r="A5" t="str">
        <f>myCollection[[#This Row],[uuid]]</f>
        <v>1fb6b965-6d0e-536c-8593-63140f3c6e9f</v>
      </c>
      <c r="B5" t="str">
        <f>_xlfn.IFNA(INDEX(cards[],MATCH(MyCollectionViz[[#This Row],[uuid]],cards[uuid],0),50),INDEX(tokens[],MATCH(MyCollectionViz[[#This Row],[uuid]],tokens[uuid],0),28))</f>
        <v>Thought Harvester</v>
      </c>
      <c r="C5">
        <v>2</v>
      </c>
      <c r="D5">
        <f>INDEX(myCollection[],MATCH(MyCollectionViz[[#This Row],[uuid]],myCollection[uuid],0),4)</f>
        <v>0</v>
      </c>
      <c r="E5" t="str">
        <f>INDEX(myCollection[],MATCH(MyCollectionViz[[#This Row],[uuid]],myCollection[uuid],0),5)</f>
        <v>Near Mint</v>
      </c>
      <c r="F5" t="str">
        <f>INDEX(myCollection[],MATCH(MyCollectionViz[[#This Row],[uuid]],myCollection[uuid],0),6)</f>
        <v>English</v>
      </c>
      <c r="G5" t="str">
        <f>INDEX(myCollection[],MATCH(MyCollectionViz[[#This Row],[uuid]],myCollection[uuid],0),7)</f>
        <v>nonfoil</v>
      </c>
    </row>
    <row r="6" spans="1:7" x14ac:dyDescent="0.35">
      <c r="A6" t="str">
        <f>myCollection[[#This Row],[uuid]]</f>
        <v>28a21701-487e-5d54-9bb2-22f862734499</v>
      </c>
      <c r="B6" t="str">
        <f>_xlfn.IFNA(INDEX(cards[],MATCH(MyCollectionViz[[#This Row],[uuid]],cards[uuid],0),50),INDEX(tokens[],MATCH(MyCollectionViz[[#This Row],[uuid]],tokens[uuid],0),28))</f>
        <v>Glarewielder</v>
      </c>
      <c r="C6">
        <v>1</v>
      </c>
      <c r="D6">
        <f>INDEX(myCollection[],MATCH(MyCollectionViz[[#This Row],[uuid]],myCollection[uuid],0),4)</f>
        <v>0</v>
      </c>
      <c r="E6" t="str">
        <f>INDEX(myCollection[],MATCH(MyCollectionViz[[#This Row],[uuid]],myCollection[uuid],0),5)</f>
        <v>Good</v>
      </c>
      <c r="F6" t="str">
        <f>INDEX(myCollection[],MATCH(MyCollectionViz[[#This Row],[uuid]],myCollection[uuid],0),6)</f>
        <v>English</v>
      </c>
      <c r="G6" t="str">
        <f>INDEX(myCollection[],MATCH(MyCollectionViz[[#This Row],[uuid]],myCollection[uuid],0),7)</f>
        <v>nonfoil</v>
      </c>
    </row>
    <row r="7" spans="1:7" x14ac:dyDescent="0.35">
      <c r="A7" t="str">
        <f>myCollection[[#This Row],[uuid]]</f>
        <v>358c5647-9f47-5f5d-9497-36336d8c7bb9</v>
      </c>
      <c r="B7" t="str">
        <f>_xlfn.IFNA(INDEX(cards[],MATCH(MyCollectionViz[[#This Row],[uuid]],cards[uuid],0),50),INDEX(tokens[],MATCH(MyCollectionViz[[#This Row],[uuid]],tokens[uuid],0),28))</f>
        <v>Plummet</v>
      </c>
      <c r="C7">
        <v>1</v>
      </c>
      <c r="D7">
        <f>INDEX(myCollection[],MATCH(MyCollectionViz[[#This Row],[uuid]],myCollection[uuid],0),4)</f>
        <v>0</v>
      </c>
      <c r="E7" t="str">
        <f>INDEX(myCollection[],MATCH(MyCollectionViz[[#This Row],[uuid]],myCollection[uuid],0),5)</f>
        <v>Near Mint</v>
      </c>
      <c r="F7" t="str">
        <f>INDEX(myCollection[],MATCH(MyCollectionViz[[#This Row],[uuid]],myCollection[uuid],0),6)</f>
        <v>English</v>
      </c>
      <c r="G7" t="str">
        <f>INDEX(myCollection[],MATCH(MyCollectionViz[[#This Row],[uuid]],myCollection[uuid],0),7)</f>
        <v>nonfoil</v>
      </c>
    </row>
    <row r="8" spans="1:7" x14ac:dyDescent="0.35">
      <c r="A8" t="str">
        <f>myCollection[[#This Row],[uuid]]</f>
        <v>413e11a5-35a1-51c7-928b-219b4453a094</v>
      </c>
      <c r="B8" t="str">
        <f>_xlfn.IFNA(INDEX(cards[],MATCH(MyCollectionViz[[#This Row],[uuid]],cards[uuid],0),50),INDEX(tokens[],MATCH(MyCollectionViz[[#This Row],[uuid]],tokens[uuid],0),28))</f>
        <v>Hypnotic Cloud</v>
      </c>
      <c r="C8">
        <v>1</v>
      </c>
      <c r="D8">
        <f>INDEX(myCollection[],MATCH(MyCollectionViz[[#This Row],[uuid]],myCollection[uuid],0),4)</f>
        <v>0</v>
      </c>
      <c r="E8" t="str">
        <f>INDEX(myCollection[],MATCH(MyCollectionViz[[#This Row],[uuid]],myCollection[uuid],0),5)</f>
        <v>Near Mint</v>
      </c>
      <c r="F8" t="str">
        <f>INDEX(myCollection[],MATCH(MyCollectionViz[[#This Row],[uuid]],myCollection[uuid],0),6)</f>
        <v>English</v>
      </c>
      <c r="G8" t="str">
        <f>INDEX(myCollection[],MATCH(MyCollectionViz[[#This Row],[uuid]],myCollection[uuid],0),7)</f>
        <v>nonfoil</v>
      </c>
    </row>
    <row r="9" spans="1:7" x14ac:dyDescent="0.35">
      <c r="A9" t="str">
        <f>myCollection[[#This Row],[uuid]]</f>
        <v>5ce32715-8dee-5c47-986a-88d00e87c506</v>
      </c>
      <c r="B9" t="str">
        <f>_xlfn.IFNA(INDEX(cards[],MATCH(MyCollectionViz[[#This Row],[uuid]],cards[uuid],0),50),INDEX(tokens[],MATCH(MyCollectionViz[[#This Row],[uuid]],tokens[uuid],0),28))</f>
        <v>Grazing Gladehart</v>
      </c>
      <c r="C9">
        <v>1</v>
      </c>
      <c r="D9">
        <f>INDEX(myCollection[],MATCH(MyCollectionViz[[#This Row],[uuid]],myCollection[uuid],0),4)</f>
        <v>0</v>
      </c>
      <c r="E9" t="str">
        <f>INDEX(myCollection[],MATCH(MyCollectionViz[[#This Row],[uuid]],myCollection[uuid],0),5)</f>
        <v>Near Mint</v>
      </c>
      <c r="F9" t="str">
        <f>INDEX(myCollection[],MATCH(MyCollectionViz[[#This Row],[uuid]],myCollection[uuid],0),6)</f>
        <v>English</v>
      </c>
      <c r="G9" t="str">
        <f>INDEX(myCollection[],MATCH(MyCollectionViz[[#This Row],[uuid]],myCollection[uuid],0),7)</f>
        <v>foil</v>
      </c>
    </row>
    <row r="10" spans="1:7" x14ac:dyDescent="0.35">
      <c r="A10" t="str">
        <f>myCollection[[#This Row],[uuid]]</f>
        <v>5e6a3099-2597-5755-8a6f-67f1569a3b8a</v>
      </c>
      <c r="B10" t="str">
        <f>_xlfn.IFNA(INDEX(cards[],MATCH(MyCollectionViz[[#This Row],[uuid]],cards[uuid],0),50),INDEX(tokens[],MATCH(MyCollectionViz[[#This Row],[uuid]],tokens[uuid],0),28))</f>
        <v>Leave No Trace</v>
      </c>
      <c r="C10">
        <v>4</v>
      </c>
      <c r="D10">
        <f>INDEX(myCollection[],MATCH(MyCollectionViz[[#This Row],[uuid]],myCollection[uuid],0),4)</f>
        <v>1</v>
      </c>
      <c r="E10" t="str">
        <f>INDEX(myCollection[],MATCH(MyCollectionViz[[#This Row],[uuid]],myCollection[uuid],0),5)</f>
        <v>Good</v>
      </c>
      <c r="F10" t="str">
        <f>INDEX(myCollection[],MATCH(MyCollectionViz[[#This Row],[uuid]],myCollection[uuid],0),6)</f>
        <v>German</v>
      </c>
      <c r="G10" t="str">
        <f>INDEX(myCollection[],MATCH(MyCollectionViz[[#This Row],[uuid]],myCollection[uuid],0),7)</f>
        <v>nonfoil</v>
      </c>
    </row>
    <row r="11" spans="1:7" x14ac:dyDescent="0.35">
      <c r="A11" t="str">
        <f>myCollection[[#This Row],[uuid]]</f>
        <v>66dae17d-a742-51b4-ba09-0b37d7c64265</v>
      </c>
      <c r="B11" t="str">
        <f>_xlfn.IFNA(INDEX(cards[],MATCH(MyCollectionViz[[#This Row],[uuid]],cards[uuid],0),50),INDEX(tokens[],MATCH(MyCollectionViz[[#This Row],[uuid]],tokens[uuid],0),28))</f>
        <v>Vexing Arcanix</v>
      </c>
      <c r="C11">
        <v>1</v>
      </c>
      <c r="D11">
        <f>INDEX(myCollection[],MATCH(MyCollectionViz[[#This Row],[uuid]],myCollection[uuid],0),4)</f>
        <v>0</v>
      </c>
      <c r="E11" t="str">
        <f>INDEX(myCollection[],MATCH(MyCollectionViz[[#This Row],[uuid]],myCollection[uuid],0),5)</f>
        <v>Near Mint</v>
      </c>
      <c r="F11" t="str">
        <f>INDEX(myCollection[],MATCH(MyCollectionViz[[#This Row],[uuid]],myCollection[uuid],0),6)</f>
        <v>English</v>
      </c>
      <c r="G11" t="str">
        <f>INDEX(myCollection[],MATCH(MyCollectionViz[[#This Row],[uuid]],myCollection[uuid],0),7)</f>
        <v>nonfoil</v>
      </c>
    </row>
    <row r="12" spans="1:7" x14ac:dyDescent="0.35">
      <c r="A12" t="str">
        <f>myCollection[[#This Row],[uuid]]</f>
        <v>7be5b8a9-0d68-5125-b729-ff1063dd3ed0</v>
      </c>
      <c r="B12" t="str">
        <f>_xlfn.IFNA(INDEX(cards[],MATCH(MyCollectionViz[[#This Row],[uuid]],cards[uuid],0),50),INDEX(tokens[],MATCH(MyCollectionViz[[#This Row],[uuid]],tokens[uuid],0),28))</f>
        <v>Resurrection</v>
      </c>
      <c r="C12">
        <v>2</v>
      </c>
      <c r="D12">
        <f>INDEX(myCollection[],MATCH(MyCollectionViz[[#This Row],[uuid]],myCollection[uuid],0),4)</f>
        <v>0</v>
      </c>
      <c r="E12" t="str">
        <f>INDEX(myCollection[],MATCH(MyCollectionViz[[#This Row],[uuid]],myCollection[uuid],0),5)</f>
        <v>Near Mint</v>
      </c>
      <c r="F12" t="str">
        <f>INDEX(myCollection[],MATCH(MyCollectionViz[[#This Row],[uuid]],myCollection[uuid],0),6)</f>
        <v>English</v>
      </c>
      <c r="G12" t="str">
        <f>INDEX(myCollection[],MATCH(MyCollectionViz[[#This Row],[uuid]],myCollection[uuid],0),7)</f>
        <v>nonfoil</v>
      </c>
    </row>
    <row r="13" spans="1:7" x14ac:dyDescent="0.35">
      <c r="A13" t="str">
        <f>myCollection[[#This Row],[uuid]]</f>
        <v>8d6b22fe-8583-5908-b964-05e3174e3154</v>
      </c>
      <c r="B13" t="str">
        <f>_xlfn.IFNA(INDEX(cards[],MATCH(MyCollectionViz[[#This Row],[uuid]],cards[uuid],0),50),INDEX(tokens[],MATCH(MyCollectionViz[[#This Row],[uuid]],tokens[uuid],0),28))</f>
        <v>Thallid Devourer</v>
      </c>
      <c r="C13">
        <v>7</v>
      </c>
      <c r="D13">
        <f>INDEX(myCollection[],MATCH(MyCollectionViz[[#This Row],[uuid]],myCollection[uuid],0),4)</f>
        <v>3</v>
      </c>
      <c r="E13" t="str">
        <f>INDEX(myCollection[],MATCH(MyCollectionViz[[#This Row],[uuid]],myCollection[uuid],0),5)</f>
        <v>Near Mint</v>
      </c>
      <c r="F13" t="str">
        <f>INDEX(myCollection[],MATCH(MyCollectionViz[[#This Row],[uuid]],myCollection[uuid],0),6)</f>
        <v>English</v>
      </c>
      <c r="G13" t="str">
        <f>INDEX(myCollection[],MATCH(MyCollectionViz[[#This Row],[uuid]],myCollection[uuid],0),7)</f>
        <v>nonfoil</v>
      </c>
    </row>
    <row r="14" spans="1:7" x14ac:dyDescent="0.35">
      <c r="A14" t="str">
        <f>myCollection[[#This Row],[uuid]]</f>
        <v>91556c5f-b11e-573d-a3bb-627dfa6c2926</v>
      </c>
      <c r="B14" t="str">
        <f>_xlfn.IFNA(INDEX(cards[],MATCH(MyCollectionViz[[#This Row],[uuid]],cards[uuid],0),50),INDEX(tokens[],MATCH(MyCollectionViz[[#This Row],[uuid]],tokens[uuid],0),28))</f>
        <v>Hungry Mist</v>
      </c>
      <c r="C14">
        <v>2</v>
      </c>
      <c r="D14">
        <f>INDEX(myCollection[],MATCH(MyCollectionViz[[#This Row],[uuid]],myCollection[uuid],0),4)</f>
        <v>0</v>
      </c>
      <c r="E14" t="str">
        <f>INDEX(myCollection[],MATCH(MyCollectionViz[[#This Row],[uuid]],myCollection[uuid],0),5)</f>
        <v>Near Mint</v>
      </c>
      <c r="F14" t="str">
        <f>INDEX(myCollection[],MATCH(MyCollectionViz[[#This Row],[uuid]],myCollection[uuid],0),6)</f>
        <v>English</v>
      </c>
      <c r="G14" t="str">
        <f>INDEX(myCollection[],MATCH(MyCollectionViz[[#This Row],[uuid]],myCollection[uuid],0),7)</f>
        <v>nonfoil</v>
      </c>
    </row>
    <row r="15" spans="1:7" x14ac:dyDescent="0.35">
      <c r="A15" t="str">
        <f>myCollection[[#This Row],[uuid]]</f>
        <v>9c015664-e6e8-53a4-ad48-276138b18098</v>
      </c>
      <c r="B15" t="str">
        <f>_xlfn.IFNA(INDEX(cards[],MATCH(MyCollectionViz[[#This Row],[uuid]],cards[uuid],0),50),INDEX(tokens[],MATCH(MyCollectionViz[[#This Row],[uuid]],tokens[uuid],0),28))</f>
        <v>Syphon Soul</v>
      </c>
      <c r="C15">
        <v>3</v>
      </c>
      <c r="D15">
        <f>INDEX(myCollection[],MATCH(MyCollectionViz[[#This Row],[uuid]],myCollection[uuid],0),4)</f>
        <v>0</v>
      </c>
      <c r="E15" t="str">
        <f>INDEX(myCollection[],MATCH(MyCollectionViz[[#This Row],[uuid]],myCollection[uuid],0),5)</f>
        <v>Near Mint</v>
      </c>
      <c r="F15" t="str">
        <f>INDEX(myCollection[],MATCH(MyCollectionViz[[#This Row],[uuid]],myCollection[uuid],0),6)</f>
        <v>English</v>
      </c>
      <c r="G15" t="str">
        <f>INDEX(myCollection[],MATCH(MyCollectionViz[[#This Row],[uuid]],myCollection[uuid],0),7)</f>
        <v>nonfoil</v>
      </c>
    </row>
    <row r="16" spans="1:7" x14ac:dyDescent="0.35">
      <c r="A16" t="str">
        <f>myCollection[[#This Row],[uuid]]</f>
        <v>aa480225-6f03-5f0f-85af-41af75e515aa</v>
      </c>
      <c r="B16" t="str">
        <f>_xlfn.IFNA(INDEX(cards[],MATCH(MyCollectionViz[[#This Row],[uuid]],cards[uuid],0),50),INDEX(tokens[],MATCH(MyCollectionViz[[#This Row],[uuid]],tokens[uuid],0),28))</f>
        <v>Viashino Runner</v>
      </c>
      <c r="C16">
        <v>2</v>
      </c>
      <c r="D16">
        <f>INDEX(myCollection[],MATCH(MyCollectionViz[[#This Row],[uuid]],myCollection[uuid],0),4)</f>
        <v>0</v>
      </c>
      <c r="E16" t="str">
        <f>INDEX(myCollection[],MATCH(MyCollectionViz[[#This Row],[uuid]],myCollection[uuid],0),5)</f>
        <v>Near Mint</v>
      </c>
      <c r="F16" t="str">
        <f>INDEX(myCollection[],MATCH(MyCollectionViz[[#This Row],[uuid]],myCollection[uuid],0),6)</f>
        <v>French</v>
      </c>
      <c r="G16" t="str">
        <f>INDEX(myCollection[],MATCH(MyCollectionViz[[#This Row],[uuid]],myCollection[uuid],0),7)</f>
        <v>nonfoil</v>
      </c>
    </row>
    <row r="17" spans="1:7" x14ac:dyDescent="0.35">
      <c r="A17" t="str">
        <f>myCollection[[#This Row],[uuid]]</f>
        <v>bafac74c-f4f8-5c71-8a6b-0bd02c536c47</v>
      </c>
      <c r="B17" t="str">
        <f>_xlfn.IFNA(INDEX(cards[],MATCH(MyCollectionViz[[#This Row],[uuid]],cards[uuid],0),50),INDEX(tokens[],MATCH(MyCollectionViz[[#This Row],[uuid]],tokens[uuid],0),28))</f>
        <v>Prismatic Ending</v>
      </c>
      <c r="C17">
        <v>1</v>
      </c>
      <c r="D17">
        <f>INDEX(myCollection[],MATCH(MyCollectionViz[[#This Row],[uuid]],myCollection[uuid],0),4)</f>
        <v>1</v>
      </c>
      <c r="E17" t="str">
        <f>INDEX(myCollection[],MATCH(MyCollectionViz[[#This Row],[uuid]],myCollection[uuid],0),5)</f>
        <v>Near Mint</v>
      </c>
      <c r="F17" t="str">
        <f>INDEX(myCollection[],MATCH(MyCollectionViz[[#This Row],[uuid]],myCollection[uuid],0),6)</f>
        <v>French</v>
      </c>
      <c r="G17" t="str">
        <f>INDEX(myCollection[],MATCH(MyCollectionViz[[#This Row],[uuid]],myCollection[uuid],0),7)</f>
        <v>nonfoil</v>
      </c>
    </row>
    <row r="18" spans="1:7" x14ac:dyDescent="0.35">
      <c r="A18" t="str">
        <f>myCollection[[#This Row],[uuid]]</f>
        <v>cc6ce5a2-49d0-59de-a17e-362f47b67773</v>
      </c>
      <c r="B18" t="str">
        <f>_xlfn.IFNA(INDEX(cards[],MATCH(MyCollectionViz[[#This Row],[uuid]],cards[uuid],0),50),INDEX(tokens[],MATCH(MyCollectionViz[[#This Row],[uuid]],tokens[uuid],0),28))</f>
        <v>Ouphe Vandals</v>
      </c>
      <c r="C18">
        <v>1</v>
      </c>
      <c r="D18">
        <f>INDEX(myCollection[],MATCH(MyCollectionViz[[#This Row],[uuid]],myCollection[uuid],0),4)</f>
        <v>0</v>
      </c>
      <c r="E18" t="str">
        <f>INDEX(myCollection[],MATCH(MyCollectionViz[[#This Row],[uuid]],myCollection[uuid],0),5)</f>
        <v>Poor</v>
      </c>
      <c r="F18" t="str">
        <f>INDEX(myCollection[],MATCH(MyCollectionViz[[#This Row],[uuid]],myCollection[uuid],0),6)</f>
        <v>English</v>
      </c>
      <c r="G18" t="str">
        <f>INDEX(myCollection[],MATCH(MyCollectionViz[[#This Row],[uuid]],myCollection[uuid],0),7)</f>
        <v>nonfoil</v>
      </c>
    </row>
    <row r="19" spans="1:7" x14ac:dyDescent="0.35">
      <c r="A19" t="str">
        <f>myCollection[[#This Row],[uuid]]</f>
        <v>d0bcc932-d1f2-509c-90de-42512b6fef75</v>
      </c>
      <c r="B19" t="str">
        <f>_xlfn.IFNA(INDEX(cards[],MATCH(MyCollectionViz[[#This Row],[uuid]],cards[uuid],0),50),INDEX(tokens[],MATCH(MyCollectionViz[[#This Row],[uuid]],tokens[uuid],0),28))</f>
        <v>Guild Feud</v>
      </c>
      <c r="C19">
        <v>1</v>
      </c>
      <c r="D19">
        <f>INDEX(myCollection[],MATCH(MyCollectionViz[[#This Row],[uuid]],myCollection[uuid],0),4)</f>
        <v>0</v>
      </c>
      <c r="E19" t="str">
        <f>INDEX(myCollection[],MATCH(MyCollectionViz[[#This Row],[uuid]],myCollection[uuid],0),5)</f>
        <v>Excellent</v>
      </c>
      <c r="F19" t="str">
        <f>INDEX(myCollection[],MATCH(MyCollectionViz[[#This Row],[uuid]],myCollection[uuid],0),6)</f>
        <v>English</v>
      </c>
      <c r="G19" t="str">
        <f>INDEX(myCollection[],MATCH(MyCollectionViz[[#This Row],[uuid]],myCollection[uuid],0),7)</f>
        <v>nonfoil</v>
      </c>
    </row>
    <row r="20" spans="1:7" x14ac:dyDescent="0.35">
      <c r="A20" t="str">
        <f>myCollection[[#This Row],[uuid]]</f>
        <v>d4588e8f-e5a0-53e5-ac90-0a5183f0d118</v>
      </c>
      <c r="B20" t="str">
        <f>_xlfn.IFNA(INDEX(cards[],MATCH(MyCollectionViz[[#This Row],[uuid]],cards[uuid],0),50),INDEX(tokens[],MATCH(MyCollectionViz[[#This Row],[uuid]],tokens[uuid],0),28))</f>
        <v>Chillerpillar // Chillerpillar</v>
      </c>
      <c r="C20">
        <v>1</v>
      </c>
      <c r="D20">
        <f>INDEX(myCollection[],MATCH(MyCollectionViz[[#This Row],[uuid]],myCollection[uuid],0),4)</f>
        <v>1</v>
      </c>
      <c r="E20" t="str">
        <f>INDEX(myCollection[],MATCH(MyCollectionViz[[#This Row],[uuid]],myCollection[uuid],0),5)</f>
        <v>Excellent</v>
      </c>
      <c r="F20" t="str">
        <f>INDEX(myCollection[],MATCH(MyCollectionViz[[#This Row],[uuid]],myCollection[uuid],0),6)</f>
        <v>English</v>
      </c>
      <c r="G20" t="str">
        <f>INDEX(myCollection[],MATCH(MyCollectionViz[[#This Row],[uuid]],myCollection[uuid],0),7)</f>
        <v>nonfoil</v>
      </c>
    </row>
    <row r="21" spans="1:7" x14ac:dyDescent="0.35">
      <c r="A21" t="str">
        <f>myCollection[[#This Row],[uuid]]</f>
        <v>e7613acb-a554-5a49-aa38-88fff17503fe</v>
      </c>
      <c r="B21" t="str">
        <f>_xlfn.IFNA(INDEX(cards[],MATCH(MyCollectionViz[[#This Row],[uuid]],cards[uuid],0),50),INDEX(tokens[],MATCH(MyCollectionViz[[#This Row],[uuid]],tokens[uuid],0),28))</f>
        <v>Font of Ire</v>
      </c>
      <c r="C21">
        <v>4</v>
      </c>
      <c r="D21">
        <f>INDEX(myCollection[],MATCH(MyCollectionViz[[#This Row],[uuid]],myCollection[uuid],0),4)</f>
        <v>0</v>
      </c>
      <c r="E21" t="str">
        <f>INDEX(myCollection[],MATCH(MyCollectionViz[[#This Row],[uuid]],myCollection[uuid],0),5)</f>
        <v>Near Mint</v>
      </c>
      <c r="F21" t="str">
        <f>INDEX(myCollection[],MATCH(MyCollectionViz[[#This Row],[uuid]],myCollection[uuid],0),6)</f>
        <v>English</v>
      </c>
      <c r="G21" t="str">
        <f>INDEX(myCollection[],MATCH(MyCollectionViz[[#This Row],[uuid]],myCollection[uuid],0),7)</f>
        <v>nonfoil</v>
      </c>
    </row>
    <row r="22" spans="1:7" x14ac:dyDescent="0.35">
      <c r="A22" t="str">
        <f>myCollection[[#This Row],[uuid]]</f>
        <v>f1e4acc1-1bb7-57ea-9d61-edb3e803ab5c</v>
      </c>
      <c r="B22" t="str">
        <f>_xlfn.IFNA(INDEX(cards[],MATCH(MyCollectionViz[[#This Row],[uuid]],cards[uuid],0),50),INDEX(tokens[],MATCH(MyCollectionViz[[#This Row],[uuid]],tokens[uuid],0),28))</f>
        <v>Crenellated Wall</v>
      </c>
      <c r="C22">
        <v>1</v>
      </c>
      <c r="D22">
        <f>INDEX(myCollection[],MATCH(MyCollectionViz[[#This Row],[uuid]],myCollection[uuid],0),4)</f>
        <v>0</v>
      </c>
      <c r="E22" t="str">
        <f>INDEX(myCollection[],MATCH(MyCollectionViz[[#This Row],[uuid]],myCollection[uuid],0),5)</f>
        <v>Mint</v>
      </c>
      <c r="F22" t="str">
        <f>INDEX(myCollection[],MATCH(MyCollectionViz[[#This Row],[uuid]],myCollection[uuid],0),6)</f>
        <v>English</v>
      </c>
      <c r="G22" t="str">
        <f>INDEX(myCollection[],MATCH(MyCollectionViz[[#This Row],[uuid]],myCollection[uuid],0),7)</f>
        <v>foil</v>
      </c>
    </row>
    <row r="23" spans="1:7" x14ac:dyDescent="0.35">
      <c r="A23" t="str">
        <f>myCollection[[#This Row],[uuid]]</f>
        <v>fd1183ad-ae98-5c4b-b93d-97d32b74d999</v>
      </c>
      <c r="B23" t="str">
        <f>_xlfn.IFNA(INDEX(cards[],MATCH(MyCollectionViz[[#This Row],[uuid]],cards[uuid],0),50),INDEX(tokens[],MATCH(MyCollectionViz[[#This Row],[uuid]],tokens[uuid],0),28))</f>
        <v>Culling Drone</v>
      </c>
      <c r="C23">
        <v>4</v>
      </c>
      <c r="D23">
        <f>INDEX(myCollection[],MATCH(MyCollectionViz[[#This Row],[uuid]],myCollection[uuid],0),4)</f>
        <v>0</v>
      </c>
      <c r="E23" t="str">
        <f>INDEX(myCollection[],MATCH(MyCollectionViz[[#This Row],[uuid]],myCollection[uuid],0),5)</f>
        <v>Light Played</v>
      </c>
      <c r="F23" t="str">
        <f>INDEX(myCollection[],MATCH(MyCollectionViz[[#This Row],[uuid]],myCollection[uuid],0),6)</f>
        <v>English</v>
      </c>
      <c r="G23" t="str">
        <f>INDEX(myCollection[],MATCH(MyCollectionViz[[#This Row],[uuid]],myCollection[uuid],0),7)</f>
        <v>foil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6D478-47F6-4079-9299-ED8ACBF98DF6}">
  <dimension ref="A1:T55"/>
  <sheetViews>
    <sheetView workbookViewId="0">
      <selection activeCell="A18" sqref="A18"/>
    </sheetView>
  </sheetViews>
  <sheetFormatPr defaultRowHeight="14.5" x14ac:dyDescent="0.35"/>
  <cols>
    <col min="1" max="1" width="7.1796875" bestFit="1" customWidth="1"/>
    <col min="2" max="2" width="34.54296875" bestFit="1" customWidth="1"/>
    <col min="3" max="3" width="11.6328125" bestFit="1" customWidth="1"/>
    <col min="4" max="4" width="21.453125" bestFit="1" customWidth="1"/>
    <col min="5" max="5" width="14.90625" bestFit="1" customWidth="1"/>
    <col min="6" max="6" width="13.08984375" bestFit="1" customWidth="1"/>
    <col min="7" max="8" width="13.90625" bestFit="1" customWidth="1"/>
    <col min="9" max="9" width="11.453125" bestFit="1" customWidth="1"/>
    <col min="10" max="10" width="17.6328125" bestFit="1" customWidth="1"/>
    <col min="11" max="11" width="14.81640625" bestFit="1" customWidth="1"/>
    <col min="12" max="12" width="12.90625" bestFit="1" customWidth="1"/>
    <col min="13" max="13" width="13.08984375" bestFit="1" customWidth="1"/>
    <col min="14" max="14" width="13.26953125" bestFit="1" customWidth="1"/>
    <col min="15" max="15" width="14.1796875" bestFit="1" customWidth="1"/>
    <col min="16" max="16" width="9" bestFit="1" customWidth="1"/>
    <col min="17" max="17" width="35.08984375" bestFit="1" customWidth="1"/>
    <col min="18" max="18" width="14.08984375" bestFit="1" customWidth="1"/>
    <col min="19" max="19" width="14.54296875" bestFit="1" customWidth="1"/>
    <col min="20" max="20" width="16.6328125" bestFit="1" customWidth="1"/>
    <col min="21" max="21" width="14.1796875" bestFit="1" customWidth="1"/>
    <col min="22" max="22" width="15.54296875" bestFit="1" customWidth="1"/>
  </cols>
  <sheetData>
    <row r="1" spans="1:20" x14ac:dyDescent="0.35">
      <c r="A1" t="s">
        <v>685</v>
      </c>
      <c r="B1" t="s">
        <v>323</v>
      </c>
      <c r="C1" t="s">
        <v>694</v>
      </c>
      <c r="D1" t="s">
        <v>684</v>
      </c>
      <c r="E1" t="s">
        <v>698</v>
      </c>
      <c r="F1" t="s">
        <v>696</v>
      </c>
      <c r="G1" t="s">
        <v>629</v>
      </c>
      <c r="H1" t="s">
        <v>592</v>
      </c>
      <c r="I1" t="s">
        <v>686</v>
      </c>
      <c r="J1" t="s">
        <v>697</v>
      </c>
      <c r="K1" t="s">
        <v>688</v>
      </c>
      <c r="L1" t="s">
        <v>695</v>
      </c>
      <c r="M1" t="s">
        <v>699</v>
      </c>
      <c r="N1" t="s">
        <v>683</v>
      </c>
      <c r="O1" t="s">
        <v>690</v>
      </c>
      <c r="P1" t="s">
        <v>691</v>
      </c>
      <c r="Q1" t="s">
        <v>693</v>
      </c>
      <c r="R1" t="s">
        <v>692</v>
      </c>
      <c r="S1" t="s">
        <v>687</v>
      </c>
      <c r="T1" t="s">
        <v>689</v>
      </c>
    </row>
    <row r="2" spans="1:20" x14ac:dyDescent="0.35">
      <c r="A2" t="s">
        <v>810</v>
      </c>
      <c r="B2" t="s">
        <v>812</v>
      </c>
      <c r="C2" t="s">
        <v>810</v>
      </c>
      <c r="D2" t="s">
        <v>700</v>
      </c>
      <c r="E2" t="s">
        <v>813</v>
      </c>
      <c r="F2" s="1">
        <v>39276</v>
      </c>
      <c r="G2" t="s">
        <v>702</v>
      </c>
      <c r="H2">
        <v>0</v>
      </c>
      <c r="I2">
        <v>0</v>
      </c>
      <c r="J2">
        <v>1</v>
      </c>
      <c r="K2">
        <v>0</v>
      </c>
      <c r="L2" t="s">
        <v>632</v>
      </c>
      <c r="M2">
        <v>510</v>
      </c>
      <c r="N2">
        <v>383</v>
      </c>
      <c r="O2" t="s">
        <v>810</v>
      </c>
      <c r="P2">
        <v>74</v>
      </c>
      <c r="Q2" t="s">
        <v>812</v>
      </c>
      <c r="S2" t="s">
        <v>632</v>
      </c>
      <c r="T2" t="s">
        <v>632</v>
      </c>
    </row>
    <row r="3" spans="1:20" x14ac:dyDescent="0.35">
      <c r="A3" t="s">
        <v>307</v>
      </c>
      <c r="B3" t="s">
        <v>701</v>
      </c>
      <c r="C3" t="s">
        <v>632</v>
      </c>
      <c r="D3" t="s">
        <v>700</v>
      </c>
      <c r="E3" t="s">
        <v>632</v>
      </c>
      <c r="F3" s="1">
        <v>34435</v>
      </c>
      <c r="G3" t="s">
        <v>702</v>
      </c>
      <c r="H3">
        <v>0</v>
      </c>
      <c r="I3">
        <v>0</v>
      </c>
      <c r="J3">
        <v>97</v>
      </c>
      <c r="K3">
        <v>1</v>
      </c>
      <c r="L3" t="s">
        <v>632</v>
      </c>
      <c r="M3">
        <v>306</v>
      </c>
      <c r="N3">
        <v>306</v>
      </c>
      <c r="O3" t="s">
        <v>307</v>
      </c>
      <c r="P3">
        <v>6</v>
      </c>
      <c r="Q3" t="s">
        <v>900</v>
      </c>
      <c r="S3" t="s">
        <v>632</v>
      </c>
      <c r="T3" t="s">
        <v>632</v>
      </c>
    </row>
    <row r="4" spans="1:20" x14ac:dyDescent="0.35">
      <c r="A4" t="s">
        <v>256</v>
      </c>
      <c r="B4" t="s">
        <v>704</v>
      </c>
      <c r="C4" t="s">
        <v>256</v>
      </c>
      <c r="D4" t="s">
        <v>703</v>
      </c>
      <c r="E4" t="s">
        <v>632</v>
      </c>
      <c r="F4" s="1">
        <v>38142</v>
      </c>
      <c r="G4" t="s">
        <v>705</v>
      </c>
      <c r="H4">
        <v>0</v>
      </c>
      <c r="I4">
        <v>0</v>
      </c>
      <c r="J4">
        <v>43</v>
      </c>
      <c r="K4">
        <v>0</v>
      </c>
      <c r="L4" t="s">
        <v>632</v>
      </c>
      <c r="M4">
        <v>165</v>
      </c>
      <c r="N4">
        <v>165</v>
      </c>
      <c r="O4" t="s">
        <v>256</v>
      </c>
      <c r="P4">
        <v>47</v>
      </c>
      <c r="Q4" t="s">
        <v>704</v>
      </c>
      <c r="S4" t="s">
        <v>632</v>
      </c>
      <c r="T4" t="s">
        <v>632</v>
      </c>
    </row>
    <row r="5" spans="1:20" x14ac:dyDescent="0.35">
      <c r="A5" t="s">
        <v>985</v>
      </c>
      <c r="B5" t="s">
        <v>995</v>
      </c>
      <c r="C5" t="s">
        <v>632</v>
      </c>
      <c r="D5" t="s">
        <v>632</v>
      </c>
      <c r="E5" t="s">
        <v>985</v>
      </c>
      <c r="F5" s="1">
        <v>45506</v>
      </c>
      <c r="G5" t="s">
        <v>706</v>
      </c>
      <c r="H5">
        <v>0</v>
      </c>
      <c r="I5">
        <v>0</v>
      </c>
      <c r="J5">
        <v>23569</v>
      </c>
      <c r="K5">
        <v>0</v>
      </c>
      <c r="L5" t="s">
        <v>949</v>
      </c>
      <c r="M5">
        <v>54</v>
      </c>
      <c r="N5">
        <v>0</v>
      </c>
      <c r="O5" t="s">
        <v>949</v>
      </c>
      <c r="Q5" t="s">
        <v>632</v>
      </c>
      <c r="S5" t="s">
        <v>632</v>
      </c>
      <c r="T5" t="s">
        <v>632</v>
      </c>
    </row>
    <row r="6" spans="1:20" x14ac:dyDescent="0.35">
      <c r="A6" t="s">
        <v>82</v>
      </c>
      <c r="B6" t="s">
        <v>976</v>
      </c>
      <c r="C6" t="s">
        <v>632</v>
      </c>
      <c r="D6" t="s">
        <v>632</v>
      </c>
      <c r="E6" t="s">
        <v>82</v>
      </c>
      <c r="F6" s="1">
        <v>44722</v>
      </c>
      <c r="G6" t="s">
        <v>706</v>
      </c>
      <c r="H6">
        <v>0</v>
      </c>
      <c r="I6">
        <v>0</v>
      </c>
      <c r="J6">
        <v>3048</v>
      </c>
      <c r="K6">
        <v>0</v>
      </c>
      <c r="L6" t="s">
        <v>707</v>
      </c>
      <c r="M6">
        <v>81</v>
      </c>
      <c r="N6">
        <v>0</v>
      </c>
      <c r="O6" t="s">
        <v>707</v>
      </c>
      <c r="Q6" t="s">
        <v>632</v>
      </c>
      <c r="S6" t="s">
        <v>632</v>
      </c>
      <c r="T6" t="s">
        <v>632</v>
      </c>
    </row>
    <row r="7" spans="1:20" x14ac:dyDescent="0.35">
      <c r="A7" t="s">
        <v>44</v>
      </c>
      <c r="B7" t="s">
        <v>977</v>
      </c>
      <c r="C7" t="s">
        <v>44</v>
      </c>
      <c r="D7" t="s">
        <v>632</v>
      </c>
      <c r="E7" t="s">
        <v>786</v>
      </c>
      <c r="F7" s="1">
        <v>45478</v>
      </c>
      <c r="G7" t="s">
        <v>741</v>
      </c>
      <c r="H7">
        <v>0</v>
      </c>
      <c r="I7">
        <v>0</v>
      </c>
      <c r="J7">
        <v>23446</v>
      </c>
      <c r="K7">
        <v>0</v>
      </c>
      <c r="L7" t="s">
        <v>632</v>
      </c>
      <c r="M7">
        <v>309</v>
      </c>
      <c r="N7">
        <v>110</v>
      </c>
      <c r="O7" t="s">
        <v>44</v>
      </c>
      <c r="Q7" t="s">
        <v>632</v>
      </c>
      <c r="S7" t="s">
        <v>632</v>
      </c>
      <c r="T7" t="s">
        <v>632</v>
      </c>
    </row>
    <row r="8" spans="1:20" x14ac:dyDescent="0.35">
      <c r="A8" t="s">
        <v>993</v>
      </c>
      <c r="B8" t="s">
        <v>996</v>
      </c>
      <c r="C8" t="s">
        <v>632</v>
      </c>
      <c r="D8" t="s">
        <v>632</v>
      </c>
      <c r="E8" t="s">
        <v>993</v>
      </c>
      <c r="F8" s="1">
        <v>45611</v>
      </c>
      <c r="G8" t="s">
        <v>706</v>
      </c>
      <c r="H8">
        <v>0</v>
      </c>
      <c r="I8">
        <v>0</v>
      </c>
      <c r="J8">
        <v>23816</v>
      </c>
      <c r="K8">
        <v>0</v>
      </c>
      <c r="L8" t="s">
        <v>708</v>
      </c>
      <c r="M8">
        <v>55</v>
      </c>
      <c r="N8">
        <v>0</v>
      </c>
      <c r="O8" t="s">
        <v>708</v>
      </c>
      <c r="Q8" t="s">
        <v>632</v>
      </c>
      <c r="S8" t="s">
        <v>632</v>
      </c>
      <c r="T8" t="s">
        <v>632</v>
      </c>
    </row>
    <row r="9" spans="1:20" x14ac:dyDescent="0.35">
      <c r="A9" t="s">
        <v>852</v>
      </c>
      <c r="B9" t="s">
        <v>901</v>
      </c>
      <c r="C9" t="s">
        <v>852</v>
      </c>
      <c r="D9" t="s">
        <v>901</v>
      </c>
      <c r="E9" t="s">
        <v>902</v>
      </c>
      <c r="F9" s="1">
        <v>42853</v>
      </c>
      <c r="G9" t="s">
        <v>705</v>
      </c>
      <c r="H9">
        <v>0</v>
      </c>
      <c r="I9">
        <v>0</v>
      </c>
      <c r="J9">
        <v>1882</v>
      </c>
      <c r="K9">
        <v>0</v>
      </c>
      <c r="L9" t="s">
        <v>632</v>
      </c>
      <c r="M9">
        <v>287</v>
      </c>
      <c r="N9">
        <v>269</v>
      </c>
      <c r="O9" t="s">
        <v>852</v>
      </c>
      <c r="P9">
        <v>1729</v>
      </c>
      <c r="Q9" t="s">
        <v>901</v>
      </c>
      <c r="S9" t="s">
        <v>632</v>
      </c>
      <c r="T9" t="s">
        <v>632</v>
      </c>
    </row>
    <row r="10" spans="1:20" x14ac:dyDescent="0.35">
      <c r="A10" t="s">
        <v>143</v>
      </c>
      <c r="B10" t="s">
        <v>709</v>
      </c>
      <c r="C10" t="s">
        <v>632</v>
      </c>
      <c r="D10" t="s">
        <v>632</v>
      </c>
      <c r="E10" t="s">
        <v>632</v>
      </c>
      <c r="F10" s="1">
        <v>44056</v>
      </c>
      <c r="G10" t="s">
        <v>710</v>
      </c>
      <c r="H10">
        <v>1</v>
      </c>
      <c r="I10">
        <v>0</v>
      </c>
      <c r="K10">
        <v>1</v>
      </c>
      <c r="L10" t="s">
        <v>632</v>
      </c>
      <c r="M10">
        <v>339</v>
      </c>
      <c r="N10">
        <v>338</v>
      </c>
      <c r="O10" t="s">
        <v>143</v>
      </c>
      <c r="Q10" t="s">
        <v>632</v>
      </c>
      <c r="S10" t="s">
        <v>632</v>
      </c>
      <c r="T10" t="s">
        <v>632</v>
      </c>
    </row>
    <row r="11" spans="1:20" x14ac:dyDescent="0.35">
      <c r="A11" t="s">
        <v>166</v>
      </c>
      <c r="B11" t="s">
        <v>712</v>
      </c>
      <c r="C11" t="s">
        <v>632</v>
      </c>
      <c r="D11" t="s">
        <v>632</v>
      </c>
      <c r="E11" t="s">
        <v>166</v>
      </c>
      <c r="F11" s="1">
        <v>43621</v>
      </c>
      <c r="G11" t="s">
        <v>706</v>
      </c>
      <c r="H11">
        <v>0</v>
      </c>
      <c r="I11">
        <v>0</v>
      </c>
      <c r="J11">
        <v>2463</v>
      </c>
      <c r="K11">
        <v>1</v>
      </c>
      <c r="L11" t="s">
        <v>711</v>
      </c>
      <c r="M11">
        <v>54</v>
      </c>
      <c r="N11">
        <v>54</v>
      </c>
      <c r="O11" t="s">
        <v>711</v>
      </c>
      <c r="Q11" t="s">
        <v>632</v>
      </c>
      <c r="S11" t="s">
        <v>632</v>
      </c>
      <c r="T11" t="s">
        <v>632</v>
      </c>
    </row>
    <row r="12" spans="1:20" x14ac:dyDescent="0.35">
      <c r="A12" t="s">
        <v>106</v>
      </c>
      <c r="B12" t="s">
        <v>713</v>
      </c>
      <c r="C12" t="s">
        <v>632</v>
      </c>
      <c r="D12" t="s">
        <v>632</v>
      </c>
      <c r="E12" t="s">
        <v>106</v>
      </c>
      <c r="F12" s="1">
        <v>44365</v>
      </c>
      <c r="G12" t="s">
        <v>706</v>
      </c>
      <c r="H12">
        <v>0</v>
      </c>
      <c r="I12">
        <v>0</v>
      </c>
      <c r="J12">
        <v>2822</v>
      </c>
      <c r="K12">
        <v>0</v>
      </c>
      <c r="L12" t="s">
        <v>97</v>
      </c>
      <c r="M12">
        <v>162</v>
      </c>
      <c r="N12">
        <v>0</v>
      </c>
      <c r="O12" t="s">
        <v>97</v>
      </c>
      <c r="Q12" t="s">
        <v>632</v>
      </c>
      <c r="S12" t="s">
        <v>632</v>
      </c>
      <c r="T12" t="s">
        <v>632</v>
      </c>
    </row>
    <row r="13" spans="1:20" x14ac:dyDescent="0.35">
      <c r="A13" t="s">
        <v>54</v>
      </c>
      <c r="B13" t="s">
        <v>715</v>
      </c>
      <c r="C13" t="s">
        <v>632</v>
      </c>
      <c r="D13" t="s">
        <v>632</v>
      </c>
      <c r="E13" t="s">
        <v>54</v>
      </c>
      <c r="F13" s="1">
        <v>45457</v>
      </c>
      <c r="G13" t="s">
        <v>706</v>
      </c>
      <c r="H13">
        <v>0</v>
      </c>
      <c r="I13">
        <v>0</v>
      </c>
      <c r="J13">
        <v>23533</v>
      </c>
      <c r="K13">
        <v>0</v>
      </c>
      <c r="L13" t="s">
        <v>714</v>
      </c>
      <c r="M13">
        <v>54</v>
      </c>
      <c r="N13">
        <v>0</v>
      </c>
      <c r="O13" t="s">
        <v>714</v>
      </c>
      <c r="Q13" t="s">
        <v>632</v>
      </c>
      <c r="S13" t="s">
        <v>632</v>
      </c>
      <c r="T13" t="s">
        <v>632</v>
      </c>
    </row>
    <row r="14" spans="1:20" x14ac:dyDescent="0.35">
      <c r="A14" t="s">
        <v>94</v>
      </c>
      <c r="B14" t="s">
        <v>717</v>
      </c>
      <c r="C14" t="s">
        <v>632</v>
      </c>
      <c r="D14" t="s">
        <v>716</v>
      </c>
      <c r="E14" t="s">
        <v>94</v>
      </c>
      <c r="F14" s="1">
        <v>44463</v>
      </c>
      <c r="G14" t="s">
        <v>706</v>
      </c>
      <c r="H14">
        <v>0</v>
      </c>
      <c r="I14">
        <v>0</v>
      </c>
      <c r="J14">
        <v>2891</v>
      </c>
      <c r="K14">
        <v>0</v>
      </c>
      <c r="L14" t="s">
        <v>88</v>
      </c>
      <c r="M14">
        <v>81</v>
      </c>
      <c r="N14">
        <v>0</v>
      </c>
      <c r="O14" t="s">
        <v>88</v>
      </c>
      <c r="Q14" t="s">
        <v>632</v>
      </c>
      <c r="S14" t="s">
        <v>632</v>
      </c>
      <c r="T14" t="s">
        <v>632</v>
      </c>
    </row>
    <row r="15" spans="1:20" x14ac:dyDescent="0.35">
      <c r="A15" t="s">
        <v>79</v>
      </c>
      <c r="B15" t="s">
        <v>719</v>
      </c>
      <c r="C15" t="s">
        <v>632</v>
      </c>
      <c r="D15" t="s">
        <v>632</v>
      </c>
      <c r="E15" t="s">
        <v>79</v>
      </c>
      <c r="F15" s="1">
        <v>44960</v>
      </c>
      <c r="G15" t="s">
        <v>706</v>
      </c>
      <c r="H15">
        <v>0</v>
      </c>
      <c r="I15">
        <v>0</v>
      </c>
      <c r="J15">
        <v>22933</v>
      </c>
      <c r="K15">
        <v>0</v>
      </c>
      <c r="L15" t="s">
        <v>718</v>
      </c>
      <c r="M15">
        <v>81</v>
      </c>
      <c r="N15">
        <v>0</v>
      </c>
      <c r="O15" t="s">
        <v>718</v>
      </c>
      <c r="Q15" t="s">
        <v>632</v>
      </c>
      <c r="S15" t="s">
        <v>632</v>
      </c>
      <c r="T15" t="s">
        <v>632</v>
      </c>
    </row>
    <row r="16" spans="1:20" x14ac:dyDescent="0.35">
      <c r="A16" t="s">
        <v>112</v>
      </c>
      <c r="B16" t="s">
        <v>721</v>
      </c>
      <c r="C16" t="s">
        <v>632</v>
      </c>
      <c r="D16" t="s">
        <v>632</v>
      </c>
      <c r="E16" t="s">
        <v>112</v>
      </c>
      <c r="F16" s="1">
        <v>44309</v>
      </c>
      <c r="G16" t="s">
        <v>706</v>
      </c>
      <c r="H16">
        <v>0</v>
      </c>
      <c r="I16">
        <v>0</v>
      </c>
      <c r="J16">
        <v>2806</v>
      </c>
      <c r="K16">
        <v>0</v>
      </c>
      <c r="L16" t="s">
        <v>720</v>
      </c>
      <c r="M16">
        <v>162</v>
      </c>
      <c r="N16">
        <v>0</v>
      </c>
      <c r="O16" t="s">
        <v>720</v>
      </c>
      <c r="Q16" t="s">
        <v>632</v>
      </c>
      <c r="S16" t="s">
        <v>632</v>
      </c>
      <c r="T16" t="s">
        <v>632</v>
      </c>
    </row>
    <row r="17" spans="1:20" x14ac:dyDescent="0.35">
      <c r="A17" t="s">
        <v>85</v>
      </c>
      <c r="B17" t="s">
        <v>723</v>
      </c>
      <c r="C17" t="s">
        <v>632</v>
      </c>
      <c r="D17" t="s">
        <v>716</v>
      </c>
      <c r="E17" t="s">
        <v>85</v>
      </c>
      <c r="F17" s="1">
        <v>44519</v>
      </c>
      <c r="G17" t="s">
        <v>706</v>
      </c>
      <c r="H17">
        <v>0</v>
      </c>
      <c r="I17">
        <v>0</v>
      </c>
      <c r="J17">
        <v>2898</v>
      </c>
      <c r="K17">
        <v>0</v>
      </c>
      <c r="L17" t="s">
        <v>722</v>
      </c>
      <c r="M17">
        <v>81</v>
      </c>
      <c r="N17">
        <v>0</v>
      </c>
      <c r="O17" t="s">
        <v>722</v>
      </c>
      <c r="Q17" t="s">
        <v>632</v>
      </c>
      <c r="S17" t="s">
        <v>632</v>
      </c>
      <c r="T17" t="s">
        <v>632</v>
      </c>
    </row>
    <row r="18" spans="1:20" x14ac:dyDescent="0.35">
      <c r="A18" t="s">
        <v>204</v>
      </c>
      <c r="B18" t="s">
        <v>724</v>
      </c>
      <c r="C18" t="s">
        <v>204</v>
      </c>
      <c r="D18" t="s">
        <v>724</v>
      </c>
      <c r="E18" t="s">
        <v>725</v>
      </c>
      <c r="F18" s="1">
        <v>42279</v>
      </c>
      <c r="G18" t="s">
        <v>705</v>
      </c>
      <c r="H18">
        <v>0</v>
      </c>
      <c r="I18">
        <v>0</v>
      </c>
      <c r="J18">
        <v>1645</v>
      </c>
      <c r="K18">
        <v>0</v>
      </c>
      <c r="L18" t="s">
        <v>632</v>
      </c>
      <c r="M18">
        <v>299</v>
      </c>
      <c r="N18">
        <v>274</v>
      </c>
      <c r="O18" t="s">
        <v>204</v>
      </c>
      <c r="P18">
        <v>1668</v>
      </c>
      <c r="Q18" t="s">
        <v>724</v>
      </c>
      <c r="S18" t="s">
        <v>632</v>
      </c>
      <c r="T18" t="s">
        <v>632</v>
      </c>
    </row>
    <row r="19" spans="1:20" x14ac:dyDescent="0.35">
      <c r="A19" t="s">
        <v>949</v>
      </c>
      <c r="B19" t="s">
        <v>950</v>
      </c>
      <c r="C19" t="s">
        <v>949</v>
      </c>
      <c r="D19" t="s">
        <v>632</v>
      </c>
      <c r="E19" t="s">
        <v>37</v>
      </c>
      <c r="F19" s="1">
        <v>45506</v>
      </c>
      <c r="G19" t="s">
        <v>705</v>
      </c>
      <c r="H19">
        <v>0</v>
      </c>
      <c r="I19">
        <v>0</v>
      </c>
      <c r="J19">
        <v>23447</v>
      </c>
      <c r="K19">
        <v>0</v>
      </c>
      <c r="L19" t="s">
        <v>632</v>
      </c>
      <c r="M19">
        <v>397</v>
      </c>
      <c r="N19">
        <v>281</v>
      </c>
      <c r="O19" t="s">
        <v>949</v>
      </c>
      <c r="P19">
        <v>5658</v>
      </c>
      <c r="Q19" t="s">
        <v>950</v>
      </c>
      <c r="R19">
        <v>5659</v>
      </c>
      <c r="S19" t="s">
        <v>632</v>
      </c>
      <c r="T19" t="s">
        <v>632</v>
      </c>
    </row>
    <row r="20" spans="1:20" x14ac:dyDescent="0.35">
      <c r="A20" t="s">
        <v>951</v>
      </c>
      <c r="B20" t="s">
        <v>952</v>
      </c>
      <c r="C20" t="s">
        <v>953</v>
      </c>
      <c r="D20" t="s">
        <v>632</v>
      </c>
      <c r="E20" t="s">
        <v>181</v>
      </c>
      <c r="F20" s="1">
        <v>43217</v>
      </c>
      <c r="G20" t="s">
        <v>705</v>
      </c>
      <c r="H20">
        <v>0</v>
      </c>
      <c r="I20">
        <v>0</v>
      </c>
      <c r="J20">
        <v>2199</v>
      </c>
      <c r="K20">
        <v>0</v>
      </c>
      <c r="L20" t="s">
        <v>632</v>
      </c>
      <c r="M20">
        <v>280</v>
      </c>
      <c r="N20">
        <v>269</v>
      </c>
      <c r="O20" t="s">
        <v>951</v>
      </c>
      <c r="P20">
        <v>1822</v>
      </c>
      <c r="Q20" t="s">
        <v>952</v>
      </c>
      <c r="S20" t="s">
        <v>632</v>
      </c>
      <c r="T20" t="s">
        <v>632</v>
      </c>
    </row>
    <row r="21" spans="1:20" x14ac:dyDescent="0.35">
      <c r="A21" t="s">
        <v>954</v>
      </c>
      <c r="B21" t="s">
        <v>955</v>
      </c>
      <c r="C21" t="s">
        <v>632</v>
      </c>
      <c r="D21" t="s">
        <v>726</v>
      </c>
      <c r="E21" t="s">
        <v>30</v>
      </c>
      <c r="F21" s="1">
        <v>45562</v>
      </c>
      <c r="G21" t="s">
        <v>727</v>
      </c>
      <c r="H21">
        <v>0</v>
      </c>
      <c r="I21">
        <v>0</v>
      </c>
      <c r="J21">
        <v>23551</v>
      </c>
      <c r="K21">
        <v>0</v>
      </c>
      <c r="L21" t="s">
        <v>956</v>
      </c>
      <c r="M21">
        <v>373</v>
      </c>
      <c r="N21">
        <v>40</v>
      </c>
      <c r="O21" t="s">
        <v>954</v>
      </c>
      <c r="P21">
        <v>5808</v>
      </c>
      <c r="Q21" t="s">
        <v>957</v>
      </c>
      <c r="S21" t="s">
        <v>632</v>
      </c>
      <c r="T21" t="s">
        <v>632</v>
      </c>
    </row>
    <row r="22" spans="1:20" x14ac:dyDescent="0.35">
      <c r="A22" t="s">
        <v>162</v>
      </c>
      <c r="B22" t="s">
        <v>728</v>
      </c>
      <c r="C22" t="s">
        <v>162</v>
      </c>
      <c r="D22" t="s">
        <v>632</v>
      </c>
      <c r="E22" t="s">
        <v>729</v>
      </c>
      <c r="F22" s="1">
        <v>43742</v>
      </c>
      <c r="G22" t="s">
        <v>705</v>
      </c>
      <c r="H22">
        <v>0</v>
      </c>
      <c r="I22">
        <v>0</v>
      </c>
      <c r="J22">
        <v>2494</v>
      </c>
      <c r="K22">
        <v>0</v>
      </c>
      <c r="L22" t="s">
        <v>632</v>
      </c>
      <c r="M22">
        <v>397</v>
      </c>
      <c r="N22">
        <v>269</v>
      </c>
      <c r="O22" t="s">
        <v>162</v>
      </c>
      <c r="P22">
        <v>2582</v>
      </c>
      <c r="Q22" t="s">
        <v>728</v>
      </c>
      <c r="R22">
        <v>2587</v>
      </c>
      <c r="S22" t="s">
        <v>632</v>
      </c>
      <c r="T22" t="s">
        <v>632</v>
      </c>
    </row>
    <row r="23" spans="1:20" x14ac:dyDescent="0.35">
      <c r="A23" t="s">
        <v>192</v>
      </c>
      <c r="B23" t="s">
        <v>788</v>
      </c>
      <c r="C23" t="s">
        <v>192</v>
      </c>
      <c r="D23" t="s">
        <v>787</v>
      </c>
      <c r="E23" t="s">
        <v>789</v>
      </c>
      <c r="F23" s="1">
        <v>42573</v>
      </c>
      <c r="G23" t="s">
        <v>705</v>
      </c>
      <c r="H23">
        <v>0</v>
      </c>
      <c r="I23">
        <v>0</v>
      </c>
      <c r="J23">
        <v>1790</v>
      </c>
      <c r="K23">
        <v>0</v>
      </c>
      <c r="L23" t="s">
        <v>632</v>
      </c>
      <c r="M23">
        <v>208</v>
      </c>
      <c r="N23">
        <v>205</v>
      </c>
      <c r="O23" t="s">
        <v>192</v>
      </c>
      <c r="P23">
        <v>1695</v>
      </c>
      <c r="Q23" t="s">
        <v>788</v>
      </c>
      <c r="S23" t="s">
        <v>632</v>
      </c>
      <c r="T23" t="s">
        <v>632</v>
      </c>
    </row>
    <row r="24" spans="1:20" x14ac:dyDescent="0.35">
      <c r="A24" t="s">
        <v>301</v>
      </c>
      <c r="B24" t="s">
        <v>730</v>
      </c>
      <c r="C24" t="s">
        <v>632</v>
      </c>
      <c r="D24" t="s">
        <v>632</v>
      </c>
      <c r="E24" t="s">
        <v>632</v>
      </c>
      <c r="F24" s="1">
        <v>34639</v>
      </c>
      <c r="G24" t="s">
        <v>705</v>
      </c>
      <c r="H24">
        <v>0</v>
      </c>
      <c r="I24">
        <v>0</v>
      </c>
      <c r="J24">
        <v>41</v>
      </c>
      <c r="K24">
        <v>1</v>
      </c>
      <c r="L24" t="s">
        <v>632</v>
      </c>
      <c r="M24">
        <v>187</v>
      </c>
      <c r="N24">
        <v>187</v>
      </c>
      <c r="O24" t="s">
        <v>301</v>
      </c>
      <c r="P24">
        <v>9</v>
      </c>
      <c r="Q24" t="s">
        <v>730</v>
      </c>
      <c r="S24" t="s">
        <v>632</v>
      </c>
      <c r="T24" t="s">
        <v>632</v>
      </c>
    </row>
    <row r="25" spans="1:20" x14ac:dyDescent="0.35">
      <c r="A25" t="s">
        <v>25</v>
      </c>
      <c r="B25" t="s">
        <v>731</v>
      </c>
      <c r="C25" t="s">
        <v>632</v>
      </c>
      <c r="D25" t="s">
        <v>632</v>
      </c>
      <c r="E25" t="s">
        <v>25</v>
      </c>
      <c r="F25" s="1">
        <v>45611</v>
      </c>
      <c r="G25" t="s">
        <v>706</v>
      </c>
      <c r="H25">
        <v>0</v>
      </c>
      <c r="I25">
        <v>0</v>
      </c>
      <c r="K25">
        <v>1</v>
      </c>
      <c r="L25" t="s">
        <v>16</v>
      </c>
      <c r="M25">
        <v>46</v>
      </c>
      <c r="N25">
        <v>0</v>
      </c>
      <c r="O25" t="s">
        <v>16</v>
      </c>
      <c r="Q25" t="s">
        <v>632</v>
      </c>
      <c r="S25" t="s">
        <v>632</v>
      </c>
      <c r="T25" t="s">
        <v>632</v>
      </c>
    </row>
    <row r="26" spans="1:20" x14ac:dyDescent="0.35">
      <c r="A26" t="s">
        <v>173</v>
      </c>
      <c r="B26" t="s">
        <v>732</v>
      </c>
      <c r="C26" t="s">
        <v>173</v>
      </c>
      <c r="D26" t="s">
        <v>732</v>
      </c>
      <c r="E26" t="s">
        <v>733</v>
      </c>
      <c r="F26" s="1">
        <v>43378</v>
      </c>
      <c r="G26" t="s">
        <v>705</v>
      </c>
      <c r="H26">
        <v>0</v>
      </c>
      <c r="I26">
        <v>0</v>
      </c>
      <c r="J26">
        <v>2290</v>
      </c>
      <c r="K26">
        <v>0</v>
      </c>
      <c r="L26" t="s">
        <v>632</v>
      </c>
      <c r="M26">
        <v>273</v>
      </c>
      <c r="N26">
        <v>259</v>
      </c>
      <c r="O26" t="s">
        <v>173</v>
      </c>
      <c r="P26">
        <v>2348</v>
      </c>
      <c r="Q26" t="s">
        <v>732</v>
      </c>
      <c r="R26">
        <v>2371</v>
      </c>
      <c r="S26" t="s">
        <v>632</v>
      </c>
      <c r="T26" t="s">
        <v>632</v>
      </c>
    </row>
    <row r="27" spans="1:20" x14ac:dyDescent="0.35">
      <c r="A27" t="s">
        <v>294</v>
      </c>
      <c r="B27" t="s">
        <v>734</v>
      </c>
      <c r="C27" t="s">
        <v>632</v>
      </c>
      <c r="D27" t="s">
        <v>632</v>
      </c>
      <c r="E27" t="s">
        <v>632</v>
      </c>
      <c r="F27" s="1">
        <v>34973</v>
      </c>
      <c r="G27" t="s">
        <v>705</v>
      </c>
      <c r="H27">
        <v>0</v>
      </c>
      <c r="I27">
        <v>0</v>
      </c>
      <c r="J27">
        <v>57</v>
      </c>
      <c r="K27">
        <v>1</v>
      </c>
      <c r="L27" t="s">
        <v>632</v>
      </c>
      <c r="M27">
        <v>140</v>
      </c>
      <c r="N27">
        <v>140</v>
      </c>
      <c r="O27" t="s">
        <v>294</v>
      </c>
      <c r="P27">
        <v>14</v>
      </c>
      <c r="Q27" t="s">
        <v>734</v>
      </c>
      <c r="S27" t="s">
        <v>632</v>
      </c>
      <c r="T27" t="s">
        <v>632</v>
      </c>
    </row>
    <row r="28" spans="1:20" x14ac:dyDescent="0.35">
      <c r="A28" t="s">
        <v>298</v>
      </c>
      <c r="B28" t="s">
        <v>735</v>
      </c>
      <c r="C28" t="s">
        <v>632</v>
      </c>
      <c r="D28" t="s">
        <v>735</v>
      </c>
      <c r="E28" t="s">
        <v>632</v>
      </c>
      <c r="F28" s="1">
        <v>34853</v>
      </c>
      <c r="G28" t="s">
        <v>705</v>
      </c>
      <c r="H28">
        <v>0</v>
      </c>
      <c r="I28">
        <v>0</v>
      </c>
      <c r="J28">
        <v>58</v>
      </c>
      <c r="K28">
        <v>1</v>
      </c>
      <c r="L28" t="s">
        <v>632</v>
      </c>
      <c r="M28">
        <v>383</v>
      </c>
      <c r="N28">
        <v>383</v>
      </c>
      <c r="O28" t="s">
        <v>298</v>
      </c>
      <c r="P28">
        <v>11</v>
      </c>
      <c r="Q28" t="s">
        <v>735</v>
      </c>
      <c r="S28" t="s">
        <v>632</v>
      </c>
      <c r="T28" t="s">
        <v>632</v>
      </c>
    </row>
    <row r="29" spans="1:20" x14ac:dyDescent="0.35">
      <c r="A29" t="s">
        <v>187</v>
      </c>
      <c r="B29" t="s">
        <v>736</v>
      </c>
      <c r="C29" t="s">
        <v>187</v>
      </c>
      <c r="D29" t="s">
        <v>632</v>
      </c>
      <c r="E29" t="s">
        <v>737</v>
      </c>
      <c r="F29" s="1">
        <v>43056</v>
      </c>
      <c r="G29" t="s">
        <v>710</v>
      </c>
      <c r="H29">
        <v>0</v>
      </c>
      <c r="I29">
        <v>0</v>
      </c>
      <c r="J29">
        <v>2050</v>
      </c>
      <c r="K29">
        <v>0</v>
      </c>
      <c r="L29" t="s">
        <v>632</v>
      </c>
      <c r="M29">
        <v>249</v>
      </c>
      <c r="N29">
        <v>249</v>
      </c>
      <c r="O29" t="s">
        <v>187</v>
      </c>
      <c r="P29">
        <v>1811</v>
      </c>
      <c r="Q29" t="s">
        <v>736</v>
      </c>
      <c r="S29" t="s">
        <v>632</v>
      </c>
      <c r="T29" t="s">
        <v>632</v>
      </c>
    </row>
    <row r="30" spans="1:20" x14ac:dyDescent="0.35">
      <c r="A30" t="s">
        <v>272</v>
      </c>
      <c r="B30" t="s">
        <v>738</v>
      </c>
      <c r="C30" t="s">
        <v>739</v>
      </c>
      <c r="D30" t="s">
        <v>738</v>
      </c>
      <c r="E30" t="s">
        <v>632</v>
      </c>
      <c r="F30" s="1">
        <v>36801</v>
      </c>
      <c r="G30" t="s">
        <v>705</v>
      </c>
      <c r="H30">
        <v>0</v>
      </c>
      <c r="I30">
        <v>0</v>
      </c>
      <c r="J30">
        <v>60</v>
      </c>
      <c r="K30">
        <v>0</v>
      </c>
      <c r="L30" t="s">
        <v>632</v>
      </c>
      <c r="M30">
        <v>354</v>
      </c>
      <c r="N30">
        <v>350</v>
      </c>
      <c r="O30" t="s">
        <v>272</v>
      </c>
      <c r="P30">
        <v>34</v>
      </c>
      <c r="Q30" t="s">
        <v>738</v>
      </c>
      <c r="S30" t="s">
        <v>632</v>
      </c>
      <c r="T30" t="s">
        <v>632</v>
      </c>
    </row>
    <row r="31" spans="1:20" x14ac:dyDescent="0.35">
      <c r="A31" t="s">
        <v>16</v>
      </c>
      <c r="B31" t="s">
        <v>740</v>
      </c>
      <c r="C31" t="s">
        <v>632</v>
      </c>
      <c r="D31" t="s">
        <v>632</v>
      </c>
      <c r="E31" t="s">
        <v>632</v>
      </c>
      <c r="F31" s="1">
        <v>45611</v>
      </c>
      <c r="G31" t="s">
        <v>741</v>
      </c>
      <c r="H31">
        <v>0</v>
      </c>
      <c r="I31">
        <v>0</v>
      </c>
      <c r="J31">
        <v>23792</v>
      </c>
      <c r="K31">
        <v>1</v>
      </c>
      <c r="L31" t="s">
        <v>708</v>
      </c>
      <c r="M31">
        <v>779</v>
      </c>
      <c r="N31">
        <v>779</v>
      </c>
      <c r="O31" t="s">
        <v>16</v>
      </c>
      <c r="P31">
        <v>5932</v>
      </c>
      <c r="Q31" t="s">
        <v>740</v>
      </c>
      <c r="S31" t="s">
        <v>632</v>
      </c>
      <c r="T31" t="s">
        <v>632</v>
      </c>
    </row>
    <row r="32" spans="1:20" x14ac:dyDescent="0.35">
      <c r="A32" t="s">
        <v>212</v>
      </c>
      <c r="B32" t="s">
        <v>743</v>
      </c>
      <c r="C32" t="s">
        <v>212</v>
      </c>
      <c r="D32" t="s">
        <v>742</v>
      </c>
      <c r="E32" t="s">
        <v>744</v>
      </c>
      <c r="F32" s="1">
        <v>41761</v>
      </c>
      <c r="G32" t="s">
        <v>705</v>
      </c>
      <c r="H32">
        <v>0</v>
      </c>
      <c r="I32">
        <v>0</v>
      </c>
      <c r="J32">
        <v>1277</v>
      </c>
      <c r="K32">
        <v>0</v>
      </c>
      <c r="L32" t="s">
        <v>632</v>
      </c>
      <c r="M32">
        <v>165</v>
      </c>
      <c r="N32">
        <v>165</v>
      </c>
      <c r="O32" t="s">
        <v>212</v>
      </c>
      <c r="P32">
        <v>1481</v>
      </c>
      <c r="Q32" t="s">
        <v>743</v>
      </c>
      <c r="S32" t="s">
        <v>632</v>
      </c>
      <c r="T32" t="s">
        <v>632</v>
      </c>
    </row>
    <row r="33" spans="1:20" x14ac:dyDescent="0.35">
      <c r="A33" t="s">
        <v>243</v>
      </c>
      <c r="B33" t="s">
        <v>745</v>
      </c>
      <c r="C33" t="s">
        <v>243</v>
      </c>
      <c r="D33" t="s">
        <v>745</v>
      </c>
      <c r="E33" t="s">
        <v>746</v>
      </c>
      <c r="F33" s="1">
        <v>39367</v>
      </c>
      <c r="G33" t="s">
        <v>705</v>
      </c>
      <c r="H33">
        <v>0</v>
      </c>
      <c r="I33">
        <v>0</v>
      </c>
      <c r="J33">
        <v>67</v>
      </c>
      <c r="K33">
        <v>0</v>
      </c>
      <c r="L33" t="s">
        <v>632</v>
      </c>
      <c r="M33">
        <v>301</v>
      </c>
      <c r="N33">
        <v>301</v>
      </c>
      <c r="O33" t="s">
        <v>243</v>
      </c>
      <c r="P33">
        <v>84</v>
      </c>
      <c r="Q33" t="s">
        <v>745</v>
      </c>
      <c r="S33" t="s">
        <v>632</v>
      </c>
      <c r="T33" t="s">
        <v>632</v>
      </c>
    </row>
    <row r="34" spans="1:20" x14ac:dyDescent="0.35">
      <c r="A34" t="s">
        <v>958</v>
      </c>
      <c r="B34" t="s">
        <v>959</v>
      </c>
      <c r="C34" t="s">
        <v>958</v>
      </c>
      <c r="D34" t="s">
        <v>700</v>
      </c>
      <c r="E34" t="s">
        <v>227</v>
      </c>
      <c r="F34" s="1">
        <v>40375</v>
      </c>
      <c r="G34" t="s">
        <v>702</v>
      </c>
      <c r="H34">
        <v>0</v>
      </c>
      <c r="I34">
        <v>0</v>
      </c>
      <c r="J34">
        <v>69</v>
      </c>
      <c r="K34">
        <v>0</v>
      </c>
      <c r="L34" t="s">
        <v>632</v>
      </c>
      <c r="M34">
        <v>249</v>
      </c>
      <c r="N34">
        <v>249</v>
      </c>
      <c r="O34" t="s">
        <v>958</v>
      </c>
      <c r="P34">
        <v>1197</v>
      </c>
      <c r="Q34" t="s">
        <v>959</v>
      </c>
      <c r="S34" t="s">
        <v>632</v>
      </c>
      <c r="T34" t="s">
        <v>632</v>
      </c>
    </row>
    <row r="35" spans="1:20" x14ac:dyDescent="0.35">
      <c r="A35" t="s">
        <v>960</v>
      </c>
      <c r="B35" t="s">
        <v>961</v>
      </c>
      <c r="C35" t="s">
        <v>632</v>
      </c>
      <c r="D35" t="s">
        <v>726</v>
      </c>
      <c r="E35" t="s">
        <v>59</v>
      </c>
      <c r="F35" s="1">
        <v>45457</v>
      </c>
      <c r="G35" t="s">
        <v>727</v>
      </c>
      <c r="H35">
        <v>0</v>
      </c>
      <c r="I35">
        <v>0</v>
      </c>
      <c r="J35">
        <v>23445</v>
      </c>
      <c r="K35">
        <v>0</v>
      </c>
      <c r="L35" t="s">
        <v>714</v>
      </c>
      <c r="M35">
        <v>398</v>
      </c>
      <c r="N35">
        <v>16</v>
      </c>
      <c r="O35" t="s">
        <v>960</v>
      </c>
      <c r="P35">
        <v>5657</v>
      </c>
      <c r="Q35" t="s">
        <v>962</v>
      </c>
      <c r="S35" t="s">
        <v>632</v>
      </c>
      <c r="T35" t="s">
        <v>632</v>
      </c>
    </row>
    <row r="36" spans="1:20" x14ac:dyDescent="0.35">
      <c r="A36" t="s">
        <v>238</v>
      </c>
      <c r="B36" t="s">
        <v>747</v>
      </c>
      <c r="C36" t="s">
        <v>238</v>
      </c>
      <c r="D36" t="s">
        <v>632</v>
      </c>
      <c r="E36" t="s">
        <v>632</v>
      </c>
      <c r="F36" s="1">
        <v>40063</v>
      </c>
      <c r="G36" t="s">
        <v>710</v>
      </c>
      <c r="H36">
        <v>1</v>
      </c>
      <c r="I36">
        <v>0</v>
      </c>
      <c r="K36">
        <v>0</v>
      </c>
      <c r="L36" t="s">
        <v>632</v>
      </c>
      <c r="M36">
        <v>230</v>
      </c>
      <c r="N36">
        <v>230</v>
      </c>
      <c r="O36" t="s">
        <v>238</v>
      </c>
      <c r="Q36" t="s">
        <v>632</v>
      </c>
      <c r="S36" t="s">
        <v>632</v>
      </c>
      <c r="T36" t="s">
        <v>632</v>
      </c>
    </row>
    <row r="37" spans="1:20" x14ac:dyDescent="0.35">
      <c r="A37" t="s">
        <v>97</v>
      </c>
      <c r="B37" t="s">
        <v>748</v>
      </c>
      <c r="C37" t="s">
        <v>97</v>
      </c>
      <c r="D37" t="s">
        <v>903</v>
      </c>
      <c r="E37" t="s">
        <v>749</v>
      </c>
      <c r="F37" s="1">
        <v>44365</v>
      </c>
      <c r="G37" t="s">
        <v>741</v>
      </c>
      <c r="H37">
        <v>0</v>
      </c>
      <c r="I37">
        <v>0</v>
      </c>
      <c r="J37">
        <v>2809</v>
      </c>
      <c r="K37">
        <v>0</v>
      </c>
      <c r="L37" t="s">
        <v>632</v>
      </c>
      <c r="M37">
        <v>492</v>
      </c>
      <c r="N37">
        <v>303</v>
      </c>
      <c r="O37" t="s">
        <v>97</v>
      </c>
      <c r="P37">
        <v>4219</v>
      </c>
      <c r="Q37" t="s">
        <v>748</v>
      </c>
      <c r="R37">
        <v>4244</v>
      </c>
      <c r="S37" t="s">
        <v>632</v>
      </c>
      <c r="T37" t="s">
        <v>632</v>
      </c>
    </row>
    <row r="38" spans="1:20" x14ac:dyDescent="0.35">
      <c r="A38" t="s">
        <v>88</v>
      </c>
      <c r="B38" t="s">
        <v>750</v>
      </c>
      <c r="C38" t="s">
        <v>88</v>
      </c>
      <c r="D38" t="s">
        <v>716</v>
      </c>
      <c r="E38" t="s">
        <v>751</v>
      </c>
      <c r="F38" s="1">
        <v>44463</v>
      </c>
      <c r="G38" t="s">
        <v>705</v>
      </c>
      <c r="H38">
        <v>0</v>
      </c>
      <c r="I38">
        <v>0</v>
      </c>
      <c r="J38">
        <v>2864</v>
      </c>
      <c r="K38">
        <v>0</v>
      </c>
      <c r="L38" t="s">
        <v>632</v>
      </c>
      <c r="M38">
        <v>392</v>
      </c>
      <c r="N38">
        <v>277</v>
      </c>
      <c r="O38" t="s">
        <v>88</v>
      </c>
      <c r="P38">
        <v>4362</v>
      </c>
      <c r="Q38" t="s">
        <v>750</v>
      </c>
      <c r="R38">
        <v>4363</v>
      </c>
      <c r="S38" t="s">
        <v>632</v>
      </c>
      <c r="T38" t="s">
        <v>632</v>
      </c>
    </row>
    <row r="39" spans="1:20" x14ac:dyDescent="0.35">
      <c r="A39" t="s">
        <v>963</v>
      </c>
      <c r="B39" t="s">
        <v>964</v>
      </c>
      <c r="C39" t="s">
        <v>963</v>
      </c>
      <c r="D39" t="s">
        <v>632</v>
      </c>
      <c r="E39" t="s">
        <v>63</v>
      </c>
      <c r="F39" s="1">
        <v>45331</v>
      </c>
      <c r="G39" t="s">
        <v>705</v>
      </c>
      <c r="H39">
        <v>0</v>
      </c>
      <c r="I39">
        <v>0</v>
      </c>
      <c r="J39">
        <v>23361</v>
      </c>
      <c r="K39">
        <v>0</v>
      </c>
      <c r="L39" t="s">
        <v>632</v>
      </c>
      <c r="M39">
        <v>451</v>
      </c>
      <c r="N39">
        <v>286</v>
      </c>
      <c r="O39" t="s">
        <v>963</v>
      </c>
      <c r="P39">
        <v>5561</v>
      </c>
      <c r="Q39" t="s">
        <v>964</v>
      </c>
      <c r="R39">
        <v>5599</v>
      </c>
      <c r="S39" t="s">
        <v>632</v>
      </c>
      <c r="T39" t="s">
        <v>632</v>
      </c>
    </row>
    <row r="40" spans="1:20" x14ac:dyDescent="0.35">
      <c r="A40" t="s">
        <v>276</v>
      </c>
      <c r="B40" t="s">
        <v>753</v>
      </c>
      <c r="C40" t="s">
        <v>754</v>
      </c>
      <c r="D40" t="s">
        <v>752</v>
      </c>
      <c r="E40" t="s">
        <v>632</v>
      </c>
      <c r="F40" s="1">
        <v>36437</v>
      </c>
      <c r="G40" t="s">
        <v>705</v>
      </c>
      <c r="H40">
        <v>0</v>
      </c>
      <c r="I40">
        <v>0</v>
      </c>
      <c r="J40">
        <v>73</v>
      </c>
      <c r="K40">
        <v>0</v>
      </c>
      <c r="L40" t="s">
        <v>632</v>
      </c>
      <c r="M40">
        <v>350</v>
      </c>
      <c r="N40">
        <v>350</v>
      </c>
      <c r="O40" t="s">
        <v>276</v>
      </c>
      <c r="P40">
        <v>31</v>
      </c>
      <c r="Q40" t="s">
        <v>753</v>
      </c>
      <c r="S40" t="s">
        <v>632</v>
      </c>
      <c r="T40" t="s">
        <v>632</v>
      </c>
    </row>
    <row r="41" spans="1:20" x14ac:dyDescent="0.35">
      <c r="A41" t="s">
        <v>198</v>
      </c>
      <c r="B41" t="s">
        <v>755</v>
      </c>
      <c r="C41" t="s">
        <v>198</v>
      </c>
      <c r="D41" t="s">
        <v>724</v>
      </c>
      <c r="E41" t="s">
        <v>756</v>
      </c>
      <c r="F41" s="1">
        <v>42391</v>
      </c>
      <c r="G41" t="s">
        <v>705</v>
      </c>
      <c r="H41">
        <v>0</v>
      </c>
      <c r="I41">
        <v>0</v>
      </c>
      <c r="J41">
        <v>1693</v>
      </c>
      <c r="K41">
        <v>0</v>
      </c>
      <c r="L41" t="s">
        <v>632</v>
      </c>
      <c r="M41">
        <v>187</v>
      </c>
      <c r="N41">
        <v>184</v>
      </c>
      <c r="O41" t="s">
        <v>198</v>
      </c>
      <c r="P41">
        <v>1676</v>
      </c>
      <c r="Q41" t="s">
        <v>755</v>
      </c>
      <c r="S41" t="s">
        <v>632</v>
      </c>
      <c r="T41" t="s">
        <v>632</v>
      </c>
    </row>
    <row r="42" spans="1:20" x14ac:dyDescent="0.35">
      <c r="A42" t="s">
        <v>261</v>
      </c>
      <c r="B42" t="s">
        <v>757</v>
      </c>
      <c r="C42" t="s">
        <v>261</v>
      </c>
      <c r="D42" t="s">
        <v>757</v>
      </c>
      <c r="E42" t="s">
        <v>632</v>
      </c>
      <c r="F42" s="1">
        <v>37536</v>
      </c>
      <c r="G42" t="s">
        <v>705</v>
      </c>
      <c r="H42">
        <v>0</v>
      </c>
      <c r="I42">
        <v>0</v>
      </c>
      <c r="J42">
        <v>81</v>
      </c>
      <c r="K42">
        <v>0</v>
      </c>
      <c r="L42" t="s">
        <v>632</v>
      </c>
      <c r="M42">
        <v>351</v>
      </c>
      <c r="N42">
        <v>350</v>
      </c>
      <c r="O42" t="s">
        <v>261</v>
      </c>
      <c r="P42">
        <v>41</v>
      </c>
      <c r="Q42" t="s">
        <v>757</v>
      </c>
      <c r="S42" t="s">
        <v>632</v>
      </c>
      <c r="T42" t="s">
        <v>632</v>
      </c>
    </row>
    <row r="43" spans="1:20" x14ac:dyDescent="0.35">
      <c r="A43" t="s">
        <v>221</v>
      </c>
      <c r="B43" t="s">
        <v>760</v>
      </c>
      <c r="C43" t="s">
        <v>632</v>
      </c>
      <c r="D43" t="s">
        <v>758</v>
      </c>
      <c r="E43" t="s">
        <v>632</v>
      </c>
      <c r="F43" s="1">
        <v>41027</v>
      </c>
      <c r="G43" t="s">
        <v>761</v>
      </c>
      <c r="H43">
        <v>0</v>
      </c>
      <c r="I43">
        <v>0</v>
      </c>
      <c r="J43">
        <v>362</v>
      </c>
      <c r="K43">
        <v>0</v>
      </c>
      <c r="L43" t="s">
        <v>759</v>
      </c>
      <c r="M43">
        <v>6</v>
      </c>
      <c r="N43">
        <v>6</v>
      </c>
      <c r="O43" t="s">
        <v>759</v>
      </c>
      <c r="Q43" t="s">
        <v>632</v>
      </c>
      <c r="S43" t="s">
        <v>632</v>
      </c>
      <c r="T43" t="s">
        <v>632</v>
      </c>
    </row>
    <row r="44" spans="1:20" x14ac:dyDescent="0.35">
      <c r="A44" t="s">
        <v>4</v>
      </c>
      <c r="B44" t="s">
        <v>762</v>
      </c>
      <c r="C44" t="s">
        <v>632</v>
      </c>
      <c r="D44" t="s">
        <v>632</v>
      </c>
      <c r="E44" t="s">
        <v>632</v>
      </c>
      <c r="F44" s="1">
        <v>45636</v>
      </c>
      <c r="G44" t="s">
        <v>710</v>
      </c>
      <c r="H44">
        <v>1</v>
      </c>
      <c r="I44">
        <v>0</v>
      </c>
      <c r="K44">
        <v>1</v>
      </c>
      <c r="L44" t="s">
        <v>632</v>
      </c>
      <c r="M44">
        <v>398</v>
      </c>
      <c r="N44">
        <v>278</v>
      </c>
      <c r="O44" t="s">
        <v>4</v>
      </c>
      <c r="Q44" t="s">
        <v>632</v>
      </c>
      <c r="S44" t="s">
        <v>632</v>
      </c>
      <c r="T44" t="s">
        <v>632</v>
      </c>
    </row>
    <row r="45" spans="1:20" x14ac:dyDescent="0.35">
      <c r="A45" t="s">
        <v>115</v>
      </c>
      <c r="B45" t="s">
        <v>764</v>
      </c>
      <c r="C45" t="s">
        <v>632</v>
      </c>
      <c r="D45" t="s">
        <v>632</v>
      </c>
      <c r="E45" t="s">
        <v>632</v>
      </c>
      <c r="F45" s="1">
        <v>44232</v>
      </c>
      <c r="G45" t="s">
        <v>761</v>
      </c>
      <c r="H45">
        <v>0</v>
      </c>
      <c r="I45">
        <v>0</v>
      </c>
      <c r="J45">
        <v>2770</v>
      </c>
      <c r="K45">
        <v>0</v>
      </c>
      <c r="L45" t="s">
        <v>763</v>
      </c>
      <c r="M45">
        <v>158</v>
      </c>
      <c r="N45">
        <v>1</v>
      </c>
      <c r="O45" t="s">
        <v>763</v>
      </c>
      <c r="Q45" t="s">
        <v>632</v>
      </c>
      <c r="S45" t="s">
        <v>632</v>
      </c>
      <c r="T45" t="s">
        <v>632</v>
      </c>
    </row>
    <row r="46" spans="1:20" x14ac:dyDescent="0.35">
      <c r="A46" t="s">
        <v>122</v>
      </c>
      <c r="B46" t="s">
        <v>766</v>
      </c>
      <c r="C46" t="s">
        <v>632</v>
      </c>
      <c r="D46" t="s">
        <v>632</v>
      </c>
      <c r="E46" t="s">
        <v>122</v>
      </c>
      <c r="F46" s="1">
        <v>44100</v>
      </c>
      <c r="G46" t="s">
        <v>710</v>
      </c>
      <c r="H46">
        <v>0</v>
      </c>
      <c r="I46">
        <v>0</v>
      </c>
      <c r="J46">
        <v>2715</v>
      </c>
      <c r="K46">
        <v>0</v>
      </c>
      <c r="L46" t="s">
        <v>632</v>
      </c>
      <c r="M46">
        <v>4985</v>
      </c>
      <c r="N46">
        <v>5075</v>
      </c>
      <c r="O46" t="s">
        <v>765</v>
      </c>
      <c r="P46">
        <v>3494</v>
      </c>
      <c r="Q46" t="s">
        <v>766</v>
      </c>
      <c r="S46" t="s">
        <v>632</v>
      </c>
      <c r="T46" t="s">
        <v>632</v>
      </c>
    </row>
    <row r="47" spans="1:20" x14ac:dyDescent="0.35">
      <c r="A47" t="s">
        <v>266</v>
      </c>
      <c r="B47" t="s">
        <v>768</v>
      </c>
      <c r="C47" t="s">
        <v>266</v>
      </c>
      <c r="D47" t="s">
        <v>632</v>
      </c>
      <c r="E47" t="s">
        <v>632</v>
      </c>
      <c r="F47" s="1">
        <v>37431</v>
      </c>
      <c r="G47" t="s">
        <v>761</v>
      </c>
      <c r="H47">
        <v>1</v>
      </c>
      <c r="I47">
        <v>0</v>
      </c>
      <c r="K47">
        <v>0</v>
      </c>
      <c r="L47" t="s">
        <v>632</v>
      </c>
      <c r="M47">
        <v>3110</v>
      </c>
      <c r="N47">
        <v>3110</v>
      </c>
      <c r="O47" t="s">
        <v>767</v>
      </c>
      <c r="Q47" t="s">
        <v>632</v>
      </c>
      <c r="S47" t="s">
        <v>632</v>
      </c>
      <c r="T47" t="s">
        <v>632</v>
      </c>
    </row>
    <row r="48" spans="1:20" x14ac:dyDescent="0.35">
      <c r="A48" t="s">
        <v>250</v>
      </c>
      <c r="B48" t="s">
        <v>770</v>
      </c>
      <c r="C48" t="s">
        <v>250</v>
      </c>
      <c r="D48" t="s">
        <v>769</v>
      </c>
      <c r="E48" t="s">
        <v>632</v>
      </c>
      <c r="F48" s="1">
        <v>38632</v>
      </c>
      <c r="G48" t="s">
        <v>705</v>
      </c>
      <c r="H48">
        <v>0</v>
      </c>
      <c r="I48">
        <v>0</v>
      </c>
      <c r="J48">
        <v>95</v>
      </c>
      <c r="K48">
        <v>0</v>
      </c>
      <c r="L48" t="s">
        <v>632</v>
      </c>
      <c r="M48">
        <v>306</v>
      </c>
      <c r="N48">
        <v>306</v>
      </c>
      <c r="O48" t="s">
        <v>250</v>
      </c>
      <c r="P48">
        <v>55</v>
      </c>
      <c r="Q48" t="s">
        <v>770</v>
      </c>
      <c r="S48" t="s">
        <v>632</v>
      </c>
      <c r="T48" t="s">
        <v>632</v>
      </c>
    </row>
    <row r="49" spans="1:20" x14ac:dyDescent="0.35">
      <c r="A49" t="s">
        <v>215</v>
      </c>
      <c r="B49" t="s">
        <v>771</v>
      </c>
      <c r="C49" t="s">
        <v>215</v>
      </c>
      <c r="D49" t="s">
        <v>771</v>
      </c>
      <c r="E49" t="s">
        <v>772</v>
      </c>
      <c r="F49" s="1">
        <v>41187</v>
      </c>
      <c r="G49" t="s">
        <v>705</v>
      </c>
      <c r="H49">
        <v>0</v>
      </c>
      <c r="I49">
        <v>0</v>
      </c>
      <c r="J49">
        <v>370</v>
      </c>
      <c r="K49">
        <v>0</v>
      </c>
      <c r="L49" t="s">
        <v>632</v>
      </c>
      <c r="M49">
        <v>274</v>
      </c>
      <c r="N49">
        <v>274</v>
      </c>
      <c r="O49" t="s">
        <v>215</v>
      </c>
      <c r="P49">
        <v>1389</v>
      </c>
      <c r="Q49" t="s">
        <v>771</v>
      </c>
      <c r="S49" t="s">
        <v>632</v>
      </c>
      <c r="T49" t="s">
        <v>632</v>
      </c>
    </row>
    <row r="50" spans="1:20" x14ac:dyDescent="0.35">
      <c r="A50" t="s">
        <v>68</v>
      </c>
      <c r="B50" t="s">
        <v>773</v>
      </c>
      <c r="C50" t="s">
        <v>632</v>
      </c>
      <c r="D50" t="s">
        <v>632</v>
      </c>
      <c r="E50" t="s">
        <v>632</v>
      </c>
      <c r="F50" s="1">
        <v>45247</v>
      </c>
      <c r="G50" t="s">
        <v>774</v>
      </c>
      <c r="H50">
        <v>0</v>
      </c>
      <c r="I50">
        <v>0</v>
      </c>
      <c r="J50">
        <v>23318</v>
      </c>
      <c r="K50">
        <v>0</v>
      </c>
      <c r="L50" t="s">
        <v>632</v>
      </c>
      <c r="M50">
        <v>154</v>
      </c>
      <c r="N50">
        <v>0</v>
      </c>
      <c r="O50" t="s">
        <v>68</v>
      </c>
      <c r="P50">
        <v>5523</v>
      </c>
      <c r="Q50" t="s">
        <v>773</v>
      </c>
      <c r="S50" t="s">
        <v>632</v>
      </c>
      <c r="T50" t="s">
        <v>632</v>
      </c>
    </row>
    <row r="51" spans="1:20" x14ac:dyDescent="0.35">
      <c r="A51" t="s">
        <v>156</v>
      </c>
      <c r="B51" t="s">
        <v>775</v>
      </c>
      <c r="C51" t="s">
        <v>156</v>
      </c>
      <c r="D51" t="s">
        <v>632</v>
      </c>
      <c r="E51" t="s">
        <v>776</v>
      </c>
      <c r="F51" s="1">
        <v>43854</v>
      </c>
      <c r="G51" t="s">
        <v>705</v>
      </c>
      <c r="H51">
        <v>0</v>
      </c>
      <c r="I51">
        <v>0</v>
      </c>
      <c r="J51">
        <v>2568</v>
      </c>
      <c r="K51">
        <v>0</v>
      </c>
      <c r="L51" t="s">
        <v>632</v>
      </c>
      <c r="M51">
        <v>358</v>
      </c>
      <c r="N51">
        <v>254</v>
      </c>
      <c r="O51" t="s">
        <v>156</v>
      </c>
      <c r="P51">
        <v>2814</v>
      </c>
      <c r="Q51" t="s">
        <v>775</v>
      </c>
      <c r="R51">
        <v>2961</v>
      </c>
      <c r="S51" t="s">
        <v>632</v>
      </c>
      <c r="T51" t="s">
        <v>632</v>
      </c>
    </row>
    <row r="52" spans="1:20" x14ac:dyDescent="0.35">
      <c r="A52" t="s">
        <v>151</v>
      </c>
      <c r="B52" t="s">
        <v>777</v>
      </c>
      <c r="C52" t="s">
        <v>632</v>
      </c>
      <c r="D52" t="s">
        <v>632</v>
      </c>
      <c r="E52" t="s">
        <v>778</v>
      </c>
      <c r="F52" s="1">
        <v>43890</v>
      </c>
      <c r="G52" t="s">
        <v>779</v>
      </c>
      <c r="H52">
        <v>0</v>
      </c>
      <c r="I52">
        <v>0</v>
      </c>
      <c r="J52">
        <v>2598</v>
      </c>
      <c r="K52">
        <v>0</v>
      </c>
      <c r="L52" t="s">
        <v>632</v>
      </c>
      <c r="M52">
        <v>96</v>
      </c>
      <c r="N52">
        <v>96</v>
      </c>
      <c r="O52" t="s">
        <v>151</v>
      </c>
      <c r="P52">
        <v>2809</v>
      </c>
      <c r="Q52" t="s">
        <v>777</v>
      </c>
      <c r="S52" t="s">
        <v>632</v>
      </c>
      <c r="T52" t="s">
        <v>632</v>
      </c>
    </row>
    <row r="53" spans="1:20" x14ac:dyDescent="0.35">
      <c r="A53" t="s">
        <v>287</v>
      </c>
      <c r="B53" t="s">
        <v>978</v>
      </c>
      <c r="C53" t="s">
        <v>781</v>
      </c>
      <c r="D53" t="s">
        <v>780</v>
      </c>
      <c r="E53" t="s">
        <v>632</v>
      </c>
      <c r="F53" s="1">
        <v>36080</v>
      </c>
      <c r="G53" t="s">
        <v>705</v>
      </c>
      <c r="H53">
        <v>0</v>
      </c>
      <c r="I53">
        <v>0</v>
      </c>
      <c r="J53">
        <v>118</v>
      </c>
      <c r="K53">
        <v>0</v>
      </c>
      <c r="L53" t="s">
        <v>632</v>
      </c>
      <c r="M53">
        <v>357</v>
      </c>
      <c r="N53">
        <v>350</v>
      </c>
      <c r="O53" t="s">
        <v>287</v>
      </c>
      <c r="P53">
        <v>26</v>
      </c>
      <c r="Q53" t="s">
        <v>978</v>
      </c>
      <c r="S53" t="s">
        <v>632</v>
      </c>
      <c r="T53" t="s">
        <v>632</v>
      </c>
    </row>
    <row r="54" spans="1:20" x14ac:dyDescent="0.35">
      <c r="A54" t="s">
        <v>72</v>
      </c>
      <c r="B54" t="s">
        <v>782</v>
      </c>
      <c r="C54" t="s">
        <v>632</v>
      </c>
      <c r="D54" t="s">
        <v>726</v>
      </c>
      <c r="E54" t="s">
        <v>783</v>
      </c>
      <c r="F54" s="1">
        <v>45212</v>
      </c>
      <c r="G54" t="s">
        <v>727</v>
      </c>
      <c r="H54">
        <v>0</v>
      </c>
      <c r="I54">
        <v>0</v>
      </c>
      <c r="J54">
        <v>23165</v>
      </c>
      <c r="K54">
        <v>0</v>
      </c>
      <c r="L54" t="s">
        <v>632</v>
      </c>
      <c r="M54">
        <v>1178</v>
      </c>
      <c r="N54">
        <v>331</v>
      </c>
      <c r="O54" t="s">
        <v>72</v>
      </c>
      <c r="P54">
        <v>5424</v>
      </c>
      <c r="Q54" t="s">
        <v>904</v>
      </c>
      <c r="S54" t="s">
        <v>632</v>
      </c>
      <c r="T54" t="s">
        <v>632</v>
      </c>
    </row>
    <row r="55" spans="1:20" x14ac:dyDescent="0.35">
      <c r="A55" t="s">
        <v>231</v>
      </c>
      <c r="B55" t="s">
        <v>784</v>
      </c>
      <c r="C55" t="s">
        <v>231</v>
      </c>
      <c r="D55" t="s">
        <v>784</v>
      </c>
      <c r="E55" t="s">
        <v>785</v>
      </c>
      <c r="F55" s="1">
        <v>40088</v>
      </c>
      <c r="G55" t="s">
        <v>705</v>
      </c>
      <c r="H55">
        <v>0</v>
      </c>
      <c r="I55">
        <v>0</v>
      </c>
      <c r="J55">
        <v>124</v>
      </c>
      <c r="K55">
        <v>0</v>
      </c>
      <c r="L55" t="s">
        <v>632</v>
      </c>
      <c r="M55">
        <v>269</v>
      </c>
      <c r="N55">
        <v>249</v>
      </c>
      <c r="O55" t="s">
        <v>231</v>
      </c>
      <c r="P55">
        <v>114</v>
      </c>
      <c r="Q55" t="s">
        <v>784</v>
      </c>
      <c r="S55" t="s">
        <v>632</v>
      </c>
      <c r="T55" t="s">
        <v>632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22ED8-3D0F-41D3-9490-9CE772BCF21B}">
  <dimension ref="A1:G23"/>
  <sheetViews>
    <sheetView workbookViewId="0">
      <selection activeCell="B12" sqref="B12"/>
    </sheetView>
  </sheetViews>
  <sheetFormatPr defaultRowHeight="14.5" x14ac:dyDescent="0.35"/>
  <cols>
    <col min="1" max="1" width="5.81640625" bestFit="1" customWidth="1"/>
    <col min="2" max="2" width="35.90625" bestFit="1" customWidth="1"/>
    <col min="3" max="3" width="13.54296875" bestFit="1" customWidth="1"/>
    <col min="4" max="4" width="15" bestFit="1" customWidth="1"/>
    <col min="5" max="5" width="11.08984375" bestFit="1" customWidth="1"/>
    <col min="6" max="6" width="10.6328125" bestFit="1" customWidth="1"/>
    <col min="7" max="7" width="7.90625" bestFit="1" customWidth="1"/>
  </cols>
  <sheetData>
    <row r="1" spans="1:7" x14ac:dyDescent="0.35">
      <c r="A1" t="s">
        <v>679</v>
      </c>
      <c r="B1" t="s">
        <v>324</v>
      </c>
      <c r="C1" t="s">
        <v>310</v>
      </c>
      <c r="D1" t="s">
        <v>311</v>
      </c>
      <c r="E1" t="s">
        <v>312</v>
      </c>
      <c r="F1" t="s">
        <v>313</v>
      </c>
      <c r="G1" t="s">
        <v>314</v>
      </c>
    </row>
    <row r="2" spans="1:7" x14ac:dyDescent="0.35">
      <c r="A2">
        <v>7546</v>
      </c>
      <c r="B2" t="s">
        <v>164</v>
      </c>
      <c r="C2">
        <v>1</v>
      </c>
      <c r="D2">
        <v>0</v>
      </c>
      <c r="E2" t="s">
        <v>315</v>
      </c>
      <c r="F2" t="s">
        <v>11</v>
      </c>
      <c r="G2" t="s">
        <v>51</v>
      </c>
    </row>
    <row r="3" spans="1:7" x14ac:dyDescent="0.35">
      <c r="A3">
        <v>10001</v>
      </c>
      <c r="B3" t="s">
        <v>133</v>
      </c>
      <c r="C3">
        <v>1</v>
      </c>
      <c r="D3">
        <v>0</v>
      </c>
      <c r="E3" t="s">
        <v>315</v>
      </c>
      <c r="F3" t="s">
        <v>11</v>
      </c>
      <c r="G3" t="s">
        <v>13</v>
      </c>
    </row>
    <row r="4" spans="1:7" x14ac:dyDescent="0.35">
      <c r="A4">
        <v>2970</v>
      </c>
      <c r="B4" t="s">
        <v>138</v>
      </c>
      <c r="C4">
        <v>1</v>
      </c>
      <c r="D4">
        <v>0</v>
      </c>
      <c r="E4" t="s">
        <v>315</v>
      </c>
      <c r="F4" t="s">
        <v>11</v>
      </c>
      <c r="G4" t="s">
        <v>13</v>
      </c>
    </row>
    <row r="5" spans="1:7" x14ac:dyDescent="0.35">
      <c r="A5">
        <v>11081</v>
      </c>
      <c r="B5" t="s">
        <v>202</v>
      </c>
      <c r="C5">
        <v>2</v>
      </c>
      <c r="D5">
        <v>0</v>
      </c>
      <c r="E5" t="s">
        <v>315</v>
      </c>
      <c r="F5" t="s">
        <v>11</v>
      </c>
      <c r="G5" t="s">
        <v>13</v>
      </c>
    </row>
    <row r="6" spans="1:7" x14ac:dyDescent="0.35">
      <c r="A6">
        <v>4454</v>
      </c>
      <c r="B6" t="s">
        <v>248</v>
      </c>
      <c r="C6">
        <v>1</v>
      </c>
      <c r="D6">
        <v>0</v>
      </c>
      <c r="E6" t="s">
        <v>316</v>
      </c>
      <c r="F6" t="s">
        <v>11</v>
      </c>
      <c r="G6" t="s">
        <v>13</v>
      </c>
    </row>
    <row r="7" spans="1:7" x14ac:dyDescent="0.35">
      <c r="A7">
        <v>8052</v>
      </c>
      <c r="B7" t="s">
        <v>210</v>
      </c>
      <c r="C7">
        <v>1</v>
      </c>
      <c r="D7">
        <v>0</v>
      </c>
      <c r="E7" t="s">
        <v>315</v>
      </c>
      <c r="F7" t="s">
        <v>11</v>
      </c>
      <c r="G7" t="s">
        <v>13</v>
      </c>
    </row>
    <row r="8" spans="1:7" x14ac:dyDescent="0.35">
      <c r="A8">
        <v>5388</v>
      </c>
      <c r="B8" t="s">
        <v>274</v>
      </c>
      <c r="C8">
        <v>1</v>
      </c>
      <c r="D8">
        <v>0</v>
      </c>
      <c r="E8" t="s">
        <v>315</v>
      </c>
      <c r="F8" t="s">
        <v>11</v>
      </c>
      <c r="G8" t="s">
        <v>13</v>
      </c>
    </row>
    <row r="9" spans="1:7" x14ac:dyDescent="0.35">
      <c r="A9">
        <v>4798</v>
      </c>
      <c r="B9" t="s">
        <v>236</v>
      </c>
      <c r="C9">
        <v>1</v>
      </c>
      <c r="D9">
        <v>0</v>
      </c>
      <c r="E9" t="s">
        <v>315</v>
      </c>
      <c r="F9" t="s">
        <v>11</v>
      </c>
      <c r="G9" t="s">
        <v>51</v>
      </c>
    </row>
    <row r="10" spans="1:7" x14ac:dyDescent="0.35">
      <c r="A10">
        <v>6245</v>
      </c>
      <c r="B10" t="s">
        <v>254</v>
      </c>
      <c r="C10">
        <v>4</v>
      </c>
      <c r="D10">
        <v>1</v>
      </c>
      <c r="E10" t="s">
        <v>316</v>
      </c>
      <c r="F10" t="s">
        <v>317</v>
      </c>
      <c r="G10" t="s">
        <v>13</v>
      </c>
    </row>
    <row r="11" spans="1:7" x14ac:dyDescent="0.35">
      <c r="A11">
        <v>11808</v>
      </c>
      <c r="B11" t="s">
        <v>299</v>
      </c>
      <c r="C11">
        <v>1</v>
      </c>
      <c r="D11">
        <v>0</v>
      </c>
      <c r="E11" t="s">
        <v>315</v>
      </c>
      <c r="F11" t="s">
        <v>11</v>
      </c>
      <c r="G11" t="s">
        <v>13</v>
      </c>
    </row>
    <row r="12" spans="1:7" x14ac:dyDescent="0.35">
      <c r="A12">
        <v>8721</v>
      </c>
      <c r="B12" t="s">
        <v>309</v>
      </c>
      <c r="C12">
        <v>2</v>
      </c>
      <c r="D12">
        <v>0</v>
      </c>
      <c r="E12" t="s">
        <v>315</v>
      </c>
      <c r="F12" t="s">
        <v>11</v>
      </c>
      <c r="G12" t="s">
        <v>13</v>
      </c>
    </row>
    <row r="13" spans="1:7" x14ac:dyDescent="0.35">
      <c r="A13">
        <v>10980</v>
      </c>
      <c r="B13" t="s">
        <v>305</v>
      </c>
      <c r="C13">
        <v>7</v>
      </c>
      <c r="D13">
        <v>3</v>
      </c>
      <c r="E13" t="s">
        <v>315</v>
      </c>
      <c r="F13" t="s">
        <v>11</v>
      </c>
      <c r="G13" t="s">
        <v>13</v>
      </c>
    </row>
    <row r="14" spans="1:7" x14ac:dyDescent="0.35">
      <c r="A14">
        <v>5339</v>
      </c>
      <c r="B14" t="s">
        <v>296</v>
      </c>
      <c r="C14">
        <v>2</v>
      </c>
      <c r="D14">
        <v>0</v>
      </c>
      <c r="E14" t="s">
        <v>315</v>
      </c>
      <c r="F14" t="s">
        <v>11</v>
      </c>
      <c r="G14" t="s">
        <v>13</v>
      </c>
    </row>
    <row r="15" spans="1:7" x14ac:dyDescent="0.35">
      <c r="A15">
        <v>10772</v>
      </c>
      <c r="B15" t="s">
        <v>264</v>
      </c>
      <c r="C15">
        <v>3</v>
      </c>
      <c r="D15">
        <v>0</v>
      </c>
      <c r="E15" t="s">
        <v>315</v>
      </c>
      <c r="F15" t="s">
        <v>11</v>
      </c>
      <c r="G15" t="s">
        <v>13</v>
      </c>
    </row>
    <row r="16" spans="1:7" x14ac:dyDescent="0.35">
      <c r="A16">
        <v>11817</v>
      </c>
      <c r="B16" t="s">
        <v>292</v>
      </c>
      <c r="C16">
        <v>2</v>
      </c>
      <c r="D16">
        <v>0</v>
      </c>
      <c r="E16" t="s">
        <v>315</v>
      </c>
      <c r="F16" t="s">
        <v>318</v>
      </c>
      <c r="G16" t="s">
        <v>13</v>
      </c>
    </row>
    <row r="17" spans="1:7" x14ac:dyDescent="0.35">
      <c r="A17">
        <v>8163</v>
      </c>
      <c r="B17" t="s">
        <v>102</v>
      </c>
      <c r="C17">
        <v>1</v>
      </c>
      <c r="D17">
        <v>1</v>
      </c>
      <c r="E17" t="s">
        <v>315</v>
      </c>
      <c r="F17" t="s">
        <v>318</v>
      </c>
      <c r="G17" t="s">
        <v>13</v>
      </c>
    </row>
    <row r="18" spans="1:7" x14ac:dyDescent="0.35">
      <c r="A18">
        <v>7683</v>
      </c>
      <c r="B18" t="s">
        <v>259</v>
      </c>
      <c r="C18">
        <v>1</v>
      </c>
      <c r="D18">
        <v>0</v>
      </c>
      <c r="E18" t="s">
        <v>319</v>
      </c>
      <c r="F18" t="s">
        <v>11</v>
      </c>
      <c r="G18" t="s">
        <v>13</v>
      </c>
    </row>
    <row r="19" spans="1:7" x14ac:dyDescent="0.35">
      <c r="A19">
        <v>4933</v>
      </c>
      <c r="B19" t="s">
        <v>219</v>
      </c>
      <c r="C19">
        <v>1</v>
      </c>
      <c r="D19">
        <v>0</v>
      </c>
      <c r="E19" t="s">
        <v>320</v>
      </c>
      <c r="F19" t="s">
        <v>11</v>
      </c>
      <c r="G19" t="s">
        <v>13</v>
      </c>
    </row>
    <row r="20" spans="1:7" x14ac:dyDescent="0.35">
      <c r="A20">
        <v>547</v>
      </c>
      <c r="B20" t="s">
        <v>171</v>
      </c>
      <c r="C20">
        <v>1</v>
      </c>
      <c r="D20">
        <v>1</v>
      </c>
      <c r="E20" t="s">
        <v>320</v>
      </c>
      <c r="F20" t="s">
        <v>11</v>
      </c>
      <c r="G20" t="s">
        <v>13</v>
      </c>
    </row>
    <row r="21" spans="1:7" x14ac:dyDescent="0.35">
      <c r="A21">
        <v>4025</v>
      </c>
      <c r="B21" t="s">
        <v>213</v>
      </c>
      <c r="C21">
        <v>4</v>
      </c>
      <c r="D21">
        <v>0</v>
      </c>
      <c r="E21" t="s">
        <v>315</v>
      </c>
      <c r="F21" t="s">
        <v>11</v>
      </c>
      <c r="G21" t="s">
        <v>13</v>
      </c>
    </row>
    <row r="22" spans="1:7" x14ac:dyDescent="0.35">
      <c r="A22">
        <v>2249</v>
      </c>
      <c r="B22" t="s">
        <v>282</v>
      </c>
      <c r="C22">
        <v>1</v>
      </c>
      <c r="D22">
        <v>0</v>
      </c>
      <c r="E22" t="s">
        <v>321</v>
      </c>
      <c r="F22" t="s">
        <v>11</v>
      </c>
      <c r="G22" t="s">
        <v>51</v>
      </c>
    </row>
    <row r="23" spans="1:7" x14ac:dyDescent="0.35">
      <c r="A23">
        <v>2337</v>
      </c>
      <c r="B23" t="s">
        <v>207</v>
      </c>
      <c r="C23">
        <v>4</v>
      </c>
      <c r="D23">
        <v>0</v>
      </c>
      <c r="E23" t="s">
        <v>322</v>
      </c>
      <c r="F23" t="s">
        <v>11</v>
      </c>
      <c r="G23" t="s">
        <v>51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C5C1F-8FAC-4788-A518-572683F9FFBC}">
  <dimension ref="A1:AY24"/>
  <sheetViews>
    <sheetView topLeftCell="L1" workbookViewId="0">
      <selection activeCell="M14" sqref="M14"/>
    </sheetView>
  </sheetViews>
  <sheetFormatPr defaultRowHeight="14.5" x14ac:dyDescent="0.35"/>
  <cols>
    <col min="1" max="1" width="16.453125" bestFit="1" customWidth="1"/>
    <col min="2" max="2" width="35.90625" bestFit="1" customWidth="1"/>
    <col min="3" max="3" width="12" bestFit="1" customWidth="1"/>
    <col min="4" max="4" width="16.36328125" bestFit="1" customWidth="1"/>
    <col min="5" max="5" width="12.36328125" bestFit="1" customWidth="1"/>
    <col min="6" max="6" width="14.1796875" bestFit="1" customWidth="1"/>
    <col min="7" max="7" width="13" bestFit="1" customWidth="1"/>
    <col min="8" max="8" width="13.7265625" bestFit="1" customWidth="1"/>
    <col min="9" max="9" width="14.81640625" bestFit="1" customWidth="1"/>
    <col min="10" max="10" width="8.1796875" bestFit="1" customWidth="1"/>
    <col min="11" max="11" width="16.7265625" bestFit="1" customWidth="1"/>
    <col min="12" max="12" width="21.81640625" bestFit="1" customWidth="1"/>
    <col min="13" max="13" width="15.90625" bestFit="1" customWidth="1"/>
    <col min="14" max="14" width="12.7265625" bestFit="1" customWidth="1"/>
    <col min="15" max="15" width="11.26953125" bestFit="1" customWidth="1"/>
    <col min="16" max="16" width="13.81640625" bestFit="1" customWidth="1"/>
    <col min="17" max="17" width="14.26953125" bestFit="1" customWidth="1"/>
    <col min="18" max="18" width="10.08984375" bestFit="1" customWidth="1"/>
    <col min="19" max="19" width="9.7265625" bestFit="1" customWidth="1"/>
    <col min="20" max="20" width="12.7265625" bestFit="1" customWidth="1"/>
    <col min="21" max="21" width="9.90625" bestFit="1" customWidth="1"/>
    <col min="22" max="22" width="10.7265625" bestFit="1" customWidth="1"/>
    <col min="23" max="23" width="11.36328125" bestFit="1" customWidth="1"/>
    <col min="24" max="24" width="11" bestFit="1" customWidth="1"/>
    <col min="25" max="25" width="10.6328125" bestFit="1" customWidth="1"/>
    <col min="26" max="26" width="8.81640625" bestFit="1" customWidth="1"/>
    <col min="27" max="27" width="11.6328125" bestFit="1" customWidth="1"/>
    <col min="28" max="28" width="45" bestFit="1" customWidth="1"/>
    <col min="29" max="29" width="9.6328125" bestFit="1" customWidth="1"/>
    <col min="30" max="30" width="16" bestFit="1" customWidth="1"/>
    <col min="31" max="31" width="12.81640625" bestFit="1" customWidth="1"/>
    <col min="32" max="32" width="35.90625" bestFit="1" customWidth="1"/>
    <col min="33" max="33" width="8.1796875" bestFit="1" customWidth="1"/>
    <col min="34" max="34" width="13.08984375" bestFit="1" customWidth="1"/>
    <col min="35" max="35" width="15.7265625" bestFit="1" customWidth="1"/>
    <col min="36" max="36" width="13.26953125" bestFit="1" customWidth="1"/>
    <col min="37" max="38" width="80.7265625" bestFit="1" customWidth="1"/>
    <col min="39" max="39" width="15.36328125" bestFit="1" customWidth="1"/>
    <col min="40" max="40" width="10" bestFit="1" customWidth="1"/>
    <col min="41" max="41" width="6.6328125" bestFit="1" customWidth="1"/>
    <col min="42" max="42" width="16.453125" bestFit="1" customWidth="1"/>
    <col min="43" max="43" width="16.26953125" bestFit="1" customWidth="1"/>
    <col min="44" max="44" width="10.7265625" bestFit="1" customWidth="1"/>
    <col min="45" max="45" width="12.36328125" bestFit="1" customWidth="1"/>
    <col min="46" max="46" width="75.08984375" bestFit="1" customWidth="1"/>
    <col min="47" max="47" width="11.7265625" bestFit="1" customWidth="1"/>
    <col min="48" max="48" width="30.453125" bestFit="1" customWidth="1"/>
    <col min="49" max="49" width="13.81640625" bestFit="1" customWidth="1"/>
    <col min="50" max="50" width="35.90625" bestFit="1" customWidth="1"/>
    <col min="51" max="51" width="12" bestFit="1" customWidth="1"/>
    <col min="52" max="52" width="38" customWidth="1"/>
    <col min="53" max="54" width="12.7265625" bestFit="1" customWidth="1"/>
    <col min="55" max="55" width="11.453125" bestFit="1" customWidth="1"/>
    <col min="56" max="64" width="5.1796875" bestFit="1" customWidth="1"/>
    <col min="65" max="83" width="6.1796875" bestFit="1" customWidth="1"/>
  </cols>
  <sheetData>
    <row r="1" spans="1:51" x14ac:dyDescent="0.35">
      <c r="A1" t="s">
        <v>562</v>
      </c>
      <c r="B1" t="s">
        <v>563</v>
      </c>
      <c r="C1" t="s">
        <v>564</v>
      </c>
      <c r="D1" t="s">
        <v>565</v>
      </c>
      <c r="E1" t="s">
        <v>566</v>
      </c>
      <c r="F1" t="s">
        <v>567</v>
      </c>
      <c r="G1" t="s">
        <v>568</v>
      </c>
      <c r="H1" t="s">
        <v>570</v>
      </c>
      <c r="I1" t="s">
        <v>571</v>
      </c>
      <c r="J1" t="s">
        <v>572</v>
      </c>
      <c r="K1" t="s">
        <v>576</v>
      </c>
      <c r="L1" t="s">
        <v>580</v>
      </c>
      <c r="M1" t="s">
        <v>581</v>
      </c>
      <c r="N1" t="s">
        <v>582</v>
      </c>
      <c r="O1" t="s">
        <v>583</v>
      </c>
      <c r="P1" t="s">
        <v>584</v>
      </c>
      <c r="Q1" t="s">
        <v>585</v>
      </c>
      <c r="R1" t="s">
        <v>590</v>
      </c>
      <c r="S1" t="s">
        <v>591</v>
      </c>
      <c r="T1" t="s">
        <v>593</v>
      </c>
      <c r="U1" t="s">
        <v>594</v>
      </c>
      <c r="V1" t="s">
        <v>596</v>
      </c>
      <c r="W1" t="s">
        <v>599</v>
      </c>
      <c r="X1" t="s">
        <v>601</v>
      </c>
      <c r="Y1" t="s">
        <v>313</v>
      </c>
      <c r="Z1" t="s">
        <v>602</v>
      </c>
      <c r="AA1" t="s">
        <v>606</v>
      </c>
      <c r="AB1" t="s">
        <v>323</v>
      </c>
      <c r="AC1" t="s">
        <v>608</v>
      </c>
      <c r="AD1" t="s">
        <v>666</v>
      </c>
      <c r="AE1" t="s">
        <v>611</v>
      </c>
      <c r="AF1" t="s">
        <v>612</v>
      </c>
      <c r="AG1" t="s">
        <v>613</v>
      </c>
      <c r="AH1" t="s">
        <v>794</v>
      </c>
      <c r="AI1" t="s">
        <v>815</v>
      </c>
      <c r="AJ1" t="s">
        <v>615</v>
      </c>
      <c r="AK1" t="s">
        <v>618</v>
      </c>
      <c r="AL1" t="s">
        <v>667</v>
      </c>
      <c r="AM1" t="s">
        <v>619</v>
      </c>
      <c r="AN1" t="s">
        <v>620</v>
      </c>
      <c r="AO1" t="s">
        <v>621</v>
      </c>
      <c r="AP1" t="s">
        <v>622</v>
      </c>
      <c r="AQ1" t="s">
        <v>623</v>
      </c>
      <c r="AR1" t="s">
        <v>625</v>
      </c>
      <c r="AS1" t="s">
        <v>626</v>
      </c>
      <c r="AT1" t="s">
        <v>627</v>
      </c>
      <c r="AU1" t="s">
        <v>628</v>
      </c>
      <c r="AV1" t="s">
        <v>629</v>
      </c>
      <c r="AW1" t="s">
        <v>630</v>
      </c>
      <c r="AX1" t="s">
        <v>324</v>
      </c>
      <c r="AY1" t="s">
        <v>631</v>
      </c>
    </row>
    <row r="2" spans="1:51" x14ac:dyDescent="0.35">
      <c r="A2" t="s">
        <v>498</v>
      </c>
      <c r="B2" t="s">
        <v>499</v>
      </c>
      <c r="C2" t="s">
        <v>632</v>
      </c>
      <c r="D2" t="s">
        <v>632</v>
      </c>
      <c r="E2" t="s">
        <v>335</v>
      </c>
      <c r="F2" t="s">
        <v>632</v>
      </c>
      <c r="G2" t="s">
        <v>428</v>
      </c>
      <c r="H2" t="s">
        <v>632</v>
      </c>
      <c r="I2" t="s">
        <v>632</v>
      </c>
      <c r="J2" t="s">
        <v>632</v>
      </c>
      <c r="L2" t="s">
        <v>500</v>
      </c>
      <c r="M2" t="s">
        <v>56</v>
      </c>
      <c r="N2" t="s">
        <v>632</v>
      </c>
      <c r="O2" t="s">
        <v>632</v>
      </c>
      <c r="P2" t="s">
        <v>632</v>
      </c>
      <c r="Q2">
        <v>2015</v>
      </c>
      <c r="R2">
        <v>0</v>
      </c>
      <c r="S2" t="s">
        <v>632</v>
      </c>
      <c r="T2">
        <v>0</v>
      </c>
      <c r="U2">
        <v>0</v>
      </c>
      <c r="V2">
        <v>0</v>
      </c>
      <c r="W2">
        <v>0</v>
      </c>
      <c r="X2" t="s">
        <v>632</v>
      </c>
      <c r="Y2" t="s">
        <v>11</v>
      </c>
      <c r="Z2" t="s">
        <v>501</v>
      </c>
      <c r="AA2" t="s">
        <v>632</v>
      </c>
      <c r="AB2" t="s">
        <v>84</v>
      </c>
      <c r="AC2" t="s">
        <v>669</v>
      </c>
      <c r="AD2" t="s">
        <v>502</v>
      </c>
      <c r="AE2" t="s">
        <v>632</v>
      </c>
      <c r="AF2" t="s">
        <v>503</v>
      </c>
      <c r="AH2" t="s">
        <v>632</v>
      </c>
      <c r="AI2" t="s">
        <v>632</v>
      </c>
      <c r="AJ2" t="s">
        <v>632</v>
      </c>
      <c r="AK2" t="s">
        <v>632</v>
      </c>
      <c r="AL2" t="s">
        <v>632</v>
      </c>
      <c r="AM2" t="s">
        <v>632</v>
      </c>
      <c r="AN2" t="s">
        <v>85</v>
      </c>
      <c r="AO2" t="s">
        <v>57</v>
      </c>
      <c r="AP2" t="s">
        <v>498</v>
      </c>
      <c r="AQ2" t="s">
        <v>819</v>
      </c>
      <c r="AR2" t="s">
        <v>632</v>
      </c>
      <c r="AS2" t="s">
        <v>632</v>
      </c>
      <c r="AT2" t="s">
        <v>632</v>
      </c>
      <c r="AV2" t="s">
        <v>26</v>
      </c>
      <c r="AW2" t="s">
        <v>26</v>
      </c>
      <c r="AX2" t="s">
        <v>86</v>
      </c>
      <c r="AY2" t="s">
        <v>632</v>
      </c>
    </row>
    <row r="3" spans="1:51" x14ac:dyDescent="0.35">
      <c r="A3" t="s">
        <v>504</v>
      </c>
      <c r="B3" t="s">
        <v>505</v>
      </c>
      <c r="C3" t="s">
        <v>632</v>
      </c>
      <c r="D3" t="s">
        <v>632</v>
      </c>
      <c r="E3" t="s">
        <v>335</v>
      </c>
      <c r="F3" t="s">
        <v>632</v>
      </c>
      <c r="G3" t="s">
        <v>428</v>
      </c>
      <c r="H3" t="s">
        <v>632</v>
      </c>
      <c r="I3" t="s">
        <v>632</v>
      </c>
      <c r="J3" t="s">
        <v>632</v>
      </c>
      <c r="L3" t="s">
        <v>506</v>
      </c>
      <c r="M3" t="s">
        <v>110</v>
      </c>
      <c r="N3" t="s">
        <v>632</v>
      </c>
      <c r="O3" t="s">
        <v>632</v>
      </c>
      <c r="P3" t="s">
        <v>632</v>
      </c>
      <c r="Q3">
        <v>2015</v>
      </c>
      <c r="R3">
        <v>0</v>
      </c>
      <c r="S3" t="s">
        <v>632</v>
      </c>
      <c r="T3">
        <v>0</v>
      </c>
      <c r="U3">
        <v>0</v>
      </c>
      <c r="V3">
        <v>0</v>
      </c>
      <c r="W3">
        <v>0</v>
      </c>
      <c r="X3" t="s">
        <v>632</v>
      </c>
      <c r="Y3" t="s">
        <v>11</v>
      </c>
      <c r="Z3" t="s">
        <v>501</v>
      </c>
      <c r="AA3" t="s">
        <v>632</v>
      </c>
      <c r="AB3" t="s">
        <v>165</v>
      </c>
      <c r="AC3" t="s">
        <v>670</v>
      </c>
      <c r="AD3" t="s">
        <v>632</v>
      </c>
      <c r="AE3" t="s">
        <v>632</v>
      </c>
      <c r="AF3" t="s">
        <v>507</v>
      </c>
      <c r="AH3" t="s">
        <v>632</v>
      </c>
      <c r="AI3" t="s">
        <v>632</v>
      </c>
      <c r="AJ3" t="s">
        <v>632</v>
      </c>
      <c r="AK3" t="s">
        <v>632</v>
      </c>
      <c r="AL3" t="s">
        <v>632</v>
      </c>
      <c r="AM3" t="s">
        <v>632</v>
      </c>
      <c r="AN3" t="s">
        <v>166</v>
      </c>
      <c r="AO3" t="s">
        <v>57</v>
      </c>
      <c r="AP3" t="s">
        <v>504</v>
      </c>
      <c r="AQ3" t="s">
        <v>819</v>
      </c>
      <c r="AR3" t="s">
        <v>632</v>
      </c>
      <c r="AS3" t="s">
        <v>632</v>
      </c>
      <c r="AT3" t="s">
        <v>632</v>
      </c>
      <c r="AV3" t="s">
        <v>26</v>
      </c>
      <c r="AW3" t="s">
        <v>26</v>
      </c>
      <c r="AX3" t="s">
        <v>167</v>
      </c>
      <c r="AY3" t="s">
        <v>632</v>
      </c>
    </row>
    <row r="4" spans="1:51" x14ac:dyDescent="0.35">
      <c r="A4" t="s">
        <v>508</v>
      </c>
      <c r="B4" t="s">
        <v>509</v>
      </c>
      <c r="C4" t="s">
        <v>632</v>
      </c>
      <c r="D4" t="s">
        <v>632</v>
      </c>
      <c r="E4" t="s">
        <v>335</v>
      </c>
      <c r="F4" t="s">
        <v>632</v>
      </c>
      <c r="G4" t="s">
        <v>329</v>
      </c>
      <c r="H4" t="s">
        <v>632</v>
      </c>
      <c r="I4" t="s">
        <v>632</v>
      </c>
      <c r="J4" t="s">
        <v>632</v>
      </c>
      <c r="L4" t="s">
        <v>632</v>
      </c>
      <c r="M4" t="s">
        <v>13</v>
      </c>
      <c r="N4" t="s">
        <v>632</v>
      </c>
      <c r="O4" t="s">
        <v>632</v>
      </c>
      <c r="P4" t="s">
        <v>632</v>
      </c>
      <c r="Q4">
        <v>2015</v>
      </c>
      <c r="R4">
        <v>0</v>
      </c>
      <c r="S4" t="s">
        <v>632</v>
      </c>
      <c r="T4">
        <v>0</v>
      </c>
      <c r="U4">
        <v>0</v>
      </c>
      <c r="V4">
        <v>0</v>
      </c>
      <c r="W4">
        <v>0</v>
      </c>
      <c r="X4" t="s">
        <v>632</v>
      </c>
      <c r="Y4" t="s">
        <v>11</v>
      </c>
      <c r="Z4" t="s">
        <v>496</v>
      </c>
      <c r="AA4" t="s">
        <v>632</v>
      </c>
      <c r="AB4" t="s">
        <v>24</v>
      </c>
      <c r="AC4" t="s">
        <v>671</v>
      </c>
      <c r="AD4" t="s">
        <v>632</v>
      </c>
      <c r="AE4" t="s">
        <v>632</v>
      </c>
      <c r="AF4" t="s">
        <v>632</v>
      </c>
      <c r="AH4" t="s">
        <v>632</v>
      </c>
      <c r="AI4" t="s">
        <v>632</v>
      </c>
      <c r="AJ4" t="s">
        <v>632</v>
      </c>
      <c r="AK4" t="s">
        <v>632</v>
      </c>
      <c r="AL4" t="s">
        <v>632</v>
      </c>
      <c r="AM4" t="s">
        <v>632</v>
      </c>
      <c r="AN4" t="s">
        <v>25</v>
      </c>
      <c r="AO4" t="s">
        <v>632</v>
      </c>
      <c r="AP4" t="s">
        <v>632</v>
      </c>
      <c r="AQ4" t="s">
        <v>819</v>
      </c>
      <c r="AR4" t="s">
        <v>632</v>
      </c>
      <c r="AS4" t="s">
        <v>632</v>
      </c>
      <c r="AT4" t="s">
        <v>27</v>
      </c>
      <c r="AV4" t="s">
        <v>26</v>
      </c>
      <c r="AW4" t="s">
        <v>26</v>
      </c>
      <c r="AX4" t="s">
        <v>28</v>
      </c>
      <c r="AY4" t="s">
        <v>632</v>
      </c>
    </row>
    <row r="5" spans="1:51" x14ac:dyDescent="0.35">
      <c r="A5" t="s">
        <v>979</v>
      </c>
      <c r="B5" t="s">
        <v>980</v>
      </c>
      <c r="C5" t="s">
        <v>632</v>
      </c>
      <c r="D5" t="s">
        <v>632</v>
      </c>
      <c r="E5" t="s">
        <v>335</v>
      </c>
      <c r="F5" t="s">
        <v>632</v>
      </c>
      <c r="G5" t="s">
        <v>428</v>
      </c>
      <c r="H5" t="s">
        <v>632</v>
      </c>
      <c r="I5" t="s">
        <v>632</v>
      </c>
      <c r="J5" t="s">
        <v>632</v>
      </c>
      <c r="L5" t="s">
        <v>981</v>
      </c>
      <c r="M5" t="s">
        <v>56</v>
      </c>
      <c r="N5" t="s">
        <v>632</v>
      </c>
      <c r="O5" t="s">
        <v>632</v>
      </c>
      <c r="P5" t="s">
        <v>632</v>
      </c>
      <c r="Q5">
        <v>2015</v>
      </c>
      <c r="R5">
        <v>0</v>
      </c>
      <c r="S5" t="s">
        <v>632</v>
      </c>
      <c r="T5">
        <v>0</v>
      </c>
      <c r="U5">
        <v>0</v>
      </c>
      <c r="V5">
        <v>0</v>
      </c>
      <c r="W5">
        <v>0</v>
      </c>
      <c r="X5" t="s">
        <v>632</v>
      </c>
      <c r="Y5" t="s">
        <v>11</v>
      </c>
      <c r="Z5" t="s">
        <v>501</v>
      </c>
      <c r="AA5" t="s">
        <v>632</v>
      </c>
      <c r="AB5" t="s">
        <v>982</v>
      </c>
      <c r="AC5" t="s">
        <v>983</v>
      </c>
      <c r="AD5" t="s">
        <v>632</v>
      </c>
      <c r="AE5" t="s">
        <v>632</v>
      </c>
      <c r="AF5" t="s">
        <v>984</v>
      </c>
      <c r="AH5" t="s">
        <v>632</v>
      </c>
      <c r="AI5" t="s">
        <v>632</v>
      </c>
      <c r="AJ5" t="s">
        <v>632</v>
      </c>
      <c r="AK5" t="s">
        <v>632</v>
      </c>
      <c r="AL5" t="s">
        <v>632</v>
      </c>
      <c r="AM5" t="s">
        <v>632</v>
      </c>
      <c r="AN5" t="s">
        <v>985</v>
      </c>
      <c r="AO5" t="s">
        <v>57</v>
      </c>
      <c r="AP5" t="s">
        <v>979</v>
      </c>
      <c r="AQ5" t="s">
        <v>819</v>
      </c>
      <c r="AR5" t="s">
        <v>632</v>
      </c>
      <c r="AS5" t="s">
        <v>632</v>
      </c>
      <c r="AT5" t="s">
        <v>632</v>
      </c>
      <c r="AV5" t="s">
        <v>26</v>
      </c>
      <c r="AW5" t="s">
        <v>26</v>
      </c>
      <c r="AX5" t="s">
        <v>986</v>
      </c>
      <c r="AY5" t="s">
        <v>632</v>
      </c>
    </row>
    <row r="6" spans="1:51" x14ac:dyDescent="0.35">
      <c r="A6" t="s">
        <v>510</v>
      </c>
      <c r="B6" t="s">
        <v>511</v>
      </c>
      <c r="C6" t="s">
        <v>632</v>
      </c>
      <c r="D6" t="s">
        <v>632</v>
      </c>
      <c r="E6" t="s">
        <v>335</v>
      </c>
      <c r="F6" t="s">
        <v>632</v>
      </c>
      <c r="G6" t="s">
        <v>428</v>
      </c>
      <c r="H6" t="s">
        <v>632</v>
      </c>
      <c r="I6" t="s">
        <v>632</v>
      </c>
      <c r="J6" t="s">
        <v>632</v>
      </c>
      <c r="L6" t="s">
        <v>512</v>
      </c>
      <c r="M6" t="s">
        <v>56</v>
      </c>
      <c r="N6" t="s">
        <v>632</v>
      </c>
      <c r="O6" t="s">
        <v>632</v>
      </c>
      <c r="P6" t="s">
        <v>632</v>
      </c>
      <c r="Q6">
        <v>2015</v>
      </c>
      <c r="R6">
        <v>0</v>
      </c>
      <c r="S6" t="s">
        <v>632</v>
      </c>
      <c r="T6">
        <v>0</v>
      </c>
      <c r="U6">
        <v>0</v>
      </c>
      <c r="V6">
        <v>0</v>
      </c>
      <c r="W6">
        <v>0</v>
      </c>
      <c r="X6" t="s">
        <v>632</v>
      </c>
      <c r="Y6" t="s">
        <v>11</v>
      </c>
      <c r="Z6" t="s">
        <v>501</v>
      </c>
      <c r="AA6" t="s">
        <v>632</v>
      </c>
      <c r="AB6" t="s">
        <v>111</v>
      </c>
      <c r="AC6" t="s">
        <v>672</v>
      </c>
      <c r="AD6" t="s">
        <v>502</v>
      </c>
      <c r="AE6" t="s">
        <v>632</v>
      </c>
      <c r="AF6" t="s">
        <v>513</v>
      </c>
      <c r="AH6" t="s">
        <v>632</v>
      </c>
      <c r="AI6" t="s">
        <v>632</v>
      </c>
      <c r="AJ6" t="s">
        <v>632</v>
      </c>
      <c r="AK6" t="s">
        <v>632</v>
      </c>
      <c r="AL6" t="s">
        <v>632</v>
      </c>
      <c r="AM6" t="s">
        <v>632</v>
      </c>
      <c r="AN6" t="s">
        <v>112</v>
      </c>
      <c r="AO6" t="s">
        <v>57</v>
      </c>
      <c r="AP6" t="s">
        <v>510</v>
      </c>
      <c r="AQ6" t="s">
        <v>819</v>
      </c>
      <c r="AR6" t="s">
        <v>632</v>
      </c>
      <c r="AS6" t="s">
        <v>632</v>
      </c>
      <c r="AT6" t="s">
        <v>632</v>
      </c>
      <c r="AV6" t="s">
        <v>26</v>
      </c>
      <c r="AW6" t="s">
        <v>26</v>
      </c>
      <c r="AX6" t="s">
        <v>113</v>
      </c>
      <c r="AY6" t="s">
        <v>632</v>
      </c>
    </row>
    <row r="7" spans="1:51" x14ac:dyDescent="0.35">
      <c r="A7" t="s">
        <v>517</v>
      </c>
      <c r="B7" t="s">
        <v>518</v>
      </c>
      <c r="C7" t="s">
        <v>632</v>
      </c>
      <c r="D7" t="s">
        <v>632</v>
      </c>
      <c r="E7" t="s">
        <v>335</v>
      </c>
      <c r="F7" t="s">
        <v>632</v>
      </c>
      <c r="G7" t="s">
        <v>428</v>
      </c>
      <c r="H7" t="s">
        <v>632</v>
      </c>
      <c r="I7" t="s">
        <v>632</v>
      </c>
      <c r="J7" t="s">
        <v>632</v>
      </c>
      <c r="L7" t="s">
        <v>519</v>
      </c>
      <c r="M7" t="s">
        <v>56</v>
      </c>
      <c r="N7" t="s">
        <v>632</v>
      </c>
      <c r="O7" t="s">
        <v>632</v>
      </c>
      <c r="P7" t="s">
        <v>632</v>
      </c>
      <c r="Q7">
        <v>2015</v>
      </c>
      <c r="R7">
        <v>0</v>
      </c>
      <c r="S7" t="s">
        <v>632</v>
      </c>
      <c r="T7">
        <v>0</v>
      </c>
      <c r="U7">
        <v>0</v>
      </c>
      <c r="V7">
        <v>0</v>
      </c>
      <c r="W7">
        <v>0</v>
      </c>
      <c r="X7" t="s">
        <v>632</v>
      </c>
      <c r="Y7" t="s">
        <v>11</v>
      </c>
      <c r="Z7" t="s">
        <v>501</v>
      </c>
      <c r="AA7" t="s">
        <v>632</v>
      </c>
      <c r="AB7" t="s">
        <v>105</v>
      </c>
      <c r="AC7" t="s">
        <v>672</v>
      </c>
      <c r="AD7" t="s">
        <v>502</v>
      </c>
      <c r="AE7" t="s">
        <v>632</v>
      </c>
      <c r="AF7" t="s">
        <v>520</v>
      </c>
      <c r="AH7" t="s">
        <v>632</v>
      </c>
      <c r="AI7" t="s">
        <v>632</v>
      </c>
      <c r="AJ7" t="s">
        <v>632</v>
      </c>
      <c r="AK7" t="s">
        <v>632</v>
      </c>
      <c r="AL7" t="s">
        <v>632</v>
      </c>
      <c r="AM7" t="s">
        <v>632</v>
      </c>
      <c r="AN7" t="s">
        <v>106</v>
      </c>
      <c r="AO7" t="s">
        <v>57</v>
      </c>
      <c r="AP7" t="s">
        <v>517</v>
      </c>
      <c r="AQ7" t="s">
        <v>819</v>
      </c>
      <c r="AR7" t="s">
        <v>632</v>
      </c>
      <c r="AS7" t="s">
        <v>632</v>
      </c>
      <c r="AT7" t="s">
        <v>632</v>
      </c>
      <c r="AV7" t="s">
        <v>26</v>
      </c>
      <c r="AW7" t="s">
        <v>26</v>
      </c>
      <c r="AX7" t="s">
        <v>107</v>
      </c>
      <c r="AY7" t="s">
        <v>632</v>
      </c>
    </row>
    <row r="8" spans="1:51" x14ac:dyDescent="0.35">
      <c r="A8" t="s">
        <v>384</v>
      </c>
      <c r="B8" t="s">
        <v>385</v>
      </c>
      <c r="C8" t="s">
        <v>632</v>
      </c>
      <c r="D8" t="s">
        <v>632</v>
      </c>
      <c r="E8" t="s">
        <v>335</v>
      </c>
      <c r="F8" t="s">
        <v>632</v>
      </c>
      <c r="G8" t="s">
        <v>428</v>
      </c>
      <c r="H8" t="s">
        <v>632</v>
      </c>
      <c r="I8" t="s">
        <v>632</v>
      </c>
      <c r="J8" t="s">
        <v>632</v>
      </c>
      <c r="L8" t="s">
        <v>523</v>
      </c>
      <c r="M8" t="s">
        <v>110</v>
      </c>
      <c r="N8" t="s">
        <v>632</v>
      </c>
      <c r="O8" t="s">
        <v>632</v>
      </c>
      <c r="P8" t="s">
        <v>632</v>
      </c>
      <c r="Q8">
        <v>2015</v>
      </c>
      <c r="R8">
        <v>0</v>
      </c>
      <c r="S8" t="s">
        <v>632</v>
      </c>
      <c r="T8">
        <v>0</v>
      </c>
      <c r="U8">
        <v>0</v>
      </c>
      <c r="V8">
        <v>0</v>
      </c>
      <c r="W8">
        <v>0</v>
      </c>
      <c r="X8" t="s">
        <v>632</v>
      </c>
      <c r="Y8" t="s">
        <v>11</v>
      </c>
      <c r="Z8" t="s">
        <v>501</v>
      </c>
      <c r="AA8" t="s">
        <v>632</v>
      </c>
      <c r="AB8" t="s">
        <v>168</v>
      </c>
      <c r="AC8" t="s">
        <v>664</v>
      </c>
      <c r="AD8" t="s">
        <v>632</v>
      </c>
      <c r="AE8" t="s">
        <v>632</v>
      </c>
      <c r="AF8" t="s">
        <v>524</v>
      </c>
      <c r="AH8" t="s">
        <v>632</v>
      </c>
      <c r="AI8" t="s">
        <v>632</v>
      </c>
      <c r="AJ8" t="s">
        <v>632</v>
      </c>
      <c r="AK8" t="s">
        <v>632</v>
      </c>
      <c r="AL8" t="s">
        <v>632</v>
      </c>
      <c r="AM8" t="s">
        <v>632</v>
      </c>
      <c r="AN8" t="s">
        <v>166</v>
      </c>
      <c r="AO8" t="s">
        <v>57</v>
      </c>
      <c r="AP8" t="s">
        <v>384</v>
      </c>
      <c r="AQ8" t="s">
        <v>819</v>
      </c>
      <c r="AR8" t="s">
        <v>632</v>
      </c>
      <c r="AS8" t="s">
        <v>632</v>
      </c>
      <c r="AT8" t="s">
        <v>632</v>
      </c>
      <c r="AV8" t="s">
        <v>26</v>
      </c>
      <c r="AW8" t="s">
        <v>26</v>
      </c>
      <c r="AX8" t="s">
        <v>169</v>
      </c>
      <c r="AY8" t="s">
        <v>632</v>
      </c>
    </row>
    <row r="9" spans="1:51" x14ac:dyDescent="0.35">
      <c r="A9" t="s">
        <v>525</v>
      </c>
      <c r="B9" t="s">
        <v>526</v>
      </c>
      <c r="C9" t="s">
        <v>632</v>
      </c>
      <c r="D9" t="s">
        <v>632</v>
      </c>
      <c r="E9" t="s">
        <v>335</v>
      </c>
      <c r="F9" t="s">
        <v>632</v>
      </c>
      <c r="G9" t="s">
        <v>428</v>
      </c>
      <c r="H9" t="s">
        <v>632</v>
      </c>
      <c r="I9" t="s">
        <v>632</v>
      </c>
      <c r="J9" t="s">
        <v>632</v>
      </c>
      <c r="L9" t="s">
        <v>527</v>
      </c>
      <c r="M9" t="s">
        <v>56</v>
      </c>
      <c r="N9" t="s">
        <v>632</v>
      </c>
      <c r="O9" t="s">
        <v>632</v>
      </c>
      <c r="P9" t="s">
        <v>632</v>
      </c>
      <c r="Q9">
        <v>2015</v>
      </c>
      <c r="R9">
        <v>0</v>
      </c>
      <c r="S9" t="s">
        <v>632</v>
      </c>
      <c r="T9">
        <v>0</v>
      </c>
      <c r="U9">
        <v>0</v>
      </c>
      <c r="V9">
        <v>0</v>
      </c>
      <c r="W9">
        <v>0</v>
      </c>
      <c r="X9" t="s">
        <v>632</v>
      </c>
      <c r="Y9" t="s">
        <v>11</v>
      </c>
      <c r="Z9" t="s">
        <v>501</v>
      </c>
      <c r="AA9" t="s">
        <v>632</v>
      </c>
      <c r="AB9" t="s">
        <v>78</v>
      </c>
      <c r="AC9" t="s">
        <v>673</v>
      </c>
      <c r="AD9" t="s">
        <v>502</v>
      </c>
      <c r="AE9" t="s">
        <v>632</v>
      </c>
      <c r="AF9" t="s">
        <v>528</v>
      </c>
      <c r="AH9" t="s">
        <v>632</v>
      </c>
      <c r="AI9" t="s">
        <v>632</v>
      </c>
      <c r="AJ9" t="s">
        <v>632</v>
      </c>
      <c r="AK9" t="s">
        <v>632</v>
      </c>
      <c r="AL9" t="s">
        <v>632</v>
      </c>
      <c r="AM9" t="s">
        <v>632</v>
      </c>
      <c r="AN9" t="s">
        <v>79</v>
      </c>
      <c r="AO9" t="s">
        <v>57</v>
      </c>
      <c r="AP9" t="s">
        <v>525</v>
      </c>
      <c r="AQ9" t="s">
        <v>819</v>
      </c>
      <c r="AR9" t="s">
        <v>632</v>
      </c>
      <c r="AS9" t="s">
        <v>632</v>
      </c>
      <c r="AT9" t="s">
        <v>632</v>
      </c>
      <c r="AV9" t="s">
        <v>26</v>
      </c>
      <c r="AW9" t="s">
        <v>26</v>
      </c>
      <c r="AX9" t="s">
        <v>80</v>
      </c>
      <c r="AY9" t="s">
        <v>632</v>
      </c>
    </row>
    <row r="10" spans="1:51" x14ac:dyDescent="0.35">
      <c r="A10" t="s">
        <v>987</v>
      </c>
      <c r="B10" t="s">
        <v>988</v>
      </c>
      <c r="C10" t="s">
        <v>632</v>
      </c>
      <c r="D10" t="s">
        <v>632</v>
      </c>
      <c r="E10" t="s">
        <v>335</v>
      </c>
      <c r="F10" t="s">
        <v>632</v>
      </c>
      <c r="G10" t="s">
        <v>428</v>
      </c>
      <c r="H10" t="s">
        <v>632</v>
      </c>
      <c r="I10" t="s">
        <v>632</v>
      </c>
      <c r="J10" t="s">
        <v>632</v>
      </c>
      <c r="L10" t="s">
        <v>989</v>
      </c>
      <c r="M10" t="s">
        <v>56</v>
      </c>
      <c r="N10" t="s">
        <v>632</v>
      </c>
      <c r="O10" t="s">
        <v>632</v>
      </c>
      <c r="P10" t="s">
        <v>632</v>
      </c>
      <c r="Q10">
        <v>2015</v>
      </c>
      <c r="R10">
        <v>0</v>
      </c>
      <c r="S10" t="s">
        <v>632</v>
      </c>
      <c r="T10">
        <v>0</v>
      </c>
      <c r="U10">
        <v>0</v>
      </c>
      <c r="V10">
        <v>0</v>
      </c>
      <c r="W10">
        <v>0</v>
      </c>
      <c r="X10" t="s">
        <v>632</v>
      </c>
      <c r="Y10" t="s">
        <v>11</v>
      </c>
      <c r="Z10" t="s">
        <v>501</v>
      </c>
      <c r="AA10" t="s">
        <v>632</v>
      </c>
      <c r="AB10" t="s">
        <v>990</v>
      </c>
      <c r="AC10" t="s">
        <v>991</v>
      </c>
      <c r="AD10" t="s">
        <v>632</v>
      </c>
      <c r="AE10" t="s">
        <v>632</v>
      </c>
      <c r="AF10" t="s">
        <v>992</v>
      </c>
      <c r="AH10" t="s">
        <v>632</v>
      </c>
      <c r="AI10" t="s">
        <v>632</v>
      </c>
      <c r="AJ10" t="s">
        <v>535</v>
      </c>
      <c r="AK10" t="s">
        <v>632</v>
      </c>
      <c r="AL10" t="s">
        <v>632</v>
      </c>
      <c r="AM10" t="s">
        <v>632</v>
      </c>
      <c r="AN10" t="s">
        <v>993</v>
      </c>
      <c r="AO10" t="s">
        <v>57</v>
      </c>
      <c r="AP10" t="s">
        <v>987</v>
      </c>
      <c r="AQ10" t="s">
        <v>819</v>
      </c>
      <c r="AR10" t="s">
        <v>632</v>
      </c>
      <c r="AS10" t="s">
        <v>632</v>
      </c>
      <c r="AT10" t="s">
        <v>632</v>
      </c>
      <c r="AV10" t="s">
        <v>26</v>
      </c>
      <c r="AW10" t="s">
        <v>26</v>
      </c>
      <c r="AX10" t="s">
        <v>994</v>
      </c>
      <c r="AY10" t="s">
        <v>632</v>
      </c>
    </row>
    <row r="11" spans="1:51" x14ac:dyDescent="0.35">
      <c r="A11" t="s">
        <v>987</v>
      </c>
      <c r="B11" t="s">
        <v>988</v>
      </c>
      <c r="C11" t="s">
        <v>632</v>
      </c>
      <c r="D11" t="s">
        <v>632</v>
      </c>
      <c r="E11" t="s">
        <v>335</v>
      </c>
      <c r="F11" t="s">
        <v>632</v>
      </c>
      <c r="G11" t="s">
        <v>428</v>
      </c>
      <c r="H11" t="s">
        <v>632</v>
      </c>
      <c r="I11" t="s">
        <v>632</v>
      </c>
      <c r="J11" t="s">
        <v>632</v>
      </c>
      <c r="L11" t="s">
        <v>989</v>
      </c>
      <c r="M11" t="s">
        <v>56</v>
      </c>
      <c r="N11" t="s">
        <v>632</v>
      </c>
      <c r="O11" t="s">
        <v>632</v>
      </c>
      <c r="P11" t="s">
        <v>632</v>
      </c>
      <c r="Q11">
        <v>2015</v>
      </c>
      <c r="R11">
        <v>0</v>
      </c>
      <c r="S11" t="s">
        <v>632</v>
      </c>
      <c r="T11">
        <v>0</v>
      </c>
      <c r="U11">
        <v>0</v>
      </c>
      <c r="V11">
        <v>0</v>
      </c>
      <c r="W11">
        <v>0</v>
      </c>
      <c r="X11" t="s">
        <v>632</v>
      </c>
      <c r="Y11" t="s">
        <v>11</v>
      </c>
      <c r="Z11" t="s">
        <v>501</v>
      </c>
      <c r="AA11" t="s">
        <v>632</v>
      </c>
      <c r="AB11" t="s">
        <v>990</v>
      </c>
      <c r="AC11" t="s">
        <v>991</v>
      </c>
      <c r="AD11" t="s">
        <v>632</v>
      </c>
      <c r="AE11" t="s">
        <v>632</v>
      </c>
      <c r="AF11" t="s">
        <v>994</v>
      </c>
      <c r="AH11" t="s">
        <v>632</v>
      </c>
      <c r="AI11" t="s">
        <v>632</v>
      </c>
      <c r="AJ11" t="s">
        <v>535</v>
      </c>
      <c r="AK11" t="s">
        <v>632</v>
      </c>
      <c r="AL11" t="s">
        <v>632</v>
      </c>
      <c r="AM11" t="s">
        <v>632</v>
      </c>
      <c r="AN11" t="s">
        <v>993</v>
      </c>
      <c r="AO11" t="s">
        <v>353</v>
      </c>
      <c r="AP11" t="s">
        <v>987</v>
      </c>
      <c r="AQ11" t="s">
        <v>819</v>
      </c>
      <c r="AR11" t="s">
        <v>632</v>
      </c>
      <c r="AS11" t="s">
        <v>632</v>
      </c>
      <c r="AT11" t="s">
        <v>632</v>
      </c>
      <c r="AV11" t="s">
        <v>26</v>
      </c>
      <c r="AW11" t="s">
        <v>26</v>
      </c>
      <c r="AX11" t="s">
        <v>992</v>
      </c>
      <c r="AY11" t="s">
        <v>632</v>
      </c>
    </row>
    <row r="12" spans="1:51" x14ac:dyDescent="0.35">
      <c r="A12" t="s">
        <v>529</v>
      </c>
      <c r="B12" t="s">
        <v>530</v>
      </c>
      <c r="C12" t="s">
        <v>632</v>
      </c>
      <c r="D12" t="s">
        <v>632</v>
      </c>
      <c r="E12" t="s">
        <v>335</v>
      </c>
      <c r="F12" t="s">
        <v>632</v>
      </c>
      <c r="G12" t="s">
        <v>428</v>
      </c>
      <c r="H12" t="s">
        <v>632</v>
      </c>
      <c r="I12" t="s">
        <v>632</v>
      </c>
      <c r="J12" t="s">
        <v>632</v>
      </c>
      <c r="L12" t="s">
        <v>531</v>
      </c>
      <c r="M12" t="s">
        <v>110</v>
      </c>
      <c r="N12" t="s">
        <v>632</v>
      </c>
      <c r="O12" t="s">
        <v>632</v>
      </c>
      <c r="P12" t="s">
        <v>632</v>
      </c>
      <c r="Q12">
        <v>2015</v>
      </c>
      <c r="R12">
        <v>0</v>
      </c>
      <c r="S12" t="s">
        <v>632</v>
      </c>
      <c r="T12">
        <v>0</v>
      </c>
      <c r="U12">
        <v>0</v>
      </c>
      <c r="V12">
        <v>0</v>
      </c>
      <c r="W12">
        <v>0</v>
      </c>
      <c r="X12" t="s">
        <v>632</v>
      </c>
      <c r="Y12" t="s">
        <v>11</v>
      </c>
      <c r="Z12" t="s">
        <v>501</v>
      </c>
      <c r="AA12" t="s">
        <v>632</v>
      </c>
      <c r="AB12" t="s">
        <v>108</v>
      </c>
      <c r="AC12" t="s">
        <v>532</v>
      </c>
      <c r="AD12" t="s">
        <v>533</v>
      </c>
      <c r="AE12" t="s">
        <v>632</v>
      </c>
      <c r="AF12" t="s">
        <v>534</v>
      </c>
      <c r="AH12" t="s">
        <v>632</v>
      </c>
      <c r="AI12" t="s">
        <v>632</v>
      </c>
      <c r="AJ12" t="s">
        <v>535</v>
      </c>
      <c r="AK12" t="s">
        <v>632</v>
      </c>
      <c r="AL12" t="s">
        <v>632</v>
      </c>
      <c r="AM12" t="s">
        <v>632</v>
      </c>
      <c r="AN12" t="s">
        <v>106</v>
      </c>
      <c r="AO12" t="s">
        <v>57</v>
      </c>
      <c r="AP12" t="s">
        <v>529</v>
      </c>
      <c r="AQ12" t="s">
        <v>819</v>
      </c>
      <c r="AR12" t="s">
        <v>632</v>
      </c>
      <c r="AS12" t="s">
        <v>632</v>
      </c>
      <c r="AT12" t="s">
        <v>632</v>
      </c>
      <c r="AV12" t="s">
        <v>26</v>
      </c>
      <c r="AW12" t="s">
        <v>26</v>
      </c>
      <c r="AX12" t="s">
        <v>109</v>
      </c>
      <c r="AY12" t="s">
        <v>632</v>
      </c>
    </row>
    <row r="13" spans="1:51" x14ac:dyDescent="0.35">
      <c r="A13" t="s">
        <v>979</v>
      </c>
      <c r="B13" t="s">
        <v>980</v>
      </c>
      <c r="C13" t="s">
        <v>632</v>
      </c>
      <c r="D13" t="s">
        <v>632</v>
      </c>
      <c r="E13" t="s">
        <v>335</v>
      </c>
      <c r="F13" t="s">
        <v>632</v>
      </c>
      <c r="G13" t="s">
        <v>428</v>
      </c>
      <c r="H13" t="s">
        <v>632</v>
      </c>
      <c r="I13" t="s">
        <v>632</v>
      </c>
      <c r="J13" t="s">
        <v>632</v>
      </c>
      <c r="L13" t="s">
        <v>981</v>
      </c>
      <c r="M13" t="s">
        <v>56</v>
      </c>
      <c r="N13" t="s">
        <v>632</v>
      </c>
      <c r="O13" t="s">
        <v>632</v>
      </c>
      <c r="P13" t="s">
        <v>632</v>
      </c>
      <c r="Q13">
        <v>2015</v>
      </c>
      <c r="R13">
        <v>0</v>
      </c>
      <c r="S13" t="s">
        <v>632</v>
      </c>
      <c r="T13">
        <v>0</v>
      </c>
      <c r="U13">
        <v>0</v>
      </c>
      <c r="V13">
        <v>0</v>
      </c>
      <c r="W13">
        <v>0</v>
      </c>
      <c r="X13" t="s">
        <v>632</v>
      </c>
      <c r="Y13" t="s">
        <v>11</v>
      </c>
      <c r="Z13" t="s">
        <v>501</v>
      </c>
      <c r="AA13" t="s">
        <v>632</v>
      </c>
      <c r="AB13" t="s">
        <v>982</v>
      </c>
      <c r="AC13" t="s">
        <v>983</v>
      </c>
      <c r="AD13" t="s">
        <v>632</v>
      </c>
      <c r="AE13" t="s">
        <v>632</v>
      </c>
      <c r="AF13" t="s">
        <v>986</v>
      </c>
      <c r="AH13" t="s">
        <v>632</v>
      </c>
      <c r="AI13" t="s">
        <v>632</v>
      </c>
      <c r="AJ13" t="s">
        <v>632</v>
      </c>
      <c r="AK13" t="s">
        <v>632</v>
      </c>
      <c r="AL13" t="s">
        <v>632</v>
      </c>
      <c r="AM13" t="s">
        <v>632</v>
      </c>
      <c r="AN13" t="s">
        <v>985</v>
      </c>
      <c r="AO13" t="s">
        <v>353</v>
      </c>
      <c r="AP13" t="s">
        <v>979</v>
      </c>
      <c r="AQ13" t="s">
        <v>819</v>
      </c>
      <c r="AR13" t="s">
        <v>632</v>
      </c>
      <c r="AS13" t="s">
        <v>632</v>
      </c>
      <c r="AT13" t="s">
        <v>632</v>
      </c>
      <c r="AV13" t="s">
        <v>26</v>
      </c>
      <c r="AW13" t="s">
        <v>26</v>
      </c>
      <c r="AX13" t="s">
        <v>984</v>
      </c>
      <c r="AY13" t="s">
        <v>632</v>
      </c>
    </row>
    <row r="14" spans="1:51" x14ac:dyDescent="0.35">
      <c r="A14" t="s">
        <v>536</v>
      </c>
      <c r="B14" t="s">
        <v>537</v>
      </c>
      <c r="C14" t="s">
        <v>632</v>
      </c>
      <c r="D14" t="s">
        <v>632</v>
      </c>
      <c r="E14" t="s">
        <v>335</v>
      </c>
      <c r="F14" t="s">
        <v>632</v>
      </c>
      <c r="G14" t="s">
        <v>428</v>
      </c>
      <c r="H14" t="s">
        <v>632</v>
      </c>
      <c r="I14" t="s">
        <v>632</v>
      </c>
      <c r="J14" t="s">
        <v>632</v>
      </c>
      <c r="L14" t="s">
        <v>538</v>
      </c>
      <c r="M14" t="s">
        <v>56</v>
      </c>
      <c r="N14" t="s">
        <v>632</v>
      </c>
      <c r="O14" t="s">
        <v>632</v>
      </c>
      <c r="P14" t="s">
        <v>632</v>
      </c>
      <c r="Q14">
        <v>2015</v>
      </c>
      <c r="R14">
        <v>0</v>
      </c>
      <c r="S14" t="s">
        <v>632</v>
      </c>
      <c r="T14">
        <v>0</v>
      </c>
      <c r="U14">
        <v>0</v>
      </c>
      <c r="V14">
        <v>0</v>
      </c>
      <c r="W14">
        <v>0</v>
      </c>
      <c r="X14" t="s">
        <v>632</v>
      </c>
      <c r="Y14" t="s">
        <v>11</v>
      </c>
      <c r="Z14" t="s">
        <v>501</v>
      </c>
      <c r="AA14" t="s">
        <v>632</v>
      </c>
      <c r="AB14" t="s">
        <v>53</v>
      </c>
      <c r="AC14" t="s">
        <v>675</v>
      </c>
      <c r="AD14" t="s">
        <v>632</v>
      </c>
      <c r="AE14" t="s">
        <v>632</v>
      </c>
      <c r="AF14" t="s">
        <v>539</v>
      </c>
      <c r="AH14" t="s">
        <v>632</v>
      </c>
      <c r="AI14" t="s">
        <v>632</v>
      </c>
      <c r="AJ14" t="s">
        <v>535</v>
      </c>
      <c r="AK14" t="s">
        <v>632</v>
      </c>
      <c r="AL14" t="s">
        <v>632</v>
      </c>
      <c r="AM14" t="s">
        <v>632</v>
      </c>
      <c r="AN14" t="s">
        <v>54</v>
      </c>
      <c r="AO14" t="s">
        <v>57</v>
      </c>
      <c r="AP14" t="s">
        <v>536</v>
      </c>
      <c r="AQ14" t="s">
        <v>819</v>
      </c>
      <c r="AR14" t="s">
        <v>632</v>
      </c>
      <c r="AS14" t="s">
        <v>632</v>
      </c>
      <c r="AT14" t="s">
        <v>632</v>
      </c>
      <c r="AV14" t="s">
        <v>26</v>
      </c>
      <c r="AW14" t="s">
        <v>26</v>
      </c>
      <c r="AX14" t="s">
        <v>55</v>
      </c>
      <c r="AY14" t="s">
        <v>632</v>
      </c>
    </row>
    <row r="15" spans="1:51" x14ac:dyDescent="0.35">
      <c r="A15" t="s">
        <v>540</v>
      </c>
      <c r="B15" t="s">
        <v>541</v>
      </c>
      <c r="C15" t="s">
        <v>632</v>
      </c>
      <c r="D15" t="s">
        <v>632</v>
      </c>
      <c r="E15" t="s">
        <v>335</v>
      </c>
      <c r="F15" t="s">
        <v>632</v>
      </c>
      <c r="G15" t="s">
        <v>428</v>
      </c>
      <c r="H15" t="s">
        <v>632</v>
      </c>
      <c r="I15" t="s">
        <v>632</v>
      </c>
      <c r="J15" t="s">
        <v>632</v>
      </c>
      <c r="L15" t="s">
        <v>542</v>
      </c>
      <c r="M15" t="s">
        <v>110</v>
      </c>
      <c r="N15" t="s">
        <v>632</v>
      </c>
      <c r="O15" t="s">
        <v>632</v>
      </c>
      <c r="P15" t="s">
        <v>632</v>
      </c>
      <c r="Q15">
        <v>2015</v>
      </c>
      <c r="R15">
        <v>0</v>
      </c>
      <c r="S15" t="s">
        <v>632</v>
      </c>
      <c r="T15">
        <v>0</v>
      </c>
      <c r="U15">
        <v>0</v>
      </c>
      <c r="V15">
        <v>0</v>
      </c>
      <c r="W15">
        <v>0</v>
      </c>
      <c r="X15" t="s">
        <v>632</v>
      </c>
      <c r="Y15" t="s">
        <v>11</v>
      </c>
      <c r="Z15" t="s">
        <v>501</v>
      </c>
      <c r="AA15" t="s">
        <v>632</v>
      </c>
      <c r="AB15" t="s">
        <v>170</v>
      </c>
      <c r="AC15" t="s">
        <v>674</v>
      </c>
      <c r="AD15" t="s">
        <v>632</v>
      </c>
      <c r="AE15" t="s">
        <v>632</v>
      </c>
      <c r="AF15" t="s">
        <v>543</v>
      </c>
      <c r="AH15" t="s">
        <v>632</v>
      </c>
      <c r="AI15" t="s">
        <v>632</v>
      </c>
      <c r="AJ15" t="s">
        <v>632</v>
      </c>
      <c r="AK15" t="s">
        <v>632</v>
      </c>
      <c r="AL15" t="s">
        <v>632</v>
      </c>
      <c r="AM15" t="s">
        <v>632</v>
      </c>
      <c r="AN15" t="s">
        <v>166</v>
      </c>
      <c r="AO15" t="s">
        <v>57</v>
      </c>
      <c r="AP15" t="s">
        <v>540</v>
      </c>
      <c r="AQ15" t="s">
        <v>819</v>
      </c>
      <c r="AR15" t="s">
        <v>632</v>
      </c>
      <c r="AS15" t="s">
        <v>632</v>
      </c>
      <c r="AT15" t="s">
        <v>632</v>
      </c>
      <c r="AV15" t="s">
        <v>26</v>
      </c>
      <c r="AW15" t="s">
        <v>26</v>
      </c>
      <c r="AX15" t="s">
        <v>171</v>
      </c>
      <c r="AY15" t="s">
        <v>632</v>
      </c>
    </row>
    <row r="16" spans="1:51" x14ac:dyDescent="0.35">
      <c r="A16" t="s">
        <v>553</v>
      </c>
      <c r="B16" t="s">
        <v>554</v>
      </c>
      <c r="C16" t="s">
        <v>632</v>
      </c>
      <c r="D16" t="s">
        <v>632</v>
      </c>
      <c r="E16" t="s">
        <v>335</v>
      </c>
      <c r="F16" t="s">
        <v>632</v>
      </c>
      <c r="G16" t="s">
        <v>428</v>
      </c>
      <c r="H16" t="s">
        <v>632</v>
      </c>
      <c r="I16" t="s">
        <v>632</v>
      </c>
      <c r="J16" t="s">
        <v>632</v>
      </c>
      <c r="L16" t="s">
        <v>555</v>
      </c>
      <c r="M16" t="s">
        <v>56</v>
      </c>
      <c r="N16" t="s">
        <v>632</v>
      </c>
      <c r="O16" t="s">
        <v>632</v>
      </c>
      <c r="P16" t="s">
        <v>632</v>
      </c>
      <c r="Q16">
        <v>2015</v>
      </c>
      <c r="R16">
        <v>0</v>
      </c>
      <c r="S16" t="s">
        <v>632</v>
      </c>
      <c r="T16">
        <v>0</v>
      </c>
      <c r="U16">
        <v>0</v>
      </c>
      <c r="V16">
        <v>0</v>
      </c>
      <c r="W16">
        <v>0</v>
      </c>
      <c r="X16" t="s">
        <v>632</v>
      </c>
      <c r="Y16" t="s">
        <v>11</v>
      </c>
      <c r="Z16" t="s">
        <v>501</v>
      </c>
      <c r="AA16" t="s">
        <v>632</v>
      </c>
      <c r="AB16" t="s">
        <v>81</v>
      </c>
      <c r="AC16" t="s">
        <v>677</v>
      </c>
      <c r="AD16" t="s">
        <v>556</v>
      </c>
      <c r="AE16" t="s">
        <v>632</v>
      </c>
      <c r="AF16" t="s">
        <v>557</v>
      </c>
      <c r="AH16" t="s">
        <v>632</v>
      </c>
      <c r="AI16" t="s">
        <v>632</v>
      </c>
      <c r="AJ16" t="s">
        <v>632</v>
      </c>
      <c r="AK16" t="s">
        <v>632</v>
      </c>
      <c r="AL16" t="s">
        <v>632</v>
      </c>
      <c r="AM16" t="s">
        <v>632</v>
      </c>
      <c r="AN16" t="s">
        <v>82</v>
      </c>
      <c r="AO16" t="s">
        <v>57</v>
      </c>
      <c r="AP16" t="s">
        <v>553</v>
      </c>
      <c r="AQ16" t="s">
        <v>819</v>
      </c>
      <c r="AR16" t="s">
        <v>632</v>
      </c>
      <c r="AS16" t="s">
        <v>632</v>
      </c>
      <c r="AT16" t="s">
        <v>632</v>
      </c>
      <c r="AV16" t="s">
        <v>26</v>
      </c>
      <c r="AW16" t="s">
        <v>26</v>
      </c>
      <c r="AX16" t="s">
        <v>83</v>
      </c>
      <c r="AY16" t="s">
        <v>632</v>
      </c>
    </row>
    <row r="17" spans="1:51" x14ac:dyDescent="0.35">
      <c r="A17" t="s">
        <v>558</v>
      </c>
      <c r="B17" t="s">
        <v>559</v>
      </c>
      <c r="C17" t="s">
        <v>632</v>
      </c>
      <c r="D17" t="s">
        <v>632</v>
      </c>
      <c r="E17" t="s">
        <v>335</v>
      </c>
      <c r="F17" t="s">
        <v>632</v>
      </c>
      <c r="G17" t="s">
        <v>428</v>
      </c>
      <c r="H17" t="s">
        <v>632</v>
      </c>
      <c r="I17" t="s">
        <v>632</v>
      </c>
      <c r="J17" t="s">
        <v>632</v>
      </c>
      <c r="L17" t="s">
        <v>560</v>
      </c>
      <c r="M17" t="s">
        <v>56</v>
      </c>
      <c r="N17" t="s">
        <v>632</v>
      </c>
      <c r="O17" t="s">
        <v>632</v>
      </c>
      <c r="P17" t="s">
        <v>632</v>
      </c>
      <c r="Q17">
        <v>2015</v>
      </c>
      <c r="R17">
        <v>0</v>
      </c>
      <c r="S17" t="s">
        <v>632</v>
      </c>
      <c r="T17">
        <v>0</v>
      </c>
      <c r="U17">
        <v>0</v>
      </c>
      <c r="V17">
        <v>0</v>
      </c>
      <c r="W17">
        <v>0</v>
      </c>
      <c r="X17" t="s">
        <v>632</v>
      </c>
      <c r="Y17" t="s">
        <v>11</v>
      </c>
      <c r="Z17" t="s">
        <v>501</v>
      </c>
      <c r="AA17" t="s">
        <v>632</v>
      </c>
      <c r="AB17" t="s">
        <v>93</v>
      </c>
      <c r="AC17" t="s">
        <v>678</v>
      </c>
      <c r="AD17" t="s">
        <v>502</v>
      </c>
      <c r="AE17" t="s">
        <v>632</v>
      </c>
      <c r="AF17" t="s">
        <v>561</v>
      </c>
      <c r="AH17" t="s">
        <v>632</v>
      </c>
      <c r="AI17" t="s">
        <v>632</v>
      </c>
      <c r="AJ17" t="s">
        <v>632</v>
      </c>
      <c r="AK17" t="s">
        <v>632</v>
      </c>
      <c r="AL17" t="s">
        <v>632</v>
      </c>
      <c r="AM17" t="s">
        <v>632</v>
      </c>
      <c r="AN17" t="s">
        <v>94</v>
      </c>
      <c r="AO17" t="s">
        <v>57</v>
      </c>
      <c r="AP17" t="s">
        <v>558</v>
      </c>
      <c r="AQ17" t="s">
        <v>819</v>
      </c>
      <c r="AR17" t="s">
        <v>632</v>
      </c>
      <c r="AS17" t="s">
        <v>632</v>
      </c>
      <c r="AT17" t="s">
        <v>632</v>
      </c>
      <c r="AV17" t="s">
        <v>26</v>
      </c>
      <c r="AW17" t="s">
        <v>26</v>
      </c>
      <c r="AX17" t="s">
        <v>95</v>
      </c>
      <c r="AY17" t="s">
        <v>632</v>
      </c>
    </row>
    <row r="18" spans="1:51" x14ac:dyDescent="0.35">
      <c r="A18" t="s">
        <v>965</v>
      </c>
      <c r="B18" t="s">
        <v>966</v>
      </c>
      <c r="C18" t="s">
        <v>632</v>
      </c>
      <c r="D18" t="s">
        <v>632</v>
      </c>
      <c r="E18" t="s">
        <v>335</v>
      </c>
      <c r="F18" t="s">
        <v>632</v>
      </c>
      <c r="G18" t="s">
        <v>329</v>
      </c>
      <c r="H18" t="s">
        <v>18</v>
      </c>
      <c r="I18" t="s">
        <v>632</v>
      </c>
      <c r="J18" t="s">
        <v>18</v>
      </c>
      <c r="K18">
        <v>5</v>
      </c>
      <c r="L18" t="s">
        <v>632</v>
      </c>
      <c r="M18" t="s">
        <v>13</v>
      </c>
      <c r="N18" t="s">
        <v>632</v>
      </c>
      <c r="O18" t="s">
        <v>632</v>
      </c>
      <c r="P18" t="s">
        <v>632</v>
      </c>
      <c r="Q18">
        <v>2015</v>
      </c>
      <c r="R18">
        <v>1</v>
      </c>
      <c r="S18" t="s">
        <v>632</v>
      </c>
      <c r="T18">
        <v>0</v>
      </c>
      <c r="U18">
        <v>0</v>
      </c>
      <c r="V18">
        <v>1</v>
      </c>
      <c r="W18">
        <v>0</v>
      </c>
      <c r="X18" t="s">
        <v>632</v>
      </c>
      <c r="Y18" t="s">
        <v>11</v>
      </c>
      <c r="Z18" t="s">
        <v>496</v>
      </c>
      <c r="AA18" t="s">
        <v>632</v>
      </c>
      <c r="AB18" t="s">
        <v>967</v>
      </c>
      <c r="AC18" t="s">
        <v>968</v>
      </c>
      <c r="AD18" t="s">
        <v>632</v>
      </c>
      <c r="AE18" t="s">
        <v>632</v>
      </c>
      <c r="AF18" t="s">
        <v>632</v>
      </c>
      <c r="AG18">
        <v>1</v>
      </c>
      <c r="AH18" t="s">
        <v>632</v>
      </c>
      <c r="AI18" t="s">
        <v>632</v>
      </c>
      <c r="AJ18" t="s">
        <v>632</v>
      </c>
      <c r="AK18" t="s">
        <v>969</v>
      </c>
      <c r="AL18" t="s">
        <v>970</v>
      </c>
      <c r="AM18" t="s">
        <v>632</v>
      </c>
      <c r="AN18" t="s">
        <v>122</v>
      </c>
      <c r="AO18" t="s">
        <v>632</v>
      </c>
      <c r="AP18" t="s">
        <v>632</v>
      </c>
      <c r="AQ18" t="s">
        <v>819</v>
      </c>
      <c r="AR18" t="s">
        <v>967</v>
      </c>
      <c r="AS18" t="s">
        <v>632</v>
      </c>
      <c r="AT18" t="s">
        <v>632</v>
      </c>
      <c r="AU18">
        <v>1</v>
      </c>
      <c r="AV18" t="s">
        <v>971</v>
      </c>
      <c r="AW18" t="s">
        <v>31</v>
      </c>
      <c r="AX18" t="s">
        <v>972</v>
      </c>
      <c r="AY18" t="s">
        <v>632</v>
      </c>
    </row>
    <row r="19" spans="1:51" x14ac:dyDescent="0.35">
      <c r="A19" t="s">
        <v>544</v>
      </c>
      <c r="B19" t="s">
        <v>545</v>
      </c>
      <c r="C19" t="s">
        <v>632</v>
      </c>
      <c r="D19" t="s">
        <v>632</v>
      </c>
      <c r="E19" t="s">
        <v>335</v>
      </c>
      <c r="F19" t="s">
        <v>632</v>
      </c>
      <c r="G19" t="s">
        <v>329</v>
      </c>
      <c r="H19" t="s">
        <v>7</v>
      </c>
      <c r="I19" t="s">
        <v>632</v>
      </c>
      <c r="J19" t="s">
        <v>7</v>
      </c>
      <c r="K19">
        <v>17</v>
      </c>
      <c r="L19" t="s">
        <v>632</v>
      </c>
      <c r="M19" t="s">
        <v>35</v>
      </c>
      <c r="N19" t="s">
        <v>632</v>
      </c>
      <c r="O19" t="s">
        <v>632</v>
      </c>
      <c r="P19" t="s">
        <v>632</v>
      </c>
      <c r="Q19">
        <v>2015</v>
      </c>
      <c r="R19">
        <v>0</v>
      </c>
      <c r="S19" t="s">
        <v>632</v>
      </c>
      <c r="T19">
        <v>0</v>
      </c>
      <c r="U19">
        <v>0</v>
      </c>
      <c r="V19">
        <v>1</v>
      </c>
      <c r="W19">
        <v>0</v>
      </c>
      <c r="X19" t="s">
        <v>632</v>
      </c>
      <c r="Y19" t="s">
        <v>11</v>
      </c>
      <c r="Z19" t="s">
        <v>496</v>
      </c>
      <c r="AA19" t="s">
        <v>632</v>
      </c>
      <c r="AB19" t="s">
        <v>29</v>
      </c>
      <c r="AC19" t="s">
        <v>663</v>
      </c>
      <c r="AD19" t="s">
        <v>632</v>
      </c>
      <c r="AE19" t="s">
        <v>632</v>
      </c>
      <c r="AF19" t="s">
        <v>632</v>
      </c>
      <c r="AG19">
        <v>1</v>
      </c>
      <c r="AH19" t="s">
        <v>632</v>
      </c>
      <c r="AI19" t="s">
        <v>632</v>
      </c>
      <c r="AJ19" t="s">
        <v>632</v>
      </c>
      <c r="AK19" t="s">
        <v>896</v>
      </c>
      <c r="AL19" t="s">
        <v>546</v>
      </c>
      <c r="AM19" t="s">
        <v>632</v>
      </c>
      <c r="AN19" t="s">
        <v>30</v>
      </c>
      <c r="AO19" t="s">
        <v>632</v>
      </c>
      <c r="AP19" t="s">
        <v>632</v>
      </c>
      <c r="AQ19" t="s">
        <v>819</v>
      </c>
      <c r="AR19" t="s">
        <v>29</v>
      </c>
      <c r="AS19" t="s">
        <v>632</v>
      </c>
      <c r="AT19" t="s">
        <v>33</v>
      </c>
      <c r="AU19">
        <v>1</v>
      </c>
      <c r="AV19" t="s">
        <v>32</v>
      </c>
      <c r="AW19" t="s">
        <v>31</v>
      </c>
      <c r="AX19" t="s">
        <v>34</v>
      </c>
      <c r="AY19" t="s">
        <v>632</v>
      </c>
    </row>
    <row r="20" spans="1:51" x14ac:dyDescent="0.35">
      <c r="A20" t="s">
        <v>521</v>
      </c>
      <c r="B20" t="s">
        <v>522</v>
      </c>
      <c r="C20" t="s">
        <v>632</v>
      </c>
      <c r="D20" t="s">
        <v>632</v>
      </c>
      <c r="E20" t="s">
        <v>335</v>
      </c>
      <c r="F20" t="s">
        <v>632</v>
      </c>
      <c r="G20" t="s">
        <v>329</v>
      </c>
      <c r="H20" t="s">
        <v>64</v>
      </c>
      <c r="I20" t="s">
        <v>632</v>
      </c>
      <c r="J20" t="s">
        <v>64</v>
      </c>
      <c r="K20">
        <v>56</v>
      </c>
      <c r="L20" t="s">
        <v>632</v>
      </c>
      <c r="M20" t="s">
        <v>35</v>
      </c>
      <c r="N20" t="s">
        <v>632</v>
      </c>
      <c r="O20" t="s">
        <v>632</v>
      </c>
      <c r="P20" t="s">
        <v>632</v>
      </c>
      <c r="Q20">
        <v>2015</v>
      </c>
      <c r="R20">
        <v>0</v>
      </c>
      <c r="S20" t="s">
        <v>632</v>
      </c>
      <c r="T20">
        <v>0</v>
      </c>
      <c r="U20">
        <v>0</v>
      </c>
      <c r="V20">
        <v>1</v>
      </c>
      <c r="W20">
        <v>0</v>
      </c>
      <c r="X20" t="s">
        <v>632</v>
      </c>
      <c r="Y20" t="s">
        <v>11</v>
      </c>
      <c r="Z20" t="s">
        <v>496</v>
      </c>
      <c r="AA20" t="s">
        <v>632</v>
      </c>
      <c r="AB20" t="s">
        <v>62</v>
      </c>
      <c r="AC20" t="s">
        <v>674</v>
      </c>
      <c r="AD20" t="s">
        <v>632</v>
      </c>
      <c r="AE20" t="s">
        <v>632</v>
      </c>
      <c r="AF20" t="s">
        <v>632</v>
      </c>
      <c r="AG20">
        <v>1</v>
      </c>
      <c r="AH20" t="s">
        <v>632</v>
      </c>
      <c r="AI20" t="s">
        <v>632</v>
      </c>
      <c r="AJ20" t="s">
        <v>632</v>
      </c>
      <c r="AK20" t="s">
        <v>894</v>
      </c>
      <c r="AL20" t="s">
        <v>895</v>
      </c>
      <c r="AM20" t="s">
        <v>632</v>
      </c>
      <c r="AN20" t="s">
        <v>63</v>
      </c>
      <c r="AO20" t="s">
        <v>632</v>
      </c>
      <c r="AP20" t="s">
        <v>632</v>
      </c>
      <c r="AQ20" t="s">
        <v>819</v>
      </c>
      <c r="AR20" t="s">
        <v>62</v>
      </c>
      <c r="AS20" t="s">
        <v>632</v>
      </c>
      <c r="AT20" t="s">
        <v>632</v>
      </c>
      <c r="AU20">
        <v>1</v>
      </c>
      <c r="AV20" t="s">
        <v>65</v>
      </c>
      <c r="AW20" t="s">
        <v>31</v>
      </c>
      <c r="AX20" t="s">
        <v>66</v>
      </c>
      <c r="AY20" t="s">
        <v>632</v>
      </c>
    </row>
    <row r="21" spans="1:51" x14ac:dyDescent="0.35">
      <c r="A21" t="s">
        <v>551</v>
      </c>
      <c r="B21" t="s">
        <v>552</v>
      </c>
      <c r="C21" t="s">
        <v>632</v>
      </c>
      <c r="D21" t="s">
        <v>632</v>
      </c>
      <c r="E21" t="s">
        <v>335</v>
      </c>
      <c r="F21" t="s">
        <v>632</v>
      </c>
      <c r="G21" t="s">
        <v>329</v>
      </c>
      <c r="H21" t="s">
        <v>7</v>
      </c>
      <c r="I21" t="s">
        <v>632</v>
      </c>
      <c r="J21" t="s">
        <v>7</v>
      </c>
      <c r="K21">
        <v>21</v>
      </c>
      <c r="L21" t="s">
        <v>632</v>
      </c>
      <c r="M21" t="s">
        <v>35</v>
      </c>
      <c r="N21" t="s">
        <v>632</v>
      </c>
      <c r="O21" t="s">
        <v>632</v>
      </c>
      <c r="P21" t="s">
        <v>632</v>
      </c>
      <c r="Q21">
        <v>2015</v>
      </c>
      <c r="R21">
        <v>0</v>
      </c>
      <c r="S21" t="s">
        <v>632</v>
      </c>
      <c r="T21">
        <v>0</v>
      </c>
      <c r="U21">
        <v>0</v>
      </c>
      <c r="V21">
        <v>1</v>
      </c>
      <c r="W21">
        <v>0</v>
      </c>
      <c r="X21" t="s">
        <v>632</v>
      </c>
      <c r="Y21" t="s">
        <v>11</v>
      </c>
      <c r="Z21" t="s">
        <v>496</v>
      </c>
      <c r="AA21" t="s">
        <v>632</v>
      </c>
      <c r="AB21" t="s">
        <v>58</v>
      </c>
      <c r="AC21" t="s">
        <v>652</v>
      </c>
      <c r="AD21" t="s">
        <v>632</v>
      </c>
      <c r="AE21" t="s">
        <v>632</v>
      </c>
      <c r="AF21" t="s">
        <v>632</v>
      </c>
      <c r="AG21">
        <v>1</v>
      </c>
      <c r="AH21" t="s">
        <v>632</v>
      </c>
      <c r="AI21" t="s">
        <v>632</v>
      </c>
      <c r="AJ21" t="s">
        <v>632</v>
      </c>
      <c r="AK21" t="s">
        <v>898</v>
      </c>
      <c r="AL21" t="s">
        <v>899</v>
      </c>
      <c r="AM21" t="s">
        <v>632</v>
      </c>
      <c r="AN21" t="s">
        <v>59</v>
      </c>
      <c r="AO21" t="s">
        <v>632</v>
      </c>
      <c r="AP21" t="s">
        <v>632</v>
      </c>
      <c r="AQ21" t="s">
        <v>819</v>
      </c>
      <c r="AR21" t="s">
        <v>58</v>
      </c>
      <c r="AS21" t="s">
        <v>632</v>
      </c>
      <c r="AT21" t="s">
        <v>632</v>
      </c>
      <c r="AU21">
        <v>1</v>
      </c>
      <c r="AV21" t="s">
        <v>60</v>
      </c>
      <c r="AW21" t="s">
        <v>31</v>
      </c>
      <c r="AX21" t="s">
        <v>61</v>
      </c>
      <c r="AY21" t="s">
        <v>632</v>
      </c>
    </row>
    <row r="22" spans="1:51" x14ac:dyDescent="0.35">
      <c r="A22" t="s">
        <v>514</v>
      </c>
      <c r="B22" t="s">
        <v>515</v>
      </c>
      <c r="C22" t="s">
        <v>632</v>
      </c>
      <c r="D22" t="s">
        <v>632</v>
      </c>
      <c r="E22" t="s">
        <v>335</v>
      </c>
      <c r="F22" t="s">
        <v>632</v>
      </c>
      <c r="G22" t="s">
        <v>329</v>
      </c>
      <c r="H22" t="s">
        <v>38</v>
      </c>
      <c r="I22" t="s">
        <v>632</v>
      </c>
      <c r="J22" t="s">
        <v>892</v>
      </c>
      <c r="K22">
        <v>0</v>
      </c>
      <c r="L22" t="s">
        <v>632</v>
      </c>
      <c r="M22" t="s">
        <v>35</v>
      </c>
      <c r="N22" t="s">
        <v>632</v>
      </c>
      <c r="O22" t="s">
        <v>632</v>
      </c>
      <c r="P22" t="s">
        <v>632</v>
      </c>
      <c r="Q22">
        <v>2015</v>
      </c>
      <c r="R22">
        <v>0</v>
      </c>
      <c r="S22" t="s">
        <v>632</v>
      </c>
      <c r="T22">
        <v>0</v>
      </c>
      <c r="U22">
        <v>0</v>
      </c>
      <c r="V22">
        <v>0</v>
      </c>
      <c r="W22">
        <v>0</v>
      </c>
      <c r="X22" t="s">
        <v>40</v>
      </c>
      <c r="Y22" t="s">
        <v>11</v>
      </c>
      <c r="Z22" t="s">
        <v>496</v>
      </c>
      <c r="AA22" t="s">
        <v>632</v>
      </c>
      <c r="AB22" t="s">
        <v>36</v>
      </c>
      <c r="AC22" t="s">
        <v>673</v>
      </c>
      <c r="AD22" t="s">
        <v>632</v>
      </c>
      <c r="AE22" t="s">
        <v>632</v>
      </c>
      <c r="AF22" t="s">
        <v>632</v>
      </c>
      <c r="AG22">
        <v>1</v>
      </c>
      <c r="AH22" t="s">
        <v>632</v>
      </c>
      <c r="AI22" t="s">
        <v>632</v>
      </c>
      <c r="AJ22" t="s">
        <v>632</v>
      </c>
      <c r="AK22" t="s">
        <v>893</v>
      </c>
      <c r="AL22" t="s">
        <v>516</v>
      </c>
      <c r="AM22" t="s">
        <v>632</v>
      </c>
      <c r="AN22" t="s">
        <v>37</v>
      </c>
      <c r="AO22" t="s">
        <v>632</v>
      </c>
      <c r="AP22" t="s">
        <v>632</v>
      </c>
      <c r="AQ22" t="s">
        <v>819</v>
      </c>
      <c r="AR22" t="s">
        <v>36</v>
      </c>
      <c r="AS22" t="s">
        <v>632</v>
      </c>
      <c r="AT22" t="s">
        <v>41</v>
      </c>
      <c r="AU22">
        <v>1</v>
      </c>
      <c r="AV22" t="s">
        <v>39</v>
      </c>
      <c r="AW22" t="s">
        <v>31</v>
      </c>
      <c r="AX22" t="s">
        <v>42</v>
      </c>
      <c r="AY22" t="s">
        <v>632</v>
      </c>
    </row>
    <row r="23" spans="1:51" x14ac:dyDescent="0.35">
      <c r="A23" t="s">
        <v>494</v>
      </c>
      <c r="B23" t="s">
        <v>495</v>
      </c>
      <c r="C23" t="s">
        <v>632</v>
      </c>
      <c r="D23" t="s">
        <v>632</v>
      </c>
      <c r="E23" t="s">
        <v>335</v>
      </c>
      <c r="F23" t="s">
        <v>328</v>
      </c>
      <c r="G23" t="s">
        <v>329</v>
      </c>
      <c r="H23" t="s">
        <v>175</v>
      </c>
      <c r="I23" t="s">
        <v>632</v>
      </c>
      <c r="J23" t="s">
        <v>175</v>
      </c>
      <c r="K23">
        <v>83</v>
      </c>
      <c r="L23" t="s">
        <v>632</v>
      </c>
      <c r="M23" t="s">
        <v>13</v>
      </c>
      <c r="N23" t="s">
        <v>632</v>
      </c>
      <c r="O23" t="s">
        <v>632</v>
      </c>
      <c r="P23" t="s">
        <v>632</v>
      </c>
      <c r="Q23">
        <v>2003</v>
      </c>
      <c r="R23">
        <v>1</v>
      </c>
      <c r="S23" t="s">
        <v>632</v>
      </c>
      <c r="T23">
        <v>0</v>
      </c>
      <c r="U23">
        <v>0</v>
      </c>
      <c r="V23">
        <v>1</v>
      </c>
      <c r="W23">
        <v>0</v>
      </c>
      <c r="X23" t="s">
        <v>632</v>
      </c>
      <c r="Y23" t="s">
        <v>11</v>
      </c>
      <c r="Z23" t="s">
        <v>496</v>
      </c>
      <c r="AA23" t="s">
        <v>632</v>
      </c>
      <c r="AB23" t="s">
        <v>226</v>
      </c>
      <c r="AC23" t="s">
        <v>668</v>
      </c>
      <c r="AD23" t="s">
        <v>632</v>
      </c>
      <c r="AE23" t="s">
        <v>632</v>
      </c>
      <c r="AF23" t="s">
        <v>632</v>
      </c>
      <c r="AG23">
        <v>2</v>
      </c>
      <c r="AH23" t="s">
        <v>632</v>
      </c>
      <c r="AI23" t="s">
        <v>632</v>
      </c>
      <c r="AJ23" t="s">
        <v>497</v>
      </c>
      <c r="AK23" t="s">
        <v>890</v>
      </c>
      <c r="AL23" t="s">
        <v>891</v>
      </c>
      <c r="AM23" t="s">
        <v>632</v>
      </c>
      <c r="AN23" t="s">
        <v>227</v>
      </c>
      <c r="AO23" t="s">
        <v>632</v>
      </c>
      <c r="AP23" t="s">
        <v>632</v>
      </c>
      <c r="AQ23" t="s">
        <v>819</v>
      </c>
      <c r="AR23" t="s">
        <v>226</v>
      </c>
      <c r="AS23" t="s">
        <v>632</v>
      </c>
      <c r="AT23" t="s">
        <v>632</v>
      </c>
      <c r="AU23">
        <v>2</v>
      </c>
      <c r="AV23" t="s">
        <v>228</v>
      </c>
      <c r="AW23" t="s">
        <v>31</v>
      </c>
      <c r="AX23" t="s">
        <v>229</v>
      </c>
      <c r="AY23" t="s">
        <v>632</v>
      </c>
    </row>
    <row r="24" spans="1:51" x14ac:dyDescent="0.35">
      <c r="A24" t="s">
        <v>547</v>
      </c>
      <c r="B24" t="s">
        <v>548</v>
      </c>
      <c r="C24" t="s">
        <v>632</v>
      </c>
      <c r="D24" t="s">
        <v>632</v>
      </c>
      <c r="E24" t="s">
        <v>335</v>
      </c>
      <c r="F24" t="s">
        <v>328</v>
      </c>
      <c r="G24" t="s">
        <v>329</v>
      </c>
      <c r="H24" t="s">
        <v>7</v>
      </c>
      <c r="I24" t="s">
        <v>632</v>
      </c>
      <c r="J24" t="s">
        <v>7</v>
      </c>
      <c r="K24">
        <v>29</v>
      </c>
      <c r="L24" t="s">
        <v>632</v>
      </c>
      <c r="M24" t="s">
        <v>13</v>
      </c>
      <c r="N24" t="s">
        <v>632</v>
      </c>
      <c r="O24" t="s">
        <v>632</v>
      </c>
      <c r="P24" t="s">
        <v>549</v>
      </c>
      <c r="Q24">
        <v>2015</v>
      </c>
      <c r="R24">
        <v>0</v>
      </c>
      <c r="S24" t="s">
        <v>632</v>
      </c>
      <c r="T24">
        <v>0</v>
      </c>
      <c r="U24">
        <v>0</v>
      </c>
      <c r="V24">
        <v>0</v>
      </c>
      <c r="W24">
        <v>0</v>
      </c>
      <c r="X24" t="s">
        <v>184</v>
      </c>
      <c r="Y24" t="s">
        <v>11</v>
      </c>
      <c r="Z24" t="s">
        <v>496</v>
      </c>
      <c r="AA24" t="s">
        <v>632</v>
      </c>
      <c r="AB24" t="s">
        <v>180</v>
      </c>
      <c r="AC24" t="s">
        <v>676</v>
      </c>
      <c r="AD24" t="s">
        <v>632</v>
      </c>
      <c r="AE24" t="s">
        <v>632</v>
      </c>
      <c r="AF24" t="s">
        <v>632</v>
      </c>
      <c r="AG24">
        <v>4</v>
      </c>
      <c r="AH24" t="s">
        <v>632</v>
      </c>
      <c r="AI24" t="s">
        <v>632</v>
      </c>
      <c r="AJ24" t="s">
        <v>632</v>
      </c>
      <c r="AK24" t="s">
        <v>897</v>
      </c>
      <c r="AL24" t="s">
        <v>550</v>
      </c>
      <c r="AM24" t="s">
        <v>632</v>
      </c>
      <c r="AN24" t="s">
        <v>181</v>
      </c>
      <c r="AO24" t="s">
        <v>632</v>
      </c>
      <c r="AP24" t="s">
        <v>632</v>
      </c>
      <c r="AQ24" t="s">
        <v>819</v>
      </c>
      <c r="AR24" t="s">
        <v>182</v>
      </c>
      <c r="AS24" t="s">
        <v>46</v>
      </c>
      <c r="AT24" t="s">
        <v>184</v>
      </c>
      <c r="AU24">
        <v>4</v>
      </c>
      <c r="AV24" t="s">
        <v>183</v>
      </c>
      <c r="AW24" t="s">
        <v>31</v>
      </c>
      <c r="AX24" t="s">
        <v>185</v>
      </c>
      <c r="AY24" t="s">
        <v>632</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0D4BC-542E-49D8-B02A-56096A905D01}">
  <dimension ref="A1:CB47"/>
  <sheetViews>
    <sheetView topLeftCell="U1" workbookViewId="0">
      <selection activeCell="U3" sqref="U3"/>
    </sheetView>
  </sheetViews>
  <sheetFormatPr defaultRowHeight="14.5" x14ac:dyDescent="0.35"/>
  <cols>
    <col min="1" max="1" width="17.7265625" bestFit="1" customWidth="1"/>
    <col min="2" max="2" width="35.90625" bestFit="1" customWidth="1"/>
    <col min="3" max="3" width="12" bestFit="1" customWidth="1"/>
    <col min="4" max="4" width="16.36328125" bestFit="1" customWidth="1"/>
    <col min="5" max="5" width="16.08984375" bestFit="1" customWidth="1"/>
    <col min="6" max="6" width="14.1796875" bestFit="1" customWidth="1"/>
    <col min="7" max="7" width="13" bestFit="1" customWidth="1"/>
    <col min="8" max="8" width="64.26953125" bestFit="1" customWidth="1"/>
    <col min="9" max="9" width="13.7265625" bestFit="1" customWidth="1"/>
    <col min="10" max="10" width="14.81640625" bestFit="1" customWidth="1"/>
    <col min="11" max="11" width="8.1796875" bestFit="1" customWidth="1"/>
    <col min="12" max="12" width="9.81640625" bestFit="1" customWidth="1"/>
    <col min="13" max="13" width="11.08984375" bestFit="1" customWidth="1"/>
    <col min="14" max="14" width="13.1796875" bestFit="1" customWidth="1"/>
    <col min="15" max="15" width="16.7265625" bestFit="1" customWidth="1"/>
    <col min="16" max="16" width="24" bestFit="1" customWidth="1"/>
    <col min="17" max="17" width="16.81640625" bestFit="1" customWidth="1"/>
    <col min="18" max="18" width="16.08984375" bestFit="1" customWidth="1"/>
    <col min="19" max="19" width="23.7265625" bestFit="1" customWidth="1"/>
    <col min="20" max="20" width="17.81640625" bestFit="1" customWidth="1"/>
    <col min="21" max="21" width="16.26953125" bestFit="1" customWidth="1"/>
    <col min="22" max="22" width="26.90625" bestFit="1" customWidth="1"/>
    <col min="23" max="23" width="80.7265625" bestFit="1" customWidth="1"/>
    <col min="24" max="24" width="25.453125" bestFit="1" customWidth="1"/>
    <col min="25" max="25" width="14.26953125" bestFit="1" customWidth="1"/>
    <col min="26" max="26" width="7.36328125" bestFit="1" customWidth="1"/>
    <col min="27" max="27" width="24" bestFit="1" customWidth="1"/>
    <col min="28" max="28" width="19.90625" bestFit="1" customWidth="1"/>
    <col min="29" max="29" width="13.6328125" bestFit="1" customWidth="1"/>
    <col min="30" max="30" width="10.08984375" bestFit="1" customWidth="1"/>
    <col min="31" max="31" width="9.7265625" bestFit="1" customWidth="1"/>
    <col min="32" max="32" width="16.54296875" bestFit="1" customWidth="1"/>
    <col min="33" max="33" width="13.90625" bestFit="1" customWidth="1"/>
    <col min="34" max="34" width="12.7265625" bestFit="1" customWidth="1"/>
    <col min="35" max="35" width="9.90625" bestFit="1" customWidth="1"/>
    <col min="36" max="36" width="14.54296875" bestFit="1" customWidth="1"/>
    <col min="37" max="37" width="10.7265625" bestFit="1" customWidth="1"/>
    <col min="38" max="38" width="12.26953125" bestFit="1" customWidth="1"/>
    <col min="39" max="39" width="16.453125" bestFit="1" customWidth="1"/>
    <col min="40" max="40" width="11.36328125" bestFit="1" customWidth="1"/>
    <col min="41" max="41" width="14.54296875" bestFit="1" customWidth="1"/>
    <col min="42" max="42" width="30.26953125" bestFit="1" customWidth="1"/>
    <col min="43" max="43" width="12.1796875" bestFit="1" customWidth="1"/>
    <col min="44" max="44" width="8.81640625" bestFit="1" customWidth="1"/>
    <col min="45" max="45" width="44.1796875" bestFit="1" customWidth="1"/>
    <col min="46" max="46" width="5.81640625" bestFit="1" customWidth="1"/>
    <col min="47" max="47" width="8.6328125" bestFit="1" customWidth="1"/>
    <col min="48" max="48" width="11.6328125" bestFit="1" customWidth="1"/>
    <col min="49" max="49" width="12.54296875" bestFit="1" customWidth="1"/>
    <col min="50" max="50" width="45.81640625" bestFit="1" customWidth="1"/>
    <col min="51" max="51" width="9.6328125" bestFit="1" customWidth="1"/>
    <col min="52" max="52" width="16.90625" bestFit="1" customWidth="1"/>
    <col min="53" max="53" width="20.08984375" bestFit="1" customWidth="1"/>
    <col min="54" max="54" width="80.7265625" bestFit="1" customWidth="1"/>
    <col min="55" max="55" width="70.81640625" bestFit="1" customWidth="1"/>
    <col min="56" max="56" width="8.1796875" bestFit="1" customWidth="1"/>
    <col min="57" max="57" width="26.90625" bestFit="1" customWidth="1"/>
    <col min="58" max="58" width="80.7265625" bestFit="1" customWidth="1"/>
    <col min="59" max="59" width="30.54296875" bestFit="1" customWidth="1"/>
    <col min="60" max="60" width="80.7265625" bestFit="1" customWidth="1"/>
    <col min="61" max="61" width="15.7265625" bestFit="1" customWidth="1"/>
    <col min="62" max="62" width="46.1796875" bestFit="1" customWidth="1"/>
    <col min="63" max="63" width="9.90625" bestFit="1" customWidth="1"/>
    <col min="64" max="64" width="20.1796875" bestFit="1" customWidth="1"/>
    <col min="65" max="65" width="46" bestFit="1" customWidth="1"/>
    <col min="66" max="66" width="15.36328125" bestFit="1" customWidth="1"/>
    <col min="67" max="67" width="10" bestFit="1" customWidth="1"/>
    <col min="68" max="68" width="6.6328125" bestFit="1" customWidth="1"/>
    <col min="69" max="69" width="10.90625" bestFit="1" customWidth="1"/>
    <col min="70" max="70" width="80.7265625" bestFit="1" customWidth="1"/>
    <col min="71" max="71" width="9.6328125" bestFit="1" customWidth="1"/>
    <col min="72" max="72" width="16.453125" bestFit="1" customWidth="1"/>
    <col min="73" max="73" width="12.36328125" bestFit="1" customWidth="1"/>
    <col min="74" max="74" width="80.7265625" bestFit="1" customWidth="1"/>
    <col min="75" max="75" width="11.7265625" bestFit="1" customWidth="1"/>
    <col min="76" max="76" width="33.1796875" bestFit="1" customWidth="1"/>
    <col min="77" max="77" width="15" bestFit="1" customWidth="1"/>
    <col min="78" max="78" width="35.90625" bestFit="1" customWidth="1"/>
    <col min="79" max="79" width="80.7265625" bestFit="1" customWidth="1"/>
    <col min="80" max="80" width="12" bestFit="1" customWidth="1"/>
    <col min="81" max="81" width="81.1796875" bestFit="1" customWidth="1"/>
    <col min="82" max="82" width="12.7265625" bestFit="1" customWidth="1"/>
  </cols>
  <sheetData>
    <row r="1" spans="1:80" x14ac:dyDescent="0.35">
      <c r="A1" t="s">
        <v>562</v>
      </c>
      <c r="B1" t="s">
        <v>563</v>
      </c>
      <c r="C1" t="s">
        <v>564</v>
      </c>
      <c r="D1" t="s">
        <v>565</v>
      </c>
      <c r="E1" t="s">
        <v>566</v>
      </c>
      <c r="F1" t="s">
        <v>567</v>
      </c>
      <c r="G1" t="s">
        <v>568</v>
      </c>
      <c r="H1" t="s">
        <v>569</v>
      </c>
      <c r="I1" t="s">
        <v>570</v>
      </c>
      <c r="J1" t="s">
        <v>571</v>
      </c>
      <c r="K1" t="s">
        <v>572</v>
      </c>
      <c r="L1" t="s">
        <v>573</v>
      </c>
      <c r="M1" t="s">
        <v>574</v>
      </c>
      <c r="N1" t="s">
        <v>575</v>
      </c>
      <c r="O1" t="s">
        <v>576</v>
      </c>
      <c r="P1" t="s">
        <v>577</v>
      </c>
      <c r="Q1" t="s">
        <v>578</v>
      </c>
      <c r="R1" t="s">
        <v>579</v>
      </c>
      <c r="S1" t="s">
        <v>580</v>
      </c>
      <c r="T1" t="s">
        <v>814</v>
      </c>
      <c r="U1" t="s">
        <v>581</v>
      </c>
      <c r="V1" t="s">
        <v>582</v>
      </c>
      <c r="W1" t="s">
        <v>583</v>
      </c>
      <c r="X1" t="s">
        <v>584</v>
      </c>
      <c r="Y1" t="s">
        <v>585</v>
      </c>
      <c r="Z1" t="s">
        <v>586</v>
      </c>
      <c r="AA1" t="s">
        <v>587</v>
      </c>
      <c r="AB1" t="s">
        <v>588</v>
      </c>
      <c r="AC1" t="s">
        <v>589</v>
      </c>
      <c r="AD1" t="s">
        <v>590</v>
      </c>
      <c r="AE1" t="s">
        <v>591</v>
      </c>
      <c r="AF1" t="s">
        <v>791</v>
      </c>
      <c r="AG1" t="s">
        <v>592</v>
      </c>
      <c r="AH1" t="s">
        <v>593</v>
      </c>
      <c r="AI1" t="s">
        <v>594</v>
      </c>
      <c r="AJ1" t="s">
        <v>595</v>
      </c>
      <c r="AK1" t="s">
        <v>596</v>
      </c>
      <c r="AL1" t="s">
        <v>597</v>
      </c>
      <c r="AM1" t="s">
        <v>598</v>
      </c>
      <c r="AN1" t="s">
        <v>599</v>
      </c>
      <c r="AO1" t="s">
        <v>600</v>
      </c>
      <c r="AP1" t="s">
        <v>601</v>
      </c>
      <c r="AQ1" t="s">
        <v>313</v>
      </c>
      <c r="AR1" t="s">
        <v>602</v>
      </c>
      <c r="AS1" t="s">
        <v>603</v>
      </c>
      <c r="AT1" t="s">
        <v>604</v>
      </c>
      <c r="AU1" t="s">
        <v>605</v>
      </c>
      <c r="AV1" t="s">
        <v>606</v>
      </c>
      <c r="AW1" t="s">
        <v>607</v>
      </c>
      <c r="AX1" t="s">
        <v>323</v>
      </c>
      <c r="AY1" t="s">
        <v>608</v>
      </c>
      <c r="AZ1" t="s">
        <v>609</v>
      </c>
      <c r="BA1" t="s">
        <v>610</v>
      </c>
      <c r="BB1" t="s">
        <v>611</v>
      </c>
      <c r="BC1" t="s">
        <v>612</v>
      </c>
      <c r="BD1" t="s">
        <v>613</v>
      </c>
      <c r="BE1" t="s">
        <v>792</v>
      </c>
      <c r="BF1" t="s">
        <v>793</v>
      </c>
      <c r="BG1" t="s">
        <v>794</v>
      </c>
      <c r="BH1" t="s">
        <v>614</v>
      </c>
      <c r="BI1" t="s">
        <v>815</v>
      </c>
      <c r="BJ1" t="s">
        <v>615</v>
      </c>
      <c r="BK1" t="s">
        <v>616</v>
      </c>
      <c r="BL1" t="s">
        <v>617</v>
      </c>
      <c r="BM1" t="s">
        <v>618</v>
      </c>
      <c r="BN1" t="s">
        <v>619</v>
      </c>
      <c r="BO1" t="s">
        <v>620</v>
      </c>
      <c r="BP1" t="s">
        <v>621</v>
      </c>
      <c r="BQ1" t="s">
        <v>622</v>
      </c>
      <c r="BR1" t="s">
        <v>623</v>
      </c>
      <c r="BS1" t="s">
        <v>624</v>
      </c>
      <c r="BT1" t="s">
        <v>625</v>
      </c>
      <c r="BU1" t="s">
        <v>626</v>
      </c>
      <c r="BV1" t="s">
        <v>627</v>
      </c>
      <c r="BW1" t="s">
        <v>628</v>
      </c>
      <c r="BX1" t="s">
        <v>629</v>
      </c>
      <c r="BY1" t="s">
        <v>630</v>
      </c>
      <c r="BZ1" t="s">
        <v>324</v>
      </c>
      <c r="CA1" t="s">
        <v>816</v>
      </c>
      <c r="CB1" t="s">
        <v>631</v>
      </c>
    </row>
    <row r="2" spans="1:80" x14ac:dyDescent="0.35">
      <c r="A2" t="s">
        <v>325</v>
      </c>
      <c r="B2" t="s">
        <v>326</v>
      </c>
      <c r="C2" t="s">
        <v>632</v>
      </c>
      <c r="D2" t="s">
        <v>632</v>
      </c>
      <c r="E2" t="s">
        <v>327</v>
      </c>
      <c r="F2" t="s">
        <v>328</v>
      </c>
      <c r="G2" t="s">
        <v>329</v>
      </c>
      <c r="H2" t="s">
        <v>632</v>
      </c>
      <c r="I2" t="s">
        <v>18</v>
      </c>
      <c r="J2" t="s">
        <v>632</v>
      </c>
      <c r="K2" t="s">
        <v>18</v>
      </c>
      <c r="L2" t="s">
        <v>632</v>
      </c>
      <c r="M2" t="s">
        <v>632</v>
      </c>
      <c r="N2">
        <v>8683</v>
      </c>
      <c r="O2">
        <v>22</v>
      </c>
      <c r="Q2" t="s">
        <v>632</v>
      </c>
      <c r="S2" t="s">
        <v>632</v>
      </c>
      <c r="T2" t="s">
        <v>632</v>
      </c>
      <c r="U2" t="s">
        <v>35</v>
      </c>
      <c r="V2" t="s">
        <v>632</v>
      </c>
      <c r="W2" t="s">
        <v>632</v>
      </c>
      <c r="X2" t="s">
        <v>632</v>
      </c>
      <c r="Y2">
        <v>2015</v>
      </c>
      <c r="Z2" t="s">
        <v>632</v>
      </c>
      <c r="AA2" t="s">
        <v>632</v>
      </c>
      <c r="AB2" t="s">
        <v>632</v>
      </c>
      <c r="AD2">
        <v>0</v>
      </c>
      <c r="AF2">
        <v>0</v>
      </c>
      <c r="AG2">
        <v>0</v>
      </c>
      <c r="AH2">
        <v>0</v>
      </c>
      <c r="AI2">
        <v>0</v>
      </c>
      <c r="AJ2" t="s">
        <v>632</v>
      </c>
      <c r="AK2">
        <v>0</v>
      </c>
      <c r="AL2">
        <v>0</v>
      </c>
      <c r="AM2">
        <v>0</v>
      </c>
      <c r="AN2">
        <v>0</v>
      </c>
      <c r="AO2" t="s">
        <v>632</v>
      </c>
      <c r="AP2" t="s">
        <v>632</v>
      </c>
      <c r="AQ2" t="s">
        <v>11</v>
      </c>
      <c r="AR2" t="s">
        <v>330</v>
      </c>
      <c r="AS2" t="s">
        <v>632</v>
      </c>
      <c r="AT2" t="s">
        <v>632</v>
      </c>
      <c r="AU2" t="s">
        <v>632</v>
      </c>
      <c r="AV2" t="s">
        <v>163</v>
      </c>
      <c r="AW2">
        <v>20</v>
      </c>
      <c r="AX2" t="s">
        <v>161</v>
      </c>
      <c r="AY2" t="s">
        <v>633</v>
      </c>
      <c r="AZ2" t="s">
        <v>632</v>
      </c>
      <c r="BA2" s="1"/>
      <c r="BB2" t="s">
        <v>905</v>
      </c>
      <c r="BC2" t="s">
        <v>632</v>
      </c>
      <c r="BE2" t="s">
        <v>632</v>
      </c>
      <c r="BF2" t="s">
        <v>632</v>
      </c>
      <c r="BG2" t="s">
        <v>632</v>
      </c>
      <c r="BH2" t="s">
        <v>331</v>
      </c>
      <c r="BI2" t="s">
        <v>632</v>
      </c>
      <c r="BJ2" t="s">
        <v>632</v>
      </c>
      <c r="BK2" t="s">
        <v>52</v>
      </c>
      <c r="BL2" t="s">
        <v>632</v>
      </c>
      <c r="BM2" t="s">
        <v>632</v>
      </c>
      <c r="BN2" t="s">
        <v>332</v>
      </c>
      <c r="BO2" t="s">
        <v>162</v>
      </c>
      <c r="BP2" t="s">
        <v>632</v>
      </c>
      <c r="BQ2" t="s">
        <v>632</v>
      </c>
      <c r="BR2" t="s">
        <v>817</v>
      </c>
      <c r="BS2" t="s">
        <v>632</v>
      </c>
      <c r="BT2" t="s">
        <v>632</v>
      </c>
      <c r="BU2" t="s">
        <v>632</v>
      </c>
      <c r="BV2" t="s">
        <v>905</v>
      </c>
      <c r="BX2" t="s">
        <v>136</v>
      </c>
      <c r="BY2" t="s">
        <v>136</v>
      </c>
      <c r="BZ2" t="s">
        <v>164</v>
      </c>
      <c r="CA2" t="s">
        <v>818</v>
      </c>
      <c r="CB2" t="s">
        <v>632</v>
      </c>
    </row>
    <row r="3" spans="1:80" x14ac:dyDescent="0.35">
      <c r="A3" t="s">
        <v>333</v>
      </c>
      <c r="B3" t="s">
        <v>334</v>
      </c>
      <c r="C3" t="s">
        <v>632</v>
      </c>
      <c r="D3" t="s">
        <v>632</v>
      </c>
      <c r="E3" t="s">
        <v>335</v>
      </c>
      <c r="F3" t="s">
        <v>328</v>
      </c>
      <c r="G3" t="s">
        <v>329</v>
      </c>
      <c r="H3" t="s">
        <v>632</v>
      </c>
      <c r="I3" t="s">
        <v>18</v>
      </c>
      <c r="J3" t="s">
        <v>632</v>
      </c>
      <c r="K3" t="s">
        <v>18</v>
      </c>
      <c r="L3" t="s">
        <v>632</v>
      </c>
      <c r="M3" t="s">
        <v>632</v>
      </c>
      <c r="N3">
        <v>13496</v>
      </c>
      <c r="O3">
        <v>29</v>
      </c>
      <c r="Q3" t="s">
        <v>632</v>
      </c>
      <c r="S3" t="s">
        <v>632</v>
      </c>
      <c r="T3" t="s">
        <v>632</v>
      </c>
      <c r="U3" t="s">
        <v>13</v>
      </c>
      <c r="V3" t="s">
        <v>632</v>
      </c>
      <c r="W3" t="s">
        <v>336</v>
      </c>
      <c r="X3" t="s">
        <v>632</v>
      </c>
      <c r="Y3">
        <v>2015</v>
      </c>
      <c r="Z3" t="s">
        <v>632</v>
      </c>
      <c r="AA3" t="s">
        <v>632</v>
      </c>
      <c r="AB3" t="s">
        <v>632</v>
      </c>
      <c r="AD3">
        <v>0</v>
      </c>
      <c r="AF3">
        <v>0</v>
      </c>
      <c r="AG3">
        <v>0</v>
      </c>
      <c r="AH3">
        <v>0</v>
      </c>
      <c r="AI3">
        <v>0</v>
      </c>
      <c r="AJ3" t="s">
        <v>632</v>
      </c>
      <c r="AK3">
        <v>1</v>
      </c>
      <c r="AL3">
        <v>0</v>
      </c>
      <c r="AM3">
        <v>0</v>
      </c>
      <c r="AN3">
        <v>0</v>
      </c>
      <c r="AO3" t="s">
        <v>632</v>
      </c>
      <c r="AP3" t="s">
        <v>132</v>
      </c>
      <c r="AQ3" t="s">
        <v>11</v>
      </c>
      <c r="AR3" t="s">
        <v>330</v>
      </c>
      <c r="AS3" t="s">
        <v>632</v>
      </c>
      <c r="AT3" t="s">
        <v>632</v>
      </c>
      <c r="AU3" t="s">
        <v>632</v>
      </c>
      <c r="AV3" t="s">
        <v>129</v>
      </c>
      <c r="AW3">
        <v>50</v>
      </c>
      <c r="AX3" t="s">
        <v>128</v>
      </c>
      <c r="AY3" t="s">
        <v>337</v>
      </c>
      <c r="AZ3" t="s">
        <v>632</v>
      </c>
      <c r="BA3" s="1">
        <v>43776</v>
      </c>
      <c r="BB3" t="s">
        <v>632</v>
      </c>
      <c r="BC3" t="s">
        <v>632</v>
      </c>
      <c r="BD3">
        <v>4</v>
      </c>
      <c r="BE3" t="s">
        <v>632</v>
      </c>
      <c r="BF3" t="s">
        <v>632</v>
      </c>
      <c r="BG3" t="s">
        <v>632</v>
      </c>
      <c r="BH3" t="s">
        <v>338</v>
      </c>
      <c r="BI3" t="s">
        <v>632</v>
      </c>
      <c r="BJ3" t="s">
        <v>632</v>
      </c>
      <c r="BK3" t="s">
        <v>104</v>
      </c>
      <c r="BL3" t="s">
        <v>632</v>
      </c>
      <c r="BM3" t="s">
        <v>632</v>
      </c>
      <c r="BN3" t="s">
        <v>632</v>
      </c>
      <c r="BO3" t="s">
        <v>122</v>
      </c>
      <c r="BP3" t="s">
        <v>632</v>
      </c>
      <c r="BQ3" t="s">
        <v>632</v>
      </c>
      <c r="BR3" t="s">
        <v>819</v>
      </c>
      <c r="BS3" t="s">
        <v>632</v>
      </c>
      <c r="BT3" t="s">
        <v>130</v>
      </c>
      <c r="BU3" t="s">
        <v>632</v>
      </c>
      <c r="BV3" t="s">
        <v>906</v>
      </c>
      <c r="BW3">
        <v>4</v>
      </c>
      <c r="BX3" t="s">
        <v>131</v>
      </c>
      <c r="BY3" t="s">
        <v>6</v>
      </c>
      <c r="BZ3" t="s">
        <v>133</v>
      </c>
      <c r="CA3" t="s">
        <v>632</v>
      </c>
      <c r="CB3" t="s">
        <v>632</v>
      </c>
    </row>
    <row r="4" spans="1:80" x14ac:dyDescent="0.35">
      <c r="A4" t="s">
        <v>339</v>
      </c>
      <c r="B4" t="s">
        <v>340</v>
      </c>
      <c r="C4" t="s">
        <v>632</v>
      </c>
      <c r="D4" t="s">
        <v>632</v>
      </c>
      <c r="E4" t="s">
        <v>335</v>
      </c>
      <c r="F4" t="s">
        <v>328</v>
      </c>
      <c r="G4" t="s">
        <v>329</v>
      </c>
      <c r="H4" t="s">
        <v>632</v>
      </c>
      <c r="I4" t="s">
        <v>18</v>
      </c>
      <c r="J4" t="s">
        <v>632</v>
      </c>
      <c r="K4" t="s">
        <v>18</v>
      </c>
      <c r="L4" t="s">
        <v>632</v>
      </c>
      <c r="M4" t="s">
        <v>632</v>
      </c>
      <c r="N4">
        <v>20275</v>
      </c>
      <c r="O4">
        <v>19</v>
      </c>
      <c r="Q4" t="s">
        <v>632</v>
      </c>
      <c r="S4" t="s">
        <v>632</v>
      </c>
      <c r="T4" t="s">
        <v>632</v>
      </c>
      <c r="U4" t="s">
        <v>13</v>
      </c>
      <c r="V4" t="s">
        <v>632</v>
      </c>
      <c r="W4" t="s">
        <v>907</v>
      </c>
      <c r="X4" t="s">
        <v>632</v>
      </c>
      <c r="Y4">
        <v>2015</v>
      </c>
      <c r="Z4" t="s">
        <v>632</v>
      </c>
      <c r="AA4" t="s">
        <v>632</v>
      </c>
      <c r="AB4" t="s">
        <v>632</v>
      </c>
      <c r="AD4">
        <v>0</v>
      </c>
      <c r="AF4">
        <v>0</v>
      </c>
      <c r="AG4">
        <v>0</v>
      </c>
      <c r="AH4">
        <v>0</v>
      </c>
      <c r="AI4">
        <v>0</v>
      </c>
      <c r="AJ4" t="s">
        <v>632</v>
      </c>
      <c r="AK4">
        <v>1</v>
      </c>
      <c r="AL4">
        <v>0</v>
      </c>
      <c r="AM4">
        <v>0</v>
      </c>
      <c r="AN4">
        <v>0</v>
      </c>
      <c r="AO4" t="s">
        <v>632</v>
      </c>
      <c r="AP4" t="s">
        <v>632</v>
      </c>
      <c r="AQ4" t="s">
        <v>11</v>
      </c>
      <c r="AR4" t="s">
        <v>330</v>
      </c>
      <c r="AS4" t="s">
        <v>632</v>
      </c>
      <c r="AT4" t="s">
        <v>632</v>
      </c>
      <c r="AU4" t="s">
        <v>632</v>
      </c>
      <c r="AV4" t="s">
        <v>135</v>
      </c>
      <c r="AW4">
        <v>40</v>
      </c>
      <c r="AX4" t="s">
        <v>134</v>
      </c>
      <c r="AY4" t="s">
        <v>341</v>
      </c>
      <c r="AZ4" t="s">
        <v>632</v>
      </c>
      <c r="BA4" s="1">
        <v>43776</v>
      </c>
      <c r="BB4" t="s">
        <v>632</v>
      </c>
      <c r="BC4" t="s">
        <v>632</v>
      </c>
      <c r="BE4" t="s">
        <v>632</v>
      </c>
      <c r="BF4" t="s">
        <v>632</v>
      </c>
      <c r="BG4" t="s">
        <v>632</v>
      </c>
      <c r="BH4" t="s">
        <v>342</v>
      </c>
      <c r="BI4" t="s">
        <v>632</v>
      </c>
      <c r="BJ4" t="s">
        <v>632</v>
      </c>
      <c r="BK4" t="s">
        <v>14</v>
      </c>
      <c r="BL4" t="s">
        <v>632</v>
      </c>
      <c r="BM4" t="s">
        <v>632</v>
      </c>
      <c r="BN4" t="s">
        <v>632</v>
      </c>
      <c r="BO4" t="s">
        <v>122</v>
      </c>
      <c r="BP4" t="s">
        <v>632</v>
      </c>
      <c r="BQ4" t="s">
        <v>632</v>
      </c>
      <c r="BR4" t="s">
        <v>819</v>
      </c>
      <c r="BS4" t="s">
        <v>632</v>
      </c>
      <c r="BT4" t="s">
        <v>632</v>
      </c>
      <c r="BU4" t="s">
        <v>632</v>
      </c>
      <c r="BV4" t="s">
        <v>137</v>
      </c>
      <c r="BX4" t="s">
        <v>136</v>
      </c>
      <c r="BY4" t="s">
        <v>136</v>
      </c>
      <c r="BZ4" t="s">
        <v>138</v>
      </c>
      <c r="CA4" t="s">
        <v>632</v>
      </c>
      <c r="CB4" t="s">
        <v>632</v>
      </c>
    </row>
    <row r="5" spans="1:80" x14ac:dyDescent="0.35">
      <c r="A5" t="s">
        <v>343</v>
      </c>
      <c r="B5" t="s">
        <v>344</v>
      </c>
      <c r="C5" t="s">
        <v>632</v>
      </c>
      <c r="D5" t="s">
        <v>632</v>
      </c>
      <c r="E5" t="s">
        <v>345</v>
      </c>
      <c r="F5" t="s">
        <v>328</v>
      </c>
      <c r="G5" t="s">
        <v>329</v>
      </c>
      <c r="H5" t="s">
        <v>346</v>
      </c>
      <c r="I5" t="s">
        <v>64</v>
      </c>
      <c r="J5" t="s">
        <v>632</v>
      </c>
      <c r="K5" t="s">
        <v>632</v>
      </c>
      <c r="L5" t="s">
        <v>632</v>
      </c>
      <c r="M5" t="s">
        <v>632</v>
      </c>
      <c r="P5">
        <v>110</v>
      </c>
      <c r="Q5" t="s">
        <v>632</v>
      </c>
      <c r="R5">
        <v>110</v>
      </c>
      <c r="S5" t="s">
        <v>347</v>
      </c>
      <c r="T5" t="s">
        <v>632</v>
      </c>
      <c r="U5" t="s">
        <v>35</v>
      </c>
      <c r="V5" t="s">
        <v>632</v>
      </c>
      <c r="W5" t="s">
        <v>348</v>
      </c>
      <c r="X5" t="s">
        <v>349</v>
      </c>
      <c r="Y5">
        <v>2015</v>
      </c>
      <c r="Z5" t="s">
        <v>632</v>
      </c>
      <c r="AA5" t="s">
        <v>632</v>
      </c>
      <c r="AB5" t="s">
        <v>632</v>
      </c>
      <c r="AD5">
        <v>0</v>
      </c>
      <c r="AF5">
        <v>0</v>
      </c>
      <c r="AG5">
        <v>0</v>
      </c>
      <c r="AH5">
        <v>0</v>
      </c>
      <c r="AI5">
        <v>0</v>
      </c>
      <c r="AJ5" t="s">
        <v>632</v>
      </c>
      <c r="AK5">
        <v>0</v>
      </c>
      <c r="AL5">
        <v>0</v>
      </c>
      <c r="AM5">
        <v>0</v>
      </c>
      <c r="AN5">
        <v>0</v>
      </c>
      <c r="AO5" t="s">
        <v>632</v>
      </c>
      <c r="AP5" t="s">
        <v>820</v>
      </c>
      <c r="AQ5" t="s">
        <v>11</v>
      </c>
      <c r="AR5" t="s">
        <v>350</v>
      </c>
      <c r="AS5" t="s">
        <v>632</v>
      </c>
      <c r="AT5" t="s">
        <v>632</v>
      </c>
      <c r="AU5" t="s">
        <v>632</v>
      </c>
      <c r="AV5" t="s">
        <v>632</v>
      </c>
      <c r="AW5">
        <v>110</v>
      </c>
      <c r="AX5" t="s">
        <v>347</v>
      </c>
      <c r="AY5" t="s">
        <v>351</v>
      </c>
      <c r="AZ5" t="s">
        <v>632</v>
      </c>
      <c r="BA5" s="1"/>
      <c r="BB5" t="s">
        <v>908</v>
      </c>
      <c r="BC5" t="s">
        <v>973</v>
      </c>
      <c r="BD5">
        <v>9</v>
      </c>
      <c r="BE5" t="s">
        <v>632</v>
      </c>
      <c r="BF5" t="s">
        <v>632</v>
      </c>
      <c r="BG5" t="s">
        <v>632</v>
      </c>
      <c r="BH5" t="s">
        <v>352</v>
      </c>
      <c r="BI5" t="s">
        <v>632</v>
      </c>
      <c r="BJ5" t="s">
        <v>632</v>
      </c>
      <c r="BK5" t="s">
        <v>23</v>
      </c>
      <c r="BL5" t="s">
        <v>632</v>
      </c>
      <c r="BM5" t="s">
        <v>632</v>
      </c>
      <c r="BN5" t="s">
        <v>632</v>
      </c>
      <c r="BO5" t="s">
        <v>192</v>
      </c>
      <c r="BP5" t="s">
        <v>353</v>
      </c>
      <c r="BQ5" t="s">
        <v>632</v>
      </c>
      <c r="BR5" t="s">
        <v>819</v>
      </c>
      <c r="BS5" t="s">
        <v>632</v>
      </c>
      <c r="BT5" t="s">
        <v>354</v>
      </c>
      <c r="BU5" t="s">
        <v>46</v>
      </c>
      <c r="BV5" t="s">
        <v>909</v>
      </c>
      <c r="BW5">
        <v>10</v>
      </c>
      <c r="BX5" t="s">
        <v>355</v>
      </c>
      <c r="BY5" t="s">
        <v>6</v>
      </c>
      <c r="BZ5" t="s">
        <v>356</v>
      </c>
      <c r="CA5" t="s">
        <v>632</v>
      </c>
      <c r="CB5" t="s">
        <v>632</v>
      </c>
    </row>
    <row r="6" spans="1:80" x14ac:dyDescent="0.35">
      <c r="A6" t="s">
        <v>357</v>
      </c>
      <c r="B6" t="s">
        <v>358</v>
      </c>
      <c r="C6" t="s">
        <v>632</v>
      </c>
      <c r="D6" t="s">
        <v>632</v>
      </c>
      <c r="E6" t="s">
        <v>359</v>
      </c>
      <c r="F6" t="s">
        <v>632</v>
      </c>
      <c r="G6" t="s">
        <v>329</v>
      </c>
      <c r="H6" t="s">
        <v>632</v>
      </c>
      <c r="I6" t="s">
        <v>175</v>
      </c>
      <c r="J6" t="s">
        <v>632</v>
      </c>
      <c r="K6" t="s">
        <v>175</v>
      </c>
      <c r="L6" t="s">
        <v>632</v>
      </c>
      <c r="M6" t="s">
        <v>632</v>
      </c>
      <c r="N6">
        <v>3702</v>
      </c>
      <c r="O6">
        <v>31</v>
      </c>
      <c r="Q6" t="s">
        <v>632</v>
      </c>
      <c r="S6" t="s">
        <v>632</v>
      </c>
      <c r="T6" t="s">
        <v>632</v>
      </c>
      <c r="U6" t="s">
        <v>35</v>
      </c>
      <c r="V6" t="s">
        <v>632</v>
      </c>
      <c r="W6" t="s">
        <v>632</v>
      </c>
      <c r="X6" t="s">
        <v>632</v>
      </c>
      <c r="Y6">
        <v>2015</v>
      </c>
      <c r="Z6" t="s">
        <v>632</v>
      </c>
      <c r="AA6" t="s">
        <v>632</v>
      </c>
      <c r="AB6" t="s">
        <v>632</v>
      </c>
      <c r="AD6">
        <v>0</v>
      </c>
      <c r="AF6">
        <v>0</v>
      </c>
      <c r="AG6">
        <v>1</v>
      </c>
      <c r="AH6">
        <v>0</v>
      </c>
      <c r="AI6">
        <v>1</v>
      </c>
      <c r="AJ6" t="s">
        <v>632</v>
      </c>
      <c r="AK6">
        <v>1</v>
      </c>
      <c r="AL6">
        <v>0</v>
      </c>
      <c r="AM6">
        <v>0</v>
      </c>
      <c r="AN6">
        <v>0</v>
      </c>
      <c r="AO6" t="s">
        <v>632</v>
      </c>
      <c r="AP6" t="s">
        <v>632</v>
      </c>
      <c r="AQ6" t="s">
        <v>11</v>
      </c>
      <c r="AR6" t="s">
        <v>330</v>
      </c>
      <c r="AS6" t="s">
        <v>632</v>
      </c>
      <c r="AT6" t="s">
        <v>632</v>
      </c>
      <c r="AU6" t="s">
        <v>632</v>
      </c>
      <c r="AV6" t="s">
        <v>267</v>
      </c>
      <c r="AW6">
        <v>40</v>
      </c>
      <c r="AX6" t="s">
        <v>265</v>
      </c>
      <c r="AY6" t="s">
        <v>634</v>
      </c>
      <c r="AZ6" t="s">
        <v>632</v>
      </c>
      <c r="BA6" s="1">
        <v>44998</v>
      </c>
      <c r="BB6" t="s">
        <v>632</v>
      </c>
      <c r="BC6" t="s">
        <v>632</v>
      </c>
      <c r="BD6">
        <v>4</v>
      </c>
      <c r="BE6" t="s">
        <v>632</v>
      </c>
      <c r="BF6" t="s">
        <v>632</v>
      </c>
      <c r="BG6" t="s">
        <v>632</v>
      </c>
      <c r="BH6" t="s">
        <v>360</v>
      </c>
      <c r="BI6" t="s">
        <v>632</v>
      </c>
      <c r="BJ6" t="s">
        <v>632</v>
      </c>
      <c r="BK6" t="s">
        <v>52</v>
      </c>
      <c r="BL6" t="s">
        <v>632</v>
      </c>
      <c r="BM6" t="s">
        <v>632</v>
      </c>
      <c r="BN6" t="s">
        <v>332</v>
      </c>
      <c r="BO6" t="s">
        <v>266</v>
      </c>
      <c r="BP6" t="s">
        <v>632</v>
      </c>
      <c r="BQ6" t="s">
        <v>632</v>
      </c>
      <c r="BR6" t="s">
        <v>819</v>
      </c>
      <c r="BS6" t="s">
        <v>632</v>
      </c>
      <c r="BT6" t="s">
        <v>268</v>
      </c>
      <c r="BU6" t="s">
        <v>632</v>
      </c>
      <c r="BV6" t="s">
        <v>910</v>
      </c>
      <c r="BW6">
        <v>3</v>
      </c>
      <c r="BX6" t="s">
        <v>269</v>
      </c>
      <c r="BY6" t="s">
        <v>6</v>
      </c>
      <c r="BZ6" t="s">
        <v>270</v>
      </c>
      <c r="CA6" t="s">
        <v>632</v>
      </c>
      <c r="CB6" t="s">
        <v>632</v>
      </c>
    </row>
    <row r="7" spans="1:80" x14ac:dyDescent="0.35">
      <c r="A7" t="s">
        <v>361</v>
      </c>
      <c r="B7" t="s">
        <v>362</v>
      </c>
      <c r="C7" t="s">
        <v>632</v>
      </c>
      <c r="D7" t="s">
        <v>632</v>
      </c>
      <c r="E7" t="s">
        <v>345</v>
      </c>
      <c r="F7" t="s">
        <v>328</v>
      </c>
      <c r="G7" t="s">
        <v>329</v>
      </c>
      <c r="H7" t="s">
        <v>632</v>
      </c>
      <c r="I7" t="s">
        <v>158</v>
      </c>
      <c r="J7" t="s">
        <v>632</v>
      </c>
      <c r="K7" t="s">
        <v>632</v>
      </c>
      <c r="L7" t="s">
        <v>632</v>
      </c>
      <c r="M7" t="s">
        <v>632</v>
      </c>
      <c r="N7">
        <v>20445</v>
      </c>
      <c r="O7">
        <v>26</v>
      </c>
      <c r="Q7" t="s">
        <v>632</v>
      </c>
      <c r="S7" t="s">
        <v>632</v>
      </c>
      <c r="T7" t="s">
        <v>632</v>
      </c>
      <c r="U7" t="s">
        <v>35</v>
      </c>
      <c r="V7" t="s">
        <v>632</v>
      </c>
      <c r="W7" t="s">
        <v>911</v>
      </c>
      <c r="X7" t="s">
        <v>363</v>
      </c>
      <c r="Y7">
        <v>2015</v>
      </c>
      <c r="Z7" t="s">
        <v>632</v>
      </c>
      <c r="AA7" t="s">
        <v>632</v>
      </c>
      <c r="AB7" t="s">
        <v>632</v>
      </c>
      <c r="AD7">
        <v>0</v>
      </c>
      <c r="AF7">
        <v>0</v>
      </c>
      <c r="AG7">
        <v>0</v>
      </c>
      <c r="AH7">
        <v>0</v>
      </c>
      <c r="AI7">
        <v>0</v>
      </c>
      <c r="AJ7" t="s">
        <v>632</v>
      </c>
      <c r="AK7">
        <v>0</v>
      </c>
      <c r="AL7">
        <v>0</v>
      </c>
      <c r="AM7">
        <v>0</v>
      </c>
      <c r="AN7">
        <v>0</v>
      </c>
      <c r="AO7" t="s">
        <v>632</v>
      </c>
      <c r="AP7" t="s">
        <v>821</v>
      </c>
      <c r="AQ7" t="s">
        <v>11</v>
      </c>
      <c r="AR7" t="s">
        <v>330</v>
      </c>
      <c r="AS7" t="s">
        <v>632</v>
      </c>
      <c r="AT7" t="s">
        <v>632</v>
      </c>
      <c r="AU7" t="s">
        <v>632</v>
      </c>
      <c r="AV7" t="s">
        <v>199</v>
      </c>
      <c r="AW7">
        <v>40</v>
      </c>
      <c r="AX7" t="s">
        <v>197</v>
      </c>
      <c r="AY7" t="s">
        <v>635</v>
      </c>
      <c r="AZ7" t="s">
        <v>632</v>
      </c>
      <c r="BA7" s="1"/>
      <c r="BB7" t="s">
        <v>912</v>
      </c>
      <c r="BC7" t="s">
        <v>632</v>
      </c>
      <c r="BD7">
        <v>2</v>
      </c>
      <c r="BE7" t="s">
        <v>632</v>
      </c>
      <c r="BF7" t="s">
        <v>632</v>
      </c>
      <c r="BG7" t="s">
        <v>632</v>
      </c>
      <c r="BH7" t="s">
        <v>198</v>
      </c>
      <c r="BI7" t="s">
        <v>632</v>
      </c>
      <c r="BJ7" t="s">
        <v>632</v>
      </c>
      <c r="BK7" t="s">
        <v>104</v>
      </c>
      <c r="BL7" t="s">
        <v>632</v>
      </c>
      <c r="BM7" t="s">
        <v>632</v>
      </c>
      <c r="BN7" t="s">
        <v>632</v>
      </c>
      <c r="BO7" t="s">
        <v>198</v>
      </c>
      <c r="BP7" t="s">
        <v>632</v>
      </c>
      <c r="BQ7" t="s">
        <v>632</v>
      </c>
      <c r="BR7" t="s">
        <v>822</v>
      </c>
      <c r="BS7" t="s">
        <v>632</v>
      </c>
      <c r="BT7" t="s">
        <v>200</v>
      </c>
      <c r="BU7" t="s">
        <v>632</v>
      </c>
      <c r="BV7" t="s">
        <v>913</v>
      </c>
      <c r="BW7">
        <v>4</v>
      </c>
      <c r="BX7" t="s">
        <v>201</v>
      </c>
      <c r="BY7" t="s">
        <v>6</v>
      </c>
      <c r="BZ7" t="s">
        <v>202</v>
      </c>
      <c r="CA7" t="s">
        <v>632</v>
      </c>
      <c r="CB7" t="s">
        <v>632</v>
      </c>
    </row>
    <row r="8" spans="1:80" x14ac:dyDescent="0.35">
      <c r="A8" t="s">
        <v>364</v>
      </c>
      <c r="B8" t="s">
        <v>365</v>
      </c>
      <c r="C8" t="s">
        <v>632</v>
      </c>
      <c r="D8" t="s">
        <v>632</v>
      </c>
      <c r="E8" t="s">
        <v>345</v>
      </c>
      <c r="F8" t="s">
        <v>328</v>
      </c>
      <c r="G8" t="s">
        <v>329</v>
      </c>
      <c r="H8" t="s">
        <v>632</v>
      </c>
      <c r="I8" t="s">
        <v>7</v>
      </c>
      <c r="J8" t="s">
        <v>632</v>
      </c>
      <c r="K8" t="s">
        <v>7</v>
      </c>
      <c r="L8" t="s">
        <v>632</v>
      </c>
      <c r="M8" t="s">
        <v>632</v>
      </c>
      <c r="N8">
        <v>24062</v>
      </c>
      <c r="O8">
        <v>26</v>
      </c>
      <c r="Q8" t="s">
        <v>632</v>
      </c>
      <c r="S8" t="s">
        <v>632</v>
      </c>
      <c r="T8" t="s">
        <v>632</v>
      </c>
      <c r="U8" t="s">
        <v>35</v>
      </c>
      <c r="V8" t="s">
        <v>632</v>
      </c>
      <c r="W8" t="s">
        <v>632</v>
      </c>
      <c r="X8" t="s">
        <v>632</v>
      </c>
      <c r="Y8">
        <v>2003</v>
      </c>
      <c r="Z8" t="s">
        <v>632</v>
      </c>
      <c r="AA8" t="s">
        <v>632</v>
      </c>
      <c r="AB8" t="s">
        <v>632</v>
      </c>
      <c r="AD8">
        <v>0</v>
      </c>
      <c r="AF8">
        <v>0</v>
      </c>
      <c r="AG8">
        <v>0</v>
      </c>
      <c r="AH8">
        <v>0</v>
      </c>
      <c r="AI8">
        <v>0</v>
      </c>
      <c r="AJ8" t="s">
        <v>632</v>
      </c>
      <c r="AK8">
        <v>0</v>
      </c>
      <c r="AL8">
        <v>0</v>
      </c>
      <c r="AM8">
        <v>0</v>
      </c>
      <c r="AN8">
        <v>0</v>
      </c>
      <c r="AO8" t="s">
        <v>632</v>
      </c>
      <c r="AP8" t="s">
        <v>247</v>
      </c>
      <c r="AQ8" t="s">
        <v>11</v>
      </c>
      <c r="AR8" t="s">
        <v>330</v>
      </c>
      <c r="AS8" t="s">
        <v>632</v>
      </c>
      <c r="AT8" t="s">
        <v>632</v>
      </c>
      <c r="AU8" t="s">
        <v>632</v>
      </c>
      <c r="AV8" t="s">
        <v>244</v>
      </c>
      <c r="AW8">
        <v>50</v>
      </c>
      <c r="AX8" t="s">
        <v>242</v>
      </c>
      <c r="AY8" t="s">
        <v>636</v>
      </c>
      <c r="AZ8" t="s">
        <v>632</v>
      </c>
      <c r="BA8" s="1"/>
      <c r="BB8" t="s">
        <v>914</v>
      </c>
      <c r="BC8" t="s">
        <v>632</v>
      </c>
      <c r="BD8">
        <v>3</v>
      </c>
      <c r="BE8" t="s">
        <v>632</v>
      </c>
      <c r="BF8" t="s">
        <v>632</v>
      </c>
      <c r="BG8" t="s">
        <v>632</v>
      </c>
      <c r="BH8" t="s">
        <v>366</v>
      </c>
      <c r="BI8" t="s">
        <v>632</v>
      </c>
      <c r="BJ8" t="s">
        <v>632</v>
      </c>
      <c r="BK8" t="s">
        <v>104</v>
      </c>
      <c r="BL8" t="s">
        <v>632</v>
      </c>
      <c r="BM8" t="s">
        <v>632</v>
      </c>
      <c r="BN8" t="s">
        <v>632</v>
      </c>
      <c r="BO8" t="s">
        <v>243</v>
      </c>
      <c r="BP8" t="s">
        <v>632</v>
      </c>
      <c r="BQ8" t="s">
        <v>632</v>
      </c>
      <c r="BR8" t="s">
        <v>823</v>
      </c>
      <c r="BS8" t="s">
        <v>632</v>
      </c>
      <c r="BT8" t="s">
        <v>245</v>
      </c>
      <c r="BU8" t="s">
        <v>632</v>
      </c>
      <c r="BV8" t="s">
        <v>915</v>
      </c>
      <c r="BW8">
        <v>1</v>
      </c>
      <c r="BX8" t="s">
        <v>246</v>
      </c>
      <c r="BY8" t="s">
        <v>6</v>
      </c>
      <c r="BZ8" t="s">
        <v>248</v>
      </c>
      <c r="CA8" t="s">
        <v>632</v>
      </c>
      <c r="CB8" t="s">
        <v>632</v>
      </c>
    </row>
    <row r="9" spans="1:80" x14ac:dyDescent="0.35">
      <c r="A9" t="s">
        <v>367</v>
      </c>
      <c r="B9" t="s">
        <v>368</v>
      </c>
      <c r="C9" t="s">
        <v>632</v>
      </c>
      <c r="D9" t="s">
        <v>632</v>
      </c>
      <c r="E9" t="s">
        <v>345</v>
      </c>
      <c r="F9" t="s">
        <v>328</v>
      </c>
      <c r="G9" t="s">
        <v>329</v>
      </c>
      <c r="H9" t="s">
        <v>632</v>
      </c>
      <c r="I9" t="s">
        <v>18</v>
      </c>
      <c r="J9" t="s">
        <v>632</v>
      </c>
      <c r="K9" t="s">
        <v>18</v>
      </c>
      <c r="L9" t="s">
        <v>632</v>
      </c>
      <c r="M9" t="s">
        <v>632</v>
      </c>
      <c r="N9">
        <v>12502</v>
      </c>
      <c r="O9">
        <v>25</v>
      </c>
      <c r="Q9" t="s">
        <v>632</v>
      </c>
      <c r="S9" t="s">
        <v>632</v>
      </c>
      <c r="T9" t="s">
        <v>632</v>
      </c>
      <c r="U9" t="s">
        <v>35</v>
      </c>
      <c r="V9" t="s">
        <v>632</v>
      </c>
      <c r="W9" t="s">
        <v>369</v>
      </c>
      <c r="X9" t="s">
        <v>632</v>
      </c>
      <c r="Y9">
        <v>2015</v>
      </c>
      <c r="Z9" t="s">
        <v>632</v>
      </c>
      <c r="AA9" t="s">
        <v>632</v>
      </c>
      <c r="AB9" t="s">
        <v>632</v>
      </c>
      <c r="AD9">
        <v>0</v>
      </c>
      <c r="AF9">
        <v>0</v>
      </c>
      <c r="AG9">
        <v>0</v>
      </c>
      <c r="AH9">
        <v>0</v>
      </c>
      <c r="AI9">
        <v>0</v>
      </c>
      <c r="AJ9" t="s">
        <v>632</v>
      </c>
      <c r="AK9">
        <v>1</v>
      </c>
      <c r="AL9">
        <v>0</v>
      </c>
      <c r="AM9">
        <v>0</v>
      </c>
      <c r="AN9">
        <v>0</v>
      </c>
      <c r="AO9" t="s">
        <v>632</v>
      </c>
      <c r="AP9" t="s">
        <v>632</v>
      </c>
      <c r="AQ9" t="s">
        <v>11</v>
      </c>
      <c r="AR9" t="s">
        <v>330</v>
      </c>
      <c r="AS9" t="s">
        <v>632</v>
      </c>
      <c r="AT9" t="s">
        <v>632</v>
      </c>
      <c r="AU9" t="s">
        <v>632</v>
      </c>
      <c r="AV9" t="s">
        <v>163</v>
      </c>
      <c r="AW9">
        <v>20</v>
      </c>
      <c r="AX9" t="s">
        <v>208</v>
      </c>
      <c r="AY9" t="s">
        <v>637</v>
      </c>
      <c r="AZ9" t="s">
        <v>632</v>
      </c>
      <c r="BA9" s="1"/>
      <c r="BB9" t="s">
        <v>209</v>
      </c>
      <c r="BC9" t="s">
        <v>632</v>
      </c>
      <c r="BE9" t="s">
        <v>632</v>
      </c>
      <c r="BF9" t="s">
        <v>632</v>
      </c>
      <c r="BG9" t="s">
        <v>632</v>
      </c>
      <c r="BH9" t="s">
        <v>370</v>
      </c>
      <c r="BI9" t="s">
        <v>632</v>
      </c>
      <c r="BJ9" t="s">
        <v>632</v>
      </c>
      <c r="BK9" t="s">
        <v>14</v>
      </c>
      <c r="BL9" t="s">
        <v>632</v>
      </c>
      <c r="BM9" t="s">
        <v>632</v>
      </c>
      <c r="BN9" t="s">
        <v>632</v>
      </c>
      <c r="BO9" t="s">
        <v>204</v>
      </c>
      <c r="BP9" t="s">
        <v>632</v>
      </c>
      <c r="BQ9" t="s">
        <v>632</v>
      </c>
      <c r="BR9" t="s">
        <v>824</v>
      </c>
      <c r="BS9" t="s">
        <v>632</v>
      </c>
      <c r="BT9" t="s">
        <v>632</v>
      </c>
      <c r="BU9" t="s">
        <v>632</v>
      </c>
      <c r="BV9" t="s">
        <v>209</v>
      </c>
      <c r="BX9" t="s">
        <v>136</v>
      </c>
      <c r="BY9" t="s">
        <v>136</v>
      </c>
      <c r="BZ9" t="s">
        <v>210</v>
      </c>
      <c r="CA9" t="s">
        <v>632</v>
      </c>
      <c r="CB9" t="s">
        <v>632</v>
      </c>
    </row>
    <row r="10" spans="1:80" x14ac:dyDescent="0.35">
      <c r="A10" t="s">
        <v>371</v>
      </c>
      <c r="B10" t="s">
        <v>372</v>
      </c>
      <c r="C10" t="s">
        <v>632</v>
      </c>
      <c r="D10" t="s">
        <v>632</v>
      </c>
      <c r="E10" t="s">
        <v>345</v>
      </c>
      <c r="F10" t="s">
        <v>632</v>
      </c>
      <c r="G10" t="s">
        <v>329</v>
      </c>
      <c r="H10" t="s">
        <v>632</v>
      </c>
      <c r="I10" t="s">
        <v>373</v>
      </c>
      <c r="J10" t="s">
        <v>632</v>
      </c>
      <c r="K10" t="s">
        <v>825</v>
      </c>
      <c r="L10" t="s">
        <v>632</v>
      </c>
      <c r="M10" t="s">
        <v>632</v>
      </c>
      <c r="N10">
        <v>4864</v>
      </c>
      <c r="O10">
        <v>64</v>
      </c>
      <c r="Q10" t="s">
        <v>632</v>
      </c>
      <c r="S10" t="s">
        <v>632</v>
      </c>
      <c r="T10" t="s">
        <v>632</v>
      </c>
      <c r="U10" t="s">
        <v>51</v>
      </c>
      <c r="V10" t="s">
        <v>804</v>
      </c>
      <c r="W10" t="s">
        <v>632</v>
      </c>
      <c r="X10" t="s">
        <v>826</v>
      </c>
      <c r="Y10">
        <v>2015</v>
      </c>
      <c r="Z10" t="s">
        <v>632</v>
      </c>
      <c r="AA10" t="s">
        <v>632</v>
      </c>
      <c r="AB10" t="s">
        <v>632</v>
      </c>
      <c r="AD10">
        <v>0</v>
      </c>
      <c r="AF10">
        <v>0</v>
      </c>
      <c r="AG10">
        <v>0</v>
      </c>
      <c r="AH10">
        <v>0</v>
      </c>
      <c r="AI10">
        <v>0</v>
      </c>
      <c r="AJ10" t="s">
        <v>632</v>
      </c>
      <c r="AK10">
        <v>0</v>
      </c>
      <c r="AL10">
        <v>0</v>
      </c>
      <c r="AM10">
        <v>0</v>
      </c>
      <c r="AN10">
        <v>0</v>
      </c>
      <c r="AO10" t="s">
        <v>632</v>
      </c>
      <c r="AP10" t="s">
        <v>827</v>
      </c>
      <c r="AQ10" t="s">
        <v>49</v>
      </c>
      <c r="AR10" t="s">
        <v>330</v>
      </c>
      <c r="AS10" t="s">
        <v>828</v>
      </c>
      <c r="AT10" t="s">
        <v>632</v>
      </c>
      <c r="AU10" t="s">
        <v>632</v>
      </c>
      <c r="AV10" t="s">
        <v>45</v>
      </c>
      <c r="AW10">
        <v>30</v>
      </c>
      <c r="AX10" t="s">
        <v>43</v>
      </c>
      <c r="AY10" t="s">
        <v>662</v>
      </c>
      <c r="AZ10" t="s">
        <v>632</v>
      </c>
      <c r="BA10" s="1"/>
      <c r="BB10" t="s">
        <v>632</v>
      </c>
      <c r="BC10" t="s">
        <v>632</v>
      </c>
      <c r="BD10">
        <v>0</v>
      </c>
      <c r="BE10" t="s">
        <v>804</v>
      </c>
      <c r="BF10" t="s">
        <v>916</v>
      </c>
      <c r="BG10" t="s">
        <v>805</v>
      </c>
      <c r="BH10" t="s">
        <v>44</v>
      </c>
      <c r="BI10" t="s">
        <v>632</v>
      </c>
      <c r="BJ10" t="s">
        <v>829</v>
      </c>
      <c r="BK10" t="s">
        <v>52</v>
      </c>
      <c r="BL10" t="s">
        <v>632</v>
      </c>
      <c r="BM10" t="s">
        <v>632</v>
      </c>
      <c r="BN10" t="s">
        <v>374</v>
      </c>
      <c r="BO10" t="s">
        <v>44</v>
      </c>
      <c r="BP10" t="s">
        <v>632</v>
      </c>
      <c r="BQ10" t="s">
        <v>632</v>
      </c>
      <c r="BR10" t="s">
        <v>830</v>
      </c>
      <c r="BS10" t="s">
        <v>632</v>
      </c>
      <c r="BT10" t="s">
        <v>47</v>
      </c>
      <c r="BU10" t="s">
        <v>46</v>
      </c>
      <c r="BV10" t="s">
        <v>917</v>
      </c>
      <c r="BW10">
        <v>4</v>
      </c>
      <c r="BX10" t="s">
        <v>48</v>
      </c>
      <c r="BY10" t="s">
        <v>6</v>
      </c>
      <c r="BZ10" t="s">
        <v>50</v>
      </c>
      <c r="CA10" t="s">
        <v>831</v>
      </c>
      <c r="CB10" t="s">
        <v>632</v>
      </c>
    </row>
    <row r="11" spans="1:80" x14ac:dyDescent="0.35">
      <c r="A11" t="s">
        <v>375</v>
      </c>
      <c r="B11" t="s">
        <v>376</v>
      </c>
      <c r="C11" t="s">
        <v>632</v>
      </c>
      <c r="D11" t="s">
        <v>632</v>
      </c>
      <c r="E11" t="s">
        <v>345</v>
      </c>
      <c r="F11" t="s">
        <v>328</v>
      </c>
      <c r="G11" t="s">
        <v>329</v>
      </c>
      <c r="H11" t="s">
        <v>632</v>
      </c>
      <c r="I11" t="s">
        <v>175</v>
      </c>
      <c r="J11" t="s">
        <v>632</v>
      </c>
      <c r="K11" t="s">
        <v>175</v>
      </c>
      <c r="L11" t="s">
        <v>632</v>
      </c>
      <c r="M11" t="s">
        <v>632</v>
      </c>
      <c r="N11">
        <v>27766</v>
      </c>
      <c r="O11">
        <v>61</v>
      </c>
      <c r="Q11" t="s">
        <v>632</v>
      </c>
      <c r="S11" t="s">
        <v>632</v>
      </c>
      <c r="T11" t="s">
        <v>632</v>
      </c>
      <c r="U11" t="s">
        <v>35</v>
      </c>
      <c r="V11" t="s">
        <v>632</v>
      </c>
      <c r="W11" t="s">
        <v>632</v>
      </c>
      <c r="X11" t="s">
        <v>632</v>
      </c>
      <c r="Y11">
        <v>1997</v>
      </c>
      <c r="Z11" t="s">
        <v>632</v>
      </c>
      <c r="AA11" t="s">
        <v>632</v>
      </c>
      <c r="AB11" t="s">
        <v>632</v>
      </c>
      <c r="AD11">
        <v>0</v>
      </c>
      <c r="AF11">
        <v>0</v>
      </c>
      <c r="AG11">
        <v>0</v>
      </c>
      <c r="AH11">
        <v>0</v>
      </c>
      <c r="AI11">
        <v>0</v>
      </c>
      <c r="AJ11" t="s">
        <v>632</v>
      </c>
      <c r="AK11">
        <v>0</v>
      </c>
      <c r="AL11">
        <v>0</v>
      </c>
      <c r="AM11">
        <v>0</v>
      </c>
      <c r="AN11">
        <v>0</v>
      </c>
      <c r="AO11" t="s">
        <v>632</v>
      </c>
      <c r="AP11" t="s">
        <v>273</v>
      </c>
      <c r="AQ11" t="s">
        <v>11</v>
      </c>
      <c r="AR11" t="s">
        <v>330</v>
      </c>
      <c r="AS11" t="s">
        <v>632</v>
      </c>
      <c r="AT11" t="s">
        <v>632</v>
      </c>
      <c r="AU11" t="s">
        <v>632</v>
      </c>
      <c r="AV11" t="s">
        <v>205</v>
      </c>
      <c r="AW11">
        <v>20</v>
      </c>
      <c r="AX11" t="s">
        <v>271</v>
      </c>
      <c r="AY11" t="s">
        <v>638</v>
      </c>
      <c r="AZ11" t="s">
        <v>632</v>
      </c>
      <c r="BA11" s="1"/>
      <c r="BB11" t="s">
        <v>918</v>
      </c>
      <c r="BC11" t="s">
        <v>632</v>
      </c>
      <c r="BE11" t="s">
        <v>632</v>
      </c>
      <c r="BF11" t="s">
        <v>632</v>
      </c>
      <c r="BG11" t="s">
        <v>632</v>
      </c>
      <c r="BH11" t="s">
        <v>377</v>
      </c>
      <c r="BI11" t="s">
        <v>632</v>
      </c>
      <c r="BJ11" t="s">
        <v>632</v>
      </c>
      <c r="BK11" t="s">
        <v>14</v>
      </c>
      <c r="BL11" t="s">
        <v>632</v>
      </c>
      <c r="BM11" t="s">
        <v>632</v>
      </c>
      <c r="BN11" t="s">
        <v>632</v>
      </c>
      <c r="BO11" t="s">
        <v>272</v>
      </c>
      <c r="BP11" t="s">
        <v>632</v>
      </c>
      <c r="BQ11" t="s">
        <v>632</v>
      </c>
      <c r="BR11" t="s">
        <v>832</v>
      </c>
      <c r="BS11" t="s">
        <v>632</v>
      </c>
      <c r="BT11" t="s">
        <v>632</v>
      </c>
      <c r="BU11" t="s">
        <v>632</v>
      </c>
      <c r="BV11" t="s">
        <v>919</v>
      </c>
      <c r="BX11" t="s">
        <v>99</v>
      </c>
      <c r="BY11" t="s">
        <v>99</v>
      </c>
      <c r="BZ11" t="s">
        <v>274</v>
      </c>
      <c r="CA11" t="s">
        <v>632</v>
      </c>
      <c r="CB11" t="s">
        <v>632</v>
      </c>
    </row>
    <row r="12" spans="1:80" x14ac:dyDescent="0.35">
      <c r="A12" t="s">
        <v>378</v>
      </c>
      <c r="B12" t="s">
        <v>379</v>
      </c>
      <c r="C12" t="s">
        <v>632</v>
      </c>
      <c r="D12" t="s">
        <v>632</v>
      </c>
      <c r="E12" t="s">
        <v>327</v>
      </c>
      <c r="F12" t="s">
        <v>328</v>
      </c>
      <c r="G12" t="s">
        <v>329</v>
      </c>
      <c r="H12" t="s">
        <v>632</v>
      </c>
      <c r="I12" t="s">
        <v>175</v>
      </c>
      <c r="J12" t="s">
        <v>632</v>
      </c>
      <c r="K12" t="s">
        <v>175</v>
      </c>
      <c r="L12" t="s">
        <v>632</v>
      </c>
      <c r="M12" t="s">
        <v>632</v>
      </c>
      <c r="N12">
        <v>13427</v>
      </c>
      <c r="O12">
        <v>43</v>
      </c>
      <c r="Q12" t="s">
        <v>632</v>
      </c>
      <c r="S12" t="s">
        <v>632</v>
      </c>
      <c r="T12" t="s">
        <v>632</v>
      </c>
      <c r="U12" t="s">
        <v>35</v>
      </c>
      <c r="V12" t="s">
        <v>632</v>
      </c>
      <c r="W12" t="s">
        <v>380</v>
      </c>
      <c r="X12" t="s">
        <v>632</v>
      </c>
      <c r="Y12">
        <v>2015</v>
      </c>
      <c r="Z12" t="s">
        <v>632</v>
      </c>
      <c r="AA12" t="s">
        <v>632</v>
      </c>
      <c r="AB12" t="s">
        <v>632</v>
      </c>
      <c r="AD12">
        <v>0</v>
      </c>
      <c r="AF12">
        <v>0</v>
      </c>
      <c r="AG12">
        <v>0</v>
      </c>
      <c r="AH12">
        <v>0</v>
      </c>
      <c r="AI12">
        <v>0</v>
      </c>
      <c r="AJ12" t="s">
        <v>632</v>
      </c>
      <c r="AK12">
        <v>1</v>
      </c>
      <c r="AL12">
        <v>0</v>
      </c>
      <c r="AM12">
        <v>0</v>
      </c>
      <c r="AN12">
        <v>0</v>
      </c>
      <c r="AO12" t="s">
        <v>632</v>
      </c>
      <c r="AP12" t="s">
        <v>178</v>
      </c>
      <c r="AQ12" t="s">
        <v>11</v>
      </c>
      <c r="AR12" t="s">
        <v>330</v>
      </c>
      <c r="AS12" t="s">
        <v>632</v>
      </c>
      <c r="AT12" t="s">
        <v>632</v>
      </c>
      <c r="AU12" t="s">
        <v>632</v>
      </c>
      <c r="AV12" t="s">
        <v>174</v>
      </c>
      <c r="AW12">
        <v>10</v>
      </c>
      <c r="AX12" t="s">
        <v>172</v>
      </c>
      <c r="AY12" t="s">
        <v>639</v>
      </c>
      <c r="AZ12" t="s">
        <v>632</v>
      </c>
      <c r="BA12" s="1"/>
      <c r="BB12" t="s">
        <v>920</v>
      </c>
      <c r="BC12" t="s">
        <v>632</v>
      </c>
      <c r="BE12" t="s">
        <v>632</v>
      </c>
      <c r="BF12" t="s">
        <v>632</v>
      </c>
      <c r="BG12" t="s">
        <v>632</v>
      </c>
      <c r="BH12" t="s">
        <v>381</v>
      </c>
      <c r="BI12" t="s">
        <v>632</v>
      </c>
      <c r="BJ12" t="s">
        <v>632</v>
      </c>
      <c r="BK12" t="s">
        <v>14</v>
      </c>
      <c r="BL12" t="s">
        <v>632</v>
      </c>
      <c r="BM12" t="s">
        <v>632</v>
      </c>
      <c r="BN12" t="s">
        <v>632</v>
      </c>
      <c r="BO12" t="s">
        <v>173</v>
      </c>
      <c r="BP12" t="s">
        <v>632</v>
      </c>
      <c r="BQ12" t="s">
        <v>632</v>
      </c>
      <c r="BR12" t="s">
        <v>833</v>
      </c>
      <c r="BS12" t="s">
        <v>632</v>
      </c>
      <c r="BT12" t="s">
        <v>176</v>
      </c>
      <c r="BU12" t="s">
        <v>632</v>
      </c>
      <c r="BV12" t="s">
        <v>920</v>
      </c>
      <c r="BX12" t="s">
        <v>177</v>
      </c>
      <c r="BY12" t="s">
        <v>153</v>
      </c>
      <c r="BZ12" t="s">
        <v>179</v>
      </c>
      <c r="CA12" t="s">
        <v>632</v>
      </c>
      <c r="CB12" t="s">
        <v>632</v>
      </c>
    </row>
    <row r="13" spans="1:80" x14ac:dyDescent="0.35">
      <c r="A13" t="s">
        <v>343</v>
      </c>
      <c r="B13" t="s">
        <v>344</v>
      </c>
      <c r="C13" t="s">
        <v>632</v>
      </c>
      <c r="D13" t="s">
        <v>632</v>
      </c>
      <c r="E13" t="s">
        <v>345</v>
      </c>
      <c r="F13" t="s">
        <v>328</v>
      </c>
      <c r="G13" t="s">
        <v>329</v>
      </c>
      <c r="H13" t="s">
        <v>346</v>
      </c>
      <c r="I13" t="s">
        <v>64</v>
      </c>
      <c r="J13" t="s">
        <v>632</v>
      </c>
      <c r="K13" t="s">
        <v>64</v>
      </c>
      <c r="L13" t="s">
        <v>632</v>
      </c>
      <c r="M13" t="s">
        <v>632</v>
      </c>
      <c r="N13">
        <v>2523</v>
      </c>
      <c r="O13">
        <v>32</v>
      </c>
      <c r="P13">
        <v>40</v>
      </c>
      <c r="Q13" t="s">
        <v>632</v>
      </c>
      <c r="R13">
        <v>40</v>
      </c>
      <c r="S13" t="s">
        <v>382</v>
      </c>
      <c r="T13" t="s">
        <v>632</v>
      </c>
      <c r="U13" t="s">
        <v>35</v>
      </c>
      <c r="V13" t="s">
        <v>632</v>
      </c>
      <c r="W13" t="s">
        <v>383</v>
      </c>
      <c r="X13" t="s">
        <v>349</v>
      </c>
      <c r="Y13">
        <v>2015</v>
      </c>
      <c r="Z13" t="s">
        <v>632</v>
      </c>
      <c r="AA13" t="s">
        <v>632</v>
      </c>
      <c r="AB13" t="s">
        <v>632</v>
      </c>
      <c r="AD13">
        <v>0</v>
      </c>
      <c r="AF13">
        <v>0</v>
      </c>
      <c r="AG13">
        <v>0</v>
      </c>
      <c r="AH13">
        <v>0</v>
      </c>
      <c r="AI13">
        <v>0</v>
      </c>
      <c r="AJ13" t="s">
        <v>632</v>
      </c>
      <c r="AK13">
        <v>0</v>
      </c>
      <c r="AL13">
        <v>0</v>
      </c>
      <c r="AM13">
        <v>0</v>
      </c>
      <c r="AN13">
        <v>0</v>
      </c>
      <c r="AO13" t="s">
        <v>632</v>
      </c>
      <c r="AP13" t="s">
        <v>834</v>
      </c>
      <c r="AQ13" t="s">
        <v>11</v>
      </c>
      <c r="AR13" t="s">
        <v>350</v>
      </c>
      <c r="AS13" t="s">
        <v>828</v>
      </c>
      <c r="AT13" t="s">
        <v>632</v>
      </c>
      <c r="AU13" t="s">
        <v>632</v>
      </c>
      <c r="AV13" t="s">
        <v>193</v>
      </c>
      <c r="AW13">
        <v>40</v>
      </c>
      <c r="AX13" t="s">
        <v>191</v>
      </c>
      <c r="AY13" t="s">
        <v>665</v>
      </c>
      <c r="AZ13" t="s">
        <v>632</v>
      </c>
      <c r="BA13" s="1"/>
      <c r="BB13" t="s">
        <v>921</v>
      </c>
      <c r="BC13" t="s">
        <v>356</v>
      </c>
      <c r="BD13">
        <v>4</v>
      </c>
      <c r="BE13" t="s">
        <v>632</v>
      </c>
      <c r="BF13" t="s">
        <v>632</v>
      </c>
      <c r="BG13" t="s">
        <v>632</v>
      </c>
      <c r="BH13" t="s">
        <v>352</v>
      </c>
      <c r="BI13" t="s">
        <v>632</v>
      </c>
      <c r="BJ13" t="s">
        <v>632</v>
      </c>
      <c r="BK13" t="s">
        <v>23</v>
      </c>
      <c r="BL13" t="s">
        <v>632</v>
      </c>
      <c r="BM13" t="s">
        <v>632</v>
      </c>
      <c r="BN13" t="s">
        <v>332</v>
      </c>
      <c r="BO13" t="s">
        <v>192</v>
      </c>
      <c r="BP13" t="s">
        <v>57</v>
      </c>
      <c r="BQ13" t="s">
        <v>632</v>
      </c>
      <c r="BR13" t="s">
        <v>835</v>
      </c>
      <c r="BS13" t="s">
        <v>632</v>
      </c>
      <c r="BT13" t="s">
        <v>194</v>
      </c>
      <c r="BU13" t="s">
        <v>46</v>
      </c>
      <c r="BV13" t="s">
        <v>922</v>
      </c>
      <c r="BW13">
        <v>3</v>
      </c>
      <c r="BX13" t="s">
        <v>195</v>
      </c>
      <c r="BY13" t="s">
        <v>6</v>
      </c>
      <c r="BZ13" t="s">
        <v>196</v>
      </c>
      <c r="CA13" t="s">
        <v>632</v>
      </c>
      <c r="CB13" t="s">
        <v>632</v>
      </c>
    </row>
    <row r="14" spans="1:80" x14ac:dyDescent="0.35">
      <c r="A14" t="s">
        <v>384</v>
      </c>
      <c r="B14" t="s">
        <v>385</v>
      </c>
      <c r="C14" t="s">
        <v>632</v>
      </c>
      <c r="D14" t="s">
        <v>632</v>
      </c>
      <c r="E14" t="s">
        <v>345</v>
      </c>
      <c r="F14" t="s">
        <v>328</v>
      </c>
      <c r="G14" t="s">
        <v>329</v>
      </c>
      <c r="H14" t="s">
        <v>632</v>
      </c>
      <c r="I14" t="s">
        <v>18</v>
      </c>
      <c r="J14" t="s">
        <v>632</v>
      </c>
      <c r="K14" t="s">
        <v>18</v>
      </c>
      <c r="L14" t="s">
        <v>632</v>
      </c>
      <c r="M14" t="s">
        <v>632</v>
      </c>
      <c r="N14">
        <v>10093</v>
      </c>
      <c r="O14">
        <v>29</v>
      </c>
      <c r="Q14" t="s">
        <v>632</v>
      </c>
      <c r="S14" t="s">
        <v>632</v>
      </c>
      <c r="T14" t="s">
        <v>632</v>
      </c>
      <c r="U14" t="s">
        <v>35</v>
      </c>
      <c r="V14" t="s">
        <v>632</v>
      </c>
      <c r="W14" t="s">
        <v>923</v>
      </c>
      <c r="X14" t="s">
        <v>632</v>
      </c>
      <c r="Y14">
        <v>2003</v>
      </c>
      <c r="Z14" t="s">
        <v>632</v>
      </c>
      <c r="AA14" t="s">
        <v>632</v>
      </c>
      <c r="AB14" t="s">
        <v>632</v>
      </c>
      <c r="AD14">
        <v>0</v>
      </c>
      <c r="AF14">
        <v>0</v>
      </c>
      <c r="AG14">
        <v>0</v>
      </c>
      <c r="AH14">
        <v>0</v>
      </c>
      <c r="AI14">
        <v>0</v>
      </c>
      <c r="AJ14" t="s">
        <v>632</v>
      </c>
      <c r="AK14">
        <v>0</v>
      </c>
      <c r="AL14">
        <v>0</v>
      </c>
      <c r="AM14">
        <v>0</v>
      </c>
      <c r="AN14">
        <v>0</v>
      </c>
      <c r="AO14" t="s">
        <v>632</v>
      </c>
      <c r="AP14" t="s">
        <v>234</v>
      </c>
      <c r="AQ14" t="s">
        <v>11</v>
      </c>
      <c r="AR14" t="s">
        <v>330</v>
      </c>
      <c r="AS14" t="s">
        <v>632</v>
      </c>
      <c r="AT14" t="s">
        <v>632</v>
      </c>
      <c r="AU14" t="s">
        <v>632</v>
      </c>
      <c r="AV14" t="s">
        <v>116</v>
      </c>
      <c r="AW14">
        <v>30</v>
      </c>
      <c r="AX14" t="s">
        <v>230</v>
      </c>
      <c r="AY14" t="s">
        <v>640</v>
      </c>
      <c r="AZ14" t="s">
        <v>632</v>
      </c>
      <c r="BA14" s="1"/>
      <c r="BB14" t="s">
        <v>386</v>
      </c>
      <c r="BC14" t="s">
        <v>632</v>
      </c>
      <c r="BD14">
        <v>2</v>
      </c>
      <c r="BE14" t="s">
        <v>632</v>
      </c>
      <c r="BF14" t="s">
        <v>632</v>
      </c>
      <c r="BG14" t="s">
        <v>632</v>
      </c>
      <c r="BH14" t="s">
        <v>387</v>
      </c>
      <c r="BI14" t="s">
        <v>632</v>
      </c>
      <c r="BJ14" t="s">
        <v>632</v>
      </c>
      <c r="BK14" t="s">
        <v>14</v>
      </c>
      <c r="BL14" t="s">
        <v>632</v>
      </c>
      <c r="BM14" t="s">
        <v>632</v>
      </c>
      <c r="BN14" t="s">
        <v>632</v>
      </c>
      <c r="BO14" t="s">
        <v>231</v>
      </c>
      <c r="BP14" t="s">
        <v>632</v>
      </c>
      <c r="BQ14" t="s">
        <v>632</v>
      </c>
      <c r="BR14" t="s">
        <v>836</v>
      </c>
      <c r="BS14" t="s">
        <v>632</v>
      </c>
      <c r="BT14" t="s">
        <v>232</v>
      </c>
      <c r="BU14" t="s">
        <v>632</v>
      </c>
      <c r="BV14" t="s">
        <v>235</v>
      </c>
      <c r="BW14">
        <v>2</v>
      </c>
      <c r="BX14" t="s">
        <v>233</v>
      </c>
      <c r="BY14" t="s">
        <v>6</v>
      </c>
      <c r="BZ14" t="s">
        <v>236</v>
      </c>
      <c r="CA14" t="s">
        <v>632</v>
      </c>
      <c r="CB14" t="s">
        <v>632</v>
      </c>
    </row>
    <row r="15" spans="1:80" x14ac:dyDescent="0.35">
      <c r="A15" t="s">
        <v>388</v>
      </c>
      <c r="B15" t="s">
        <v>389</v>
      </c>
      <c r="C15" t="s">
        <v>632</v>
      </c>
      <c r="D15" t="s">
        <v>632</v>
      </c>
      <c r="E15" t="s">
        <v>345</v>
      </c>
      <c r="F15" t="s">
        <v>328</v>
      </c>
      <c r="G15" t="s">
        <v>329</v>
      </c>
      <c r="H15" t="s">
        <v>632</v>
      </c>
      <c r="I15" t="s">
        <v>64</v>
      </c>
      <c r="J15" t="s">
        <v>632</v>
      </c>
      <c r="K15" t="s">
        <v>64</v>
      </c>
      <c r="L15" t="s">
        <v>632</v>
      </c>
      <c r="M15" t="s">
        <v>632</v>
      </c>
      <c r="N15">
        <v>19284</v>
      </c>
      <c r="O15">
        <v>67</v>
      </c>
      <c r="Q15" t="s">
        <v>632</v>
      </c>
      <c r="S15" t="s">
        <v>632</v>
      </c>
      <c r="T15" t="s">
        <v>632</v>
      </c>
      <c r="U15" t="s">
        <v>35</v>
      </c>
      <c r="V15" t="s">
        <v>632</v>
      </c>
      <c r="W15" t="s">
        <v>390</v>
      </c>
      <c r="X15" t="s">
        <v>632</v>
      </c>
      <c r="Y15">
        <v>2003</v>
      </c>
      <c r="Z15" t="s">
        <v>632</v>
      </c>
      <c r="AA15" t="s">
        <v>632</v>
      </c>
      <c r="AB15" t="s">
        <v>632</v>
      </c>
      <c r="AD15">
        <v>0</v>
      </c>
      <c r="AF15">
        <v>0</v>
      </c>
      <c r="AG15">
        <v>0</v>
      </c>
      <c r="AH15">
        <v>0</v>
      </c>
      <c r="AI15">
        <v>0</v>
      </c>
      <c r="AJ15" t="s">
        <v>632</v>
      </c>
      <c r="AK15">
        <v>0</v>
      </c>
      <c r="AL15">
        <v>0</v>
      </c>
      <c r="AM15">
        <v>0</v>
      </c>
      <c r="AN15">
        <v>0</v>
      </c>
      <c r="AO15" t="s">
        <v>632</v>
      </c>
      <c r="AP15" t="s">
        <v>252</v>
      </c>
      <c r="AQ15" t="s">
        <v>11</v>
      </c>
      <c r="AR15" t="s">
        <v>330</v>
      </c>
      <c r="AS15" t="s">
        <v>632</v>
      </c>
      <c r="AT15" t="s">
        <v>632</v>
      </c>
      <c r="AU15" t="s">
        <v>632</v>
      </c>
      <c r="AV15" t="s">
        <v>251</v>
      </c>
      <c r="AW15">
        <v>20</v>
      </c>
      <c r="AX15" t="s">
        <v>249</v>
      </c>
      <c r="AY15" t="s">
        <v>641</v>
      </c>
      <c r="AZ15" t="s">
        <v>632</v>
      </c>
      <c r="BA15" s="1"/>
      <c r="BB15" t="s">
        <v>391</v>
      </c>
      <c r="BC15" t="s">
        <v>632</v>
      </c>
      <c r="BE15" t="s">
        <v>632</v>
      </c>
      <c r="BF15" t="s">
        <v>632</v>
      </c>
      <c r="BG15" t="s">
        <v>632</v>
      </c>
      <c r="BH15" t="s">
        <v>250</v>
      </c>
      <c r="BI15" t="s">
        <v>632</v>
      </c>
      <c r="BJ15" t="s">
        <v>632</v>
      </c>
      <c r="BK15" t="s">
        <v>14</v>
      </c>
      <c r="BL15" t="s">
        <v>632</v>
      </c>
      <c r="BM15" t="s">
        <v>632</v>
      </c>
      <c r="BN15" t="s">
        <v>632</v>
      </c>
      <c r="BO15" t="s">
        <v>250</v>
      </c>
      <c r="BP15" t="s">
        <v>632</v>
      </c>
      <c r="BQ15" t="s">
        <v>632</v>
      </c>
      <c r="BR15" t="s">
        <v>837</v>
      </c>
      <c r="BS15" t="s">
        <v>632</v>
      </c>
      <c r="BT15" t="s">
        <v>632</v>
      </c>
      <c r="BU15" t="s">
        <v>632</v>
      </c>
      <c r="BV15" t="s">
        <v>253</v>
      </c>
      <c r="BX15" t="s">
        <v>136</v>
      </c>
      <c r="BY15" t="s">
        <v>136</v>
      </c>
      <c r="BZ15" t="s">
        <v>254</v>
      </c>
      <c r="CA15" t="s">
        <v>632</v>
      </c>
      <c r="CB15" t="s">
        <v>838</v>
      </c>
    </row>
    <row r="16" spans="1:80" x14ac:dyDescent="0.35">
      <c r="A16" t="s">
        <v>343</v>
      </c>
      <c r="B16" t="s">
        <v>344</v>
      </c>
      <c r="C16" t="s">
        <v>632</v>
      </c>
      <c r="D16" t="s">
        <v>632</v>
      </c>
      <c r="E16" t="s">
        <v>345</v>
      </c>
      <c r="F16" t="s">
        <v>328</v>
      </c>
      <c r="G16" t="s">
        <v>329</v>
      </c>
      <c r="H16" t="s">
        <v>346</v>
      </c>
      <c r="I16" t="s">
        <v>64</v>
      </c>
      <c r="J16" t="s">
        <v>632</v>
      </c>
      <c r="K16" t="s">
        <v>64</v>
      </c>
      <c r="L16" t="s">
        <v>632</v>
      </c>
      <c r="M16" t="s">
        <v>632</v>
      </c>
      <c r="N16">
        <v>2367</v>
      </c>
      <c r="O16">
        <v>28</v>
      </c>
      <c r="P16">
        <v>70</v>
      </c>
      <c r="Q16" t="s">
        <v>632</v>
      </c>
      <c r="R16">
        <v>70</v>
      </c>
      <c r="S16" t="s">
        <v>392</v>
      </c>
      <c r="T16" t="s">
        <v>632</v>
      </c>
      <c r="U16" t="s">
        <v>35</v>
      </c>
      <c r="V16" t="s">
        <v>632</v>
      </c>
      <c r="W16" t="s">
        <v>393</v>
      </c>
      <c r="X16" t="s">
        <v>349</v>
      </c>
      <c r="Y16">
        <v>2015</v>
      </c>
      <c r="Z16" t="s">
        <v>632</v>
      </c>
      <c r="AA16" t="s">
        <v>632</v>
      </c>
      <c r="AB16" t="s">
        <v>632</v>
      </c>
      <c r="AD16">
        <v>0</v>
      </c>
      <c r="AF16">
        <v>0</v>
      </c>
      <c r="AG16">
        <v>0</v>
      </c>
      <c r="AH16">
        <v>0</v>
      </c>
      <c r="AI16">
        <v>0</v>
      </c>
      <c r="AJ16" t="s">
        <v>632</v>
      </c>
      <c r="AK16">
        <v>0</v>
      </c>
      <c r="AL16">
        <v>0</v>
      </c>
      <c r="AM16">
        <v>0</v>
      </c>
      <c r="AN16">
        <v>0</v>
      </c>
      <c r="AO16" t="s">
        <v>632</v>
      </c>
      <c r="AP16" t="s">
        <v>394</v>
      </c>
      <c r="AQ16" t="s">
        <v>11</v>
      </c>
      <c r="AR16" t="s">
        <v>350</v>
      </c>
      <c r="AS16" t="s">
        <v>828</v>
      </c>
      <c r="AT16" t="s">
        <v>632</v>
      </c>
      <c r="AU16" t="s">
        <v>632</v>
      </c>
      <c r="AV16" t="s">
        <v>222</v>
      </c>
      <c r="AW16">
        <v>70</v>
      </c>
      <c r="AX16" t="s">
        <v>395</v>
      </c>
      <c r="AY16" t="s">
        <v>796</v>
      </c>
      <c r="AZ16" t="s">
        <v>632</v>
      </c>
      <c r="BA16" s="1"/>
      <c r="BB16" t="s">
        <v>924</v>
      </c>
      <c r="BC16" t="s">
        <v>356</v>
      </c>
      <c r="BD16">
        <v>5</v>
      </c>
      <c r="BE16" t="s">
        <v>632</v>
      </c>
      <c r="BF16" t="s">
        <v>632</v>
      </c>
      <c r="BG16" t="s">
        <v>632</v>
      </c>
      <c r="BH16" t="s">
        <v>352</v>
      </c>
      <c r="BI16" t="s">
        <v>632</v>
      </c>
      <c r="BJ16" t="s">
        <v>632</v>
      </c>
      <c r="BK16" t="s">
        <v>52</v>
      </c>
      <c r="BL16" t="s">
        <v>632</v>
      </c>
      <c r="BM16" t="s">
        <v>632</v>
      </c>
      <c r="BN16" t="s">
        <v>332</v>
      </c>
      <c r="BO16" t="s">
        <v>192</v>
      </c>
      <c r="BP16" t="s">
        <v>57</v>
      </c>
      <c r="BQ16" t="s">
        <v>632</v>
      </c>
      <c r="BR16" t="s">
        <v>835</v>
      </c>
      <c r="BS16" t="s">
        <v>632</v>
      </c>
      <c r="BT16" t="s">
        <v>194</v>
      </c>
      <c r="BU16" t="s">
        <v>46</v>
      </c>
      <c r="BV16" t="s">
        <v>925</v>
      </c>
      <c r="BW16">
        <v>7</v>
      </c>
      <c r="BX16" t="s">
        <v>195</v>
      </c>
      <c r="BY16" t="s">
        <v>6</v>
      </c>
      <c r="BZ16" t="s">
        <v>396</v>
      </c>
      <c r="CA16" t="s">
        <v>632</v>
      </c>
      <c r="CB16" t="s">
        <v>632</v>
      </c>
    </row>
    <row r="17" spans="1:80" x14ac:dyDescent="0.35">
      <c r="A17" t="s">
        <v>397</v>
      </c>
      <c r="B17" t="s">
        <v>398</v>
      </c>
      <c r="C17" t="s">
        <v>632</v>
      </c>
      <c r="D17" t="s">
        <v>632</v>
      </c>
      <c r="E17" t="s">
        <v>335</v>
      </c>
      <c r="F17" t="s">
        <v>632</v>
      </c>
      <c r="G17" t="s">
        <v>329</v>
      </c>
      <c r="H17" t="s">
        <v>632</v>
      </c>
      <c r="I17" t="s">
        <v>18</v>
      </c>
      <c r="J17" t="s">
        <v>632</v>
      </c>
      <c r="K17" t="s">
        <v>18</v>
      </c>
      <c r="L17" t="s">
        <v>632</v>
      </c>
      <c r="M17" t="s">
        <v>632</v>
      </c>
      <c r="N17">
        <v>597</v>
      </c>
      <c r="O17">
        <v>31</v>
      </c>
      <c r="Q17" t="s">
        <v>632</v>
      </c>
      <c r="S17" t="s">
        <v>632</v>
      </c>
      <c r="T17" t="s">
        <v>632</v>
      </c>
      <c r="U17" t="s">
        <v>51</v>
      </c>
      <c r="V17" t="s">
        <v>632</v>
      </c>
      <c r="W17" t="s">
        <v>632</v>
      </c>
      <c r="X17" t="s">
        <v>632</v>
      </c>
      <c r="Y17">
        <v>2015</v>
      </c>
      <c r="Z17" t="s">
        <v>632</v>
      </c>
      <c r="AA17" t="s">
        <v>632</v>
      </c>
      <c r="AB17" t="s">
        <v>632</v>
      </c>
      <c r="AC17">
        <v>1</v>
      </c>
      <c r="AD17">
        <v>0</v>
      </c>
      <c r="AF17">
        <v>0</v>
      </c>
      <c r="AG17">
        <v>0</v>
      </c>
      <c r="AH17">
        <v>0</v>
      </c>
      <c r="AI17">
        <v>1</v>
      </c>
      <c r="AJ17" t="s">
        <v>632</v>
      </c>
      <c r="AK17">
        <v>1</v>
      </c>
      <c r="AL17">
        <v>0</v>
      </c>
      <c r="AM17">
        <v>0</v>
      </c>
      <c r="AN17">
        <v>0</v>
      </c>
      <c r="AO17" t="s">
        <v>632</v>
      </c>
      <c r="AP17" t="s">
        <v>119</v>
      </c>
      <c r="AQ17" t="s">
        <v>11</v>
      </c>
      <c r="AR17" t="s">
        <v>330</v>
      </c>
      <c r="AS17" t="s">
        <v>632</v>
      </c>
      <c r="AT17" t="s">
        <v>632</v>
      </c>
      <c r="AU17" t="s">
        <v>632</v>
      </c>
      <c r="AV17" t="s">
        <v>116</v>
      </c>
      <c r="AW17">
        <v>30</v>
      </c>
      <c r="AX17" t="s">
        <v>114</v>
      </c>
      <c r="AY17" t="s">
        <v>399</v>
      </c>
      <c r="AZ17" t="s">
        <v>632</v>
      </c>
      <c r="BA17" s="1"/>
      <c r="BB17" t="s">
        <v>632</v>
      </c>
      <c r="BC17" t="s">
        <v>632</v>
      </c>
      <c r="BD17">
        <v>2</v>
      </c>
      <c r="BE17" t="s">
        <v>632</v>
      </c>
      <c r="BF17" t="s">
        <v>632</v>
      </c>
      <c r="BG17" t="s">
        <v>632</v>
      </c>
      <c r="BH17" t="s">
        <v>839</v>
      </c>
      <c r="BI17" t="s">
        <v>632</v>
      </c>
      <c r="BJ17" t="s">
        <v>400</v>
      </c>
      <c r="BK17" t="s">
        <v>52</v>
      </c>
      <c r="BL17" t="s">
        <v>632</v>
      </c>
      <c r="BM17" t="s">
        <v>632</v>
      </c>
      <c r="BN17" t="s">
        <v>332</v>
      </c>
      <c r="BO17" t="s">
        <v>115</v>
      </c>
      <c r="BP17" t="s">
        <v>632</v>
      </c>
      <c r="BQ17" t="s">
        <v>632</v>
      </c>
      <c r="BR17" t="s">
        <v>819</v>
      </c>
      <c r="BS17" t="s">
        <v>632</v>
      </c>
      <c r="BT17" t="s">
        <v>117</v>
      </c>
      <c r="BU17" t="s">
        <v>632</v>
      </c>
      <c r="BV17" t="s">
        <v>926</v>
      </c>
      <c r="BW17">
        <v>3</v>
      </c>
      <c r="BX17" t="s">
        <v>118</v>
      </c>
      <c r="BY17" t="s">
        <v>6</v>
      </c>
      <c r="BZ17" t="s">
        <v>120</v>
      </c>
      <c r="CA17" t="s">
        <v>840</v>
      </c>
      <c r="CB17" t="s">
        <v>632</v>
      </c>
    </row>
    <row r="18" spans="1:80" x14ac:dyDescent="0.35">
      <c r="A18" t="s">
        <v>375</v>
      </c>
      <c r="B18" t="s">
        <v>376</v>
      </c>
      <c r="C18" t="s">
        <v>632</v>
      </c>
      <c r="D18" t="s">
        <v>632</v>
      </c>
      <c r="E18" t="s">
        <v>335</v>
      </c>
      <c r="F18" t="s">
        <v>328</v>
      </c>
      <c r="G18" t="s">
        <v>329</v>
      </c>
      <c r="H18" t="s">
        <v>632</v>
      </c>
      <c r="I18" t="s">
        <v>632</v>
      </c>
      <c r="J18" t="s">
        <v>632</v>
      </c>
      <c r="K18" t="s">
        <v>632</v>
      </c>
      <c r="L18" t="s">
        <v>632</v>
      </c>
      <c r="M18" t="s">
        <v>632</v>
      </c>
      <c r="N18">
        <v>27312</v>
      </c>
      <c r="O18">
        <v>33</v>
      </c>
      <c r="Q18" t="s">
        <v>632</v>
      </c>
      <c r="S18" t="s">
        <v>632</v>
      </c>
      <c r="T18" t="s">
        <v>632</v>
      </c>
      <c r="U18" t="s">
        <v>13</v>
      </c>
      <c r="V18" t="s">
        <v>632</v>
      </c>
      <c r="W18" t="s">
        <v>632</v>
      </c>
      <c r="X18" t="s">
        <v>632</v>
      </c>
      <c r="Y18">
        <v>1993</v>
      </c>
      <c r="Z18" t="s">
        <v>632</v>
      </c>
      <c r="AA18" t="s">
        <v>632</v>
      </c>
      <c r="AB18" t="s">
        <v>632</v>
      </c>
      <c r="AD18">
        <v>0</v>
      </c>
      <c r="AF18">
        <v>0</v>
      </c>
      <c r="AG18">
        <v>0</v>
      </c>
      <c r="AH18">
        <v>0</v>
      </c>
      <c r="AI18">
        <v>0</v>
      </c>
      <c r="AJ18" t="s">
        <v>632</v>
      </c>
      <c r="AK18">
        <v>0</v>
      </c>
      <c r="AL18">
        <v>0</v>
      </c>
      <c r="AM18">
        <v>0</v>
      </c>
      <c r="AN18">
        <v>0</v>
      </c>
      <c r="AO18" t="s">
        <v>632</v>
      </c>
      <c r="AP18" t="s">
        <v>632</v>
      </c>
      <c r="AQ18" t="s">
        <v>11</v>
      </c>
      <c r="AR18" t="s">
        <v>330</v>
      </c>
      <c r="AS18" t="s">
        <v>632</v>
      </c>
      <c r="AT18" t="s">
        <v>632</v>
      </c>
      <c r="AU18" t="s">
        <v>632</v>
      </c>
      <c r="AV18" t="s">
        <v>277</v>
      </c>
      <c r="AW18">
        <v>40</v>
      </c>
      <c r="AX18" t="s">
        <v>297</v>
      </c>
      <c r="AY18" t="s">
        <v>642</v>
      </c>
      <c r="AZ18" t="s">
        <v>632</v>
      </c>
      <c r="BA18" s="1"/>
      <c r="BB18" t="s">
        <v>806</v>
      </c>
      <c r="BC18" t="s">
        <v>632</v>
      </c>
      <c r="BE18" t="s">
        <v>632</v>
      </c>
      <c r="BF18" t="s">
        <v>632</v>
      </c>
      <c r="BG18" t="s">
        <v>632</v>
      </c>
      <c r="BH18" t="s">
        <v>401</v>
      </c>
      <c r="BI18" t="s">
        <v>632</v>
      </c>
      <c r="BJ18" t="s">
        <v>632</v>
      </c>
      <c r="BK18" t="s">
        <v>52</v>
      </c>
      <c r="BL18" t="s">
        <v>632</v>
      </c>
      <c r="BM18" t="s">
        <v>632</v>
      </c>
      <c r="BN18" t="s">
        <v>632</v>
      </c>
      <c r="BO18" t="s">
        <v>298</v>
      </c>
      <c r="BP18" t="s">
        <v>632</v>
      </c>
      <c r="BQ18" t="s">
        <v>632</v>
      </c>
      <c r="BR18" t="s">
        <v>841</v>
      </c>
      <c r="BS18" t="s">
        <v>632</v>
      </c>
      <c r="BT18" t="s">
        <v>632</v>
      </c>
      <c r="BU18" t="s">
        <v>632</v>
      </c>
      <c r="BV18" t="s">
        <v>807</v>
      </c>
      <c r="BX18" t="s">
        <v>189</v>
      </c>
      <c r="BY18" t="s">
        <v>189</v>
      </c>
      <c r="BZ18" t="s">
        <v>299</v>
      </c>
      <c r="CA18" t="s">
        <v>632</v>
      </c>
      <c r="CB18" t="s">
        <v>632</v>
      </c>
    </row>
    <row r="19" spans="1:80" x14ac:dyDescent="0.35">
      <c r="A19" t="s">
        <v>402</v>
      </c>
      <c r="B19" t="s">
        <v>403</v>
      </c>
      <c r="C19" t="s">
        <v>632</v>
      </c>
      <c r="D19" t="s">
        <v>632</v>
      </c>
      <c r="E19" t="s">
        <v>327</v>
      </c>
      <c r="F19" t="s">
        <v>328</v>
      </c>
      <c r="G19" t="s">
        <v>329</v>
      </c>
      <c r="H19" t="s">
        <v>632</v>
      </c>
      <c r="I19" t="s">
        <v>158</v>
      </c>
      <c r="J19" t="s">
        <v>632</v>
      </c>
      <c r="K19" t="s">
        <v>158</v>
      </c>
      <c r="L19" t="s">
        <v>632</v>
      </c>
      <c r="M19" t="s">
        <v>632</v>
      </c>
      <c r="N19">
        <v>18682</v>
      </c>
      <c r="O19">
        <v>4</v>
      </c>
      <c r="Q19" t="s">
        <v>632</v>
      </c>
      <c r="S19" t="s">
        <v>632</v>
      </c>
      <c r="T19" t="s">
        <v>632</v>
      </c>
      <c r="U19" t="s">
        <v>35</v>
      </c>
      <c r="V19" t="s">
        <v>632</v>
      </c>
      <c r="W19" t="s">
        <v>927</v>
      </c>
      <c r="X19" t="s">
        <v>632</v>
      </c>
      <c r="Y19">
        <v>2015</v>
      </c>
      <c r="Z19" t="s">
        <v>632</v>
      </c>
      <c r="AA19" t="s">
        <v>632</v>
      </c>
      <c r="AB19" t="s">
        <v>632</v>
      </c>
      <c r="AD19">
        <v>0</v>
      </c>
      <c r="AF19">
        <v>0</v>
      </c>
      <c r="AG19">
        <v>0</v>
      </c>
      <c r="AH19">
        <v>0</v>
      </c>
      <c r="AI19">
        <v>0</v>
      </c>
      <c r="AJ19" t="s">
        <v>632</v>
      </c>
      <c r="AK19">
        <v>0</v>
      </c>
      <c r="AL19">
        <v>0</v>
      </c>
      <c r="AM19">
        <v>0</v>
      </c>
      <c r="AN19">
        <v>0</v>
      </c>
      <c r="AO19" t="s">
        <v>632</v>
      </c>
      <c r="AP19" t="s">
        <v>632</v>
      </c>
      <c r="AQ19" t="s">
        <v>11</v>
      </c>
      <c r="AR19" t="s">
        <v>330</v>
      </c>
      <c r="AS19" t="s">
        <v>632</v>
      </c>
      <c r="AT19" t="s">
        <v>632</v>
      </c>
      <c r="AU19" t="s">
        <v>632</v>
      </c>
      <c r="AV19" t="s">
        <v>157</v>
      </c>
      <c r="AW19">
        <v>30</v>
      </c>
      <c r="AX19" t="s">
        <v>155</v>
      </c>
      <c r="AY19" t="s">
        <v>643</v>
      </c>
      <c r="AZ19" t="s">
        <v>632</v>
      </c>
      <c r="BA19" s="1"/>
      <c r="BB19" t="s">
        <v>159</v>
      </c>
      <c r="BC19" t="s">
        <v>632</v>
      </c>
      <c r="BE19" t="s">
        <v>632</v>
      </c>
      <c r="BF19" t="s">
        <v>632</v>
      </c>
      <c r="BG19" t="s">
        <v>632</v>
      </c>
      <c r="BH19" t="s">
        <v>156</v>
      </c>
      <c r="BI19" t="s">
        <v>632</v>
      </c>
      <c r="BJ19" t="s">
        <v>632</v>
      </c>
      <c r="BK19" t="s">
        <v>14</v>
      </c>
      <c r="BL19" t="s">
        <v>632</v>
      </c>
      <c r="BM19" t="s">
        <v>632</v>
      </c>
      <c r="BN19" t="s">
        <v>632</v>
      </c>
      <c r="BO19" t="s">
        <v>156</v>
      </c>
      <c r="BP19" t="s">
        <v>632</v>
      </c>
      <c r="BQ19" t="s">
        <v>632</v>
      </c>
      <c r="BR19" t="s">
        <v>842</v>
      </c>
      <c r="BS19" t="s">
        <v>632</v>
      </c>
      <c r="BT19" t="s">
        <v>632</v>
      </c>
      <c r="BU19" t="s">
        <v>632</v>
      </c>
      <c r="BV19" t="s">
        <v>159</v>
      </c>
      <c r="BX19" t="s">
        <v>136</v>
      </c>
      <c r="BY19" t="s">
        <v>136</v>
      </c>
      <c r="BZ19" t="s">
        <v>160</v>
      </c>
      <c r="CA19" t="s">
        <v>632</v>
      </c>
      <c r="CB19" t="s">
        <v>632</v>
      </c>
    </row>
    <row r="20" spans="1:80" x14ac:dyDescent="0.35">
      <c r="A20" t="s">
        <v>843</v>
      </c>
      <c r="B20" t="s">
        <v>844</v>
      </c>
      <c r="C20" t="s">
        <v>632</v>
      </c>
      <c r="D20" t="s">
        <v>632</v>
      </c>
      <c r="E20" t="s">
        <v>345</v>
      </c>
      <c r="F20" t="s">
        <v>328</v>
      </c>
      <c r="G20" t="s">
        <v>329</v>
      </c>
      <c r="H20" t="s">
        <v>632</v>
      </c>
      <c r="I20" t="s">
        <v>175</v>
      </c>
      <c r="J20" t="s">
        <v>632</v>
      </c>
      <c r="K20" t="s">
        <v>175</v>
      </c>
      <c r="L20" t="s">
        <v>632</v>
      </c>
      <c r="M20" t="s">
        <v>632</v>
      </c>
      <c r="N20">
        <v>11282</v>
      </c>
      <c r="O20">
        <v>31</v>
      </c>
      <c r="P20">
        <v>40</v>
      </c>
      <c r="Q20" t="s">
        <v>632</v>
      </c>
      <c r="R20">
        <v>40</v>
      </c>
      <c r="S20" t="s">
        <v>845</v>
      </c>
      <c r="T20" t="s">
        <v>632</v>
      </c>
      <c r="U20" t="s">
        <v>35</v>
      </c>
      <c r="V20" t="s">
        <v>632</v>
      </c>
      <c r="W20" t="s">
        <v>632</v>
      </c>
      <c r="X20" t="s">
        <v>632</v>
      </c>
      <c r="Y20">
        <v>2015</v>
      </c>
      <c r="Z20" t="s">
        <v>632</v>
      </c>
      <c r="AA20" t="s">
        <v>632</v>
      </c>
      <c r="AB20" t="s">
        <v>632</v>
      </c>
      <c r="AD20">
        <v>0</v>
      </c>
      <c r="AF20">
        <v>0</v>
      </c>
      <c r="AG20">
        <v>0</v>
      </c>
      <c r="AH20">
        <v>0</v>
      </c>
      <c r="AI20">
        <v>0</v>
      </c>
      <c r="AJ20" t="s">
        <v>632</v>
      </c>
      <c r="AK20">
        <v>0</v>
      </c>
      <c r="AL20">
        <v>0</v>
      </c>
      <c r="AM20">
        <v>0</v>
      </c>
      <c r="AN20">
        <v>0</v>
      </c>
      <c r="AO20" t="s">
        <v>632</v>
      </c>
      <c r="AP20" t="s">
        <v>846</v>
      </c>
      <c r="AQ20" t="s">
        <v>11</v>
      </c>
      <c r="AR20" t="s">
        <v>847</v>
      </c>
      <c r="AS20" t="s">
        <v>632</v>
      </c>
      <c r="AT20" t="s">
        <v>632</v>
      </c>
      <c r="AU20" t="s">
        <v>632</v>
      </c>
      <c r="AV20" t="s">
        <v>267</v>
      </c>
      <c r="AW20">
        <v>70</v>
      </c>
      <c r="AX20" t="s">
        <v>848</v>
      </c>
      <c r="AY20" t="s">
        <v>849</v>
      </c>
      <c r="AZ20" t="s">
        <v>632</v>
      </c>
      <c r="BA20" s="1"/>
      <c r="BB20" t="s">
        <v>928</v>
      </c>
      <c r="BC20" t="s">
        <v>850</v>
      </c>
      <c r="BE20" t="s">
        <v>632</v>
      </c>
      <c r="BF20" t="s">
        <v>632</v>
      </c>
      <c r="BG20" t="s">
        <v>632</v>
      </c>
      <c r="BH20" t="s">
        <v>851</v>
      </c>
      <c r="BI20" t="s">
        <v>632</v>
      </c>
      <c r="BJ20" t="s">
        <v>632</v>
      </c>
      <c r="BK20" t="s">
        <v>52</v>
      </c>
      <c r="BL20" t="s">
        <v>632</v>
      </c>
      <c r="BM20" t="s">
        <v>974</v>
      </c>
      <c r="BN20" t="s">
        <v>332</v>
      </c>
      <c r="BO20" t="s">
        <v>852</v>
      </c>
      <c r="BP20" t="s">
        <v>353</v>
      </c>
      <c r="BQ20" t="s">
        <v>632</v>
      </c>
      <c r="BR20" t="s">
        <v>819</v>
      </c>
      <c r="BS20" t="s">
        <v>632</v>
      </c>
      <c r="BT20" t="s">
        <v>632</v>
      </c>
      <c r="BU20" t="s">
        <v>632</v>
      </c>
      <c r="BV20" t="s">
        <v>929</v>
      </c>
      <c r="BX20" t="s">
        <v>99</v>
      </c>
      <c r="BY20" t="s">
        <v>99</v>
      </c>
      <c r="BZ20" t="s">
        <v>853</v>
      </c>
      <c r="CA20" t="s">
        <v>632</v>
      </c>
      <c r="CB20" t="s">
        <v>632</v>
      </c>
    </row>
    <row r="21" spans="1:80" x14ac:dyDescent="0.35">
      <c r="A21" t="s">
        <v>404</v>
      </c>
      <c r="B21" t="s">
        <v>405</v>
      </c>
      <c r="C21" t="s">
        <v>632</v>
      </c>
      <c r="D21" t="s">
        <v>632</v>
      </c>
      <c r="E21" t="s">
        <v>335</v>
      </c>
      <c r="F21" t="s">
        <v>328</v>
      </c>
      <c r="G21" t="s">
        <v>406</v>
      </c>
      <c r="H21" t="s">
        <v>632</v>
      </c>
      <c r="I21" t="s">
        <v>64</v>
      </c>
      <c r="J21" t="s">
        <v>632</v>
      </c>
      <c r="K21" t="s">
        <v>64</v>
      </c>
      <c r="L21" t="s">
        <v>632</v>
      </c>
      <c r="M21" t="s">
        <v>632</v>
      </c>
      <c r="N21">
        <v>11975</v>
      </c>
      <c r="O21">
        <v>7</v>
      </c>
      <c r="Q21" t="s">
        <v>632</v>
      </c>
      <c r="S21" t="s">
        <v>632</v>
      </c>
      <c r="T21" t="s">
        <v>632</v>
      </c>
      <c r="U21" t="s">
        <v>13</v>
      </c>
      <c r="V21" t="s">
        <v>632</v>
      </c>
      <c r="W21" t="s">
        <v>632</v>
      </c>
      <c r="X21" t="s">
        <v>632</v>
      </c>
      <c r="Y21">
        <v>1993</v>
      </c>
      <c r="Z21" t="s">
        <v>632</v>
      </c>
      <c r="AA21" t="s">
        <v>632</v>
      </c>
      <c r="AB21" t="s">
        <v>632</v>
      </c>
      <c r="AD21">
        <v>0</v>
      </c>
      <c r="AF21">
        <v>0</v>
      </c>
      <c r="AG21">
        <v>0</v>
      </c>
      <c r="AH21">
        <v>0</v>
      </c>
      <c r="AI21">
        <v>0</v>
      </c>
      <c r="AJ21" t="s">
        <v>632</v>
      </c>
      <c r="AK21">
        <v>1</v>
      </c>
      <c r="AL21">
        <v>0</v>
      </c>
      <c r="AM21">
        <v>0</v>
      </c>
      <c r="AN21">
        <v>0</v>
      </c>
      <c r="AO21" t="s">
        <v>632</v>
      </c>
      <c r="AP21" t="s">
        <v>632</v>
      </c>
      <c r="AQ21" t="s">
        <v>11</v>
      </c>
      <c r="AR21" t="s">
        <v>330</v>
      </c>
      <c r="AS21" t="s">
        <v>632</v>
      </c>
      <c r="AT21" t="s">
        <v>632</v>
      </c>
      <c r="AU21" t="s">
        <v>632</v>
      </c>
      <c r="AV21" t="s">
        <v>193</v>
      </c>
      <c r="AW21">
        <v>40</v>
      </c>
      <c r="AX21" t="s">
        <v>306</v>
      </c>
      <c r="AY21" t="s">
        <v>644</v>
      </c>
      <c r="AZ21" t="s">
        <v>632</v>
      </c>
      <c r="BA21" s="1"/>
      <c r="BB21" t="s">
        <v>407</v>
      </c>
      <c r="BC21" t="s">
        <v>632</v>
      </c>
      <c r="BE21" t="s">
        <v>632</v>
      </c>
      <c r="BF21" t="s">
        <v>632</v>
      </c>
      <c r="BG21" t="s">
        <v>632</v>
      </c>
      <c r="BH21" t="s">
        <v>408</v>
      </c>
      <c r="BI21" t="s">
        <v>632</v>
      </c>
      <c r="BJ21" t="s">
        <v>632</v>
      </c>
      <c r="BK21" t="s">
        <v>104</v>
      </c>
      <c r="BL21" t="s">
        <v>632</v>
      </c>
      <c r="BM21" t="s">
        <v>632</v>
      </c>
      <c r="BN21" t="s">
        <v>632</v>
      </c>
      <c r="BO21" t="s">
        <v>307</v>
      </c>
      <c r="BP21" t="s">
        <v>632</v>
      </c>
      <c r="BQ21" t="s">
        <v>632</v>
      </c>
      <c r="BR21" t="s">
        <v>854</v>
      </c>
      <c r="BS21" t="s">
        <v>632</v>
      </c>
      <c r="BT21" t="s">
        <v>632</v>
      </c>
      <c r="BU21" t="s">
        <v>632</v>
      </c>
      <c r="BV21" t="s">
        <v>308</v>
      </c>
      <c r="BX21" t="s">
        <v>99</v>
      </c>
      <c r="BY21" t="s">
        <v>99</v>
      </c>
      <c r="BZ21" t="s">
        <v>309</v>
      </c>
      <c r="CA21" t="s">
        <v>632</v>
      </c>
      <c r="CB21" t="s">
        <v>632</v>
      </c>
    </row>
    <row r="22" spans="1:80" x14ac:dyDescent="0.35">
      <c r="A22" t="s">
        <v>409</v>
      </c>
      <c r="B22" t="s">
        <v>410</v>
      </c>
      <c r="C22" t="s">
        <v>632</v>
      </c>
      <c r="D22" t="s">
        <v>632</v>
      </c>
      <c r="E22" t="s">
        <v>411</v>
      </c>
      <c r="F22" t="s">
        <v>632</v>
      </c>
      <c r="G22" t="s">
        <v>329</v>
      </c>
      <c r="H22" t="s">
        <v>632</v>
      </c>
      <c r="I22" t="s">
        <v>18</v>
      </c>
      <c r="J22" t="s">
        <v>632</v>
      </c>
      <c r="K22" t="s">
        <v>18</v>
      </c>
      <c r="L22" t="s">
        <v>632</v>
      </c>
      <c r="M22" t="s">
        <v>632</v>
      </c>
      <c r="N22">
        <v>651</v>
      </c>
      <c r="O22">
        <v>64</v>
      </c>
      <c r="Q22" t="s">
        <v>632</v>
      </c>
      <c r="S22" t="s">
        <v>632</v>
      </c>
      <c r="T22" t="s">
        <v>632</v>
      </c>
      <c r="U22" t="s">
        <v>13</v>
      </c>
      <c r="V22" t="s">
        <v>632</v>
      </c>
      <c r="W22" t="s">
        <v>632</v>
      </c>
      <c r="X22" t="s">
        <v>632</v>
      </c>
      <c r="Y22">
        <v>2015</v>
      </c>
      <c r="Z22" t="s">
        <v>632</v>
      </c>
      <c r="AA22" t="s">
        <v>632</v>
      </c>
      <c r="AB22" t="s">
        <v>632</v>
      </c>
      <c r="AD22">
        <v>0</v>
      </c>
      <c r="AF22">
        <v>0</v>
      </c>
      <c r="AG22">
        <v>0</v>
      </c>
      <c r="AH22">
        <v>0</v>
      </c>
      <c r="AI22">
        <v>0</v>
      </c>
      <c r="AJ22" t="s">
        <v>632</v>
      </c>
      <c r="AK22">
        <v>1</v>
      </c>
      <c r="AL22">
        <v>0</v>
      </c>
      <c r="AM22">
        <v>0</v>
      </c>
      <c r="AN22">
        <v>0</v>
      </c>
      <c r="AO22" t="s">
        <v>632</v>
      </c>
      <c r="AP22" t="s">
        <v>21</v>
      </c>
      <c r="AQ22" t="s">
        <v>11</v>
      </c>
      <c r="AR22" t="s">
        <v>330</v>
      </c>
      <c r="AS22" t="s">
        <v>632</v>
      </c>
      <c r="AT22" t="s">
        <v>632</v>
      </c>
      <c r="AU22" t="s">
        <v>632</v>
      </c>
      <c r="AV22" t="s">
        <v>17</v>
      </c>
      <c r="AW22">
        <v>60</v>
      </c>
      <c r="AX22" t="s">
        <v>15</v>
      </c>
      <c r="AY22" t="s">
        <v>645</v>
      </c>
      <c r="AZ22" t="s">
        <v>632</v>
      </c>
      <c r="BA22" s="1"/>
      <c r="BB22" t="s">
        <v>930</v>
      </c>
      <c r="BC22" t="s">
        <v>632</v>
      </c>
      <c r="BD22">
        <v>5</v>
      </c>
      <c r="BE22" t="s">
        <v>632</v>
      </c>
      <c r="BF22" t="s">
        <v>632</v>
      </c>
      <c r="BG22" t="s">
        <v>632</v>
      </c>
      <c r="BH22" t="s">
        <v>795</v>
      </c>
      <c r="BI22" t="s">
        <v>632</v>
      </c>
      <c r="BJ22" t="s">
        <v>632</v>
      </c>
      <c r="BK22" t="s">
        <v>23</v>
      </c>
      <c r="BL22" t="s">
        <v>632</v>
      </c>
      <c r="BM22" t="s">
        <v>632</v>
      </c>
      <c r="BN22" t="s">
        <v>332</v>
      </c>
      <c r="BO22" t="s">
        <v>16</v>
      </c>
      <c r="BP22" t="s">
        <v>632</v>
      </c>
      <c r="BQ22" t="s">
        <v>632</v>
      </c>
      <c r="BR22" t="s">
        <v>855</v>
      </c>
      <c r="BS22" t="s">
        <v>632</v>
      </c>
      <c r="BT22" t="s">
        <v>19</v>
      </c>
      <c r="BU22" t="s">
        <v>632</v>
      </c>
      <c r="BV22" t="s">
        <v>931</v>
      </c>
      <c r="BW22">
        <v>7</v>
      </c>
      <c r="BX22" t="s">
        <v>20</v>
      </c>
      <c r="BY22" t="s">
        <v>6</v>
      </c>
      <c r="BZ22" t="s">
        <v>22</v>
      </c>
      <c r="CA22" t="s">
        <v>632</v>
      </c>
      <c r="CB22" t="s">
        <v>632</v>
      </c>
    </row>
    <row r="23" spans="1:80" x14ac:dyDescent="0.35">
      <c r="A23" t="s">
        <v>843</v>
      </c>
      <c r="B23" t="s">
        <v>844</v>
      </c>
      <c r="C23" t="s">
        <v>632</v>
      </c>
      <c r="D23" t="s">
        <v>632</v>
      </c>
      <c r="E23" t="s">
        <v>345</v>
      </c>
      <c r="F23" t="s">
        <v>328</v>
      </c>
      <c r="G23" t="s">
        <v>329</v>
      </c>
      <c r="H23" t="s">
        <v>632</v>
      </c>
      <c r="I23" t="s">
        <v>175</v>
      </c>
      <c r="J23" t="s">
        <v>632</v>
      </c>
      <c r="K23" t="s">
        <v>175</v>
      </c>
      <c r="L23" t="s">
        <v>632</v>
      </c>
      <c r="M23" t="s">
        <v>632</v>
      </c>
      <c r="N23">
        <v>11282</v>
      </c>
      <c r="O23">
        <v>31</v>
      </c>
      <c r="P23">
        <v>30</v>
      </c>
      <c r="Q23" t="s">
        <v>632</v>
      </c>
      <c r="R23">
        <v>30</v>
      </c>
      <c r="S23" t="s">
        <v>856</v>
      </c>
      <c r="T23" t="s">
        <v>632</v>
      </c>
      <c r="U23" t="s">
        <v>35</v>
      </c>
      <c r="V23" t="s">
        <v>632</v>
      </c>
      <c r="W23" t="s">
        <v>632</v>
      </c>
      <c r="X23" t="s">
        <v>632</v>
      </c>
      <c r="Y23">
        <v>2015</v>
      </c>
      <c r="Z23" t="s">
        <v>632</v>
      </c>
      <c r="AA23" t="s">
        <v>632</v>
      </c>
      <c r="AB23" t="s">
        <v>632</v>
      </c>
      <c r="AD23">
        <v>0</v>
      </c>
      <c r="AF23">
        <v>0</v>
      </c>
      <c r="AG23">
        <v>0</v>
      </c>
      <c r="AH23">
        <v>0</v>
      </c>
      <c r="AI23">
        <v>0</v>
      </c>
      <c r="AJ23" t="s">
        <v>632</v>
      </c>
      <c r="AK23">
        <v>0</v>
      </c>
      <c r="AL23">
        <v>0</v>
      </c>
      <c r="AM23">
        <v>0</v>
      </c>
      <c r="AN23">
        <v>0</v>
      </c>
      <c r="AO23" t="s">
        <v>632</v>
      </c>
      <c r="AP23" t="s">
        <v>632</v>
      </c>
      <c r="AQ23" t="s">
        <v>11</v>
      </c>
      <c r="AR23" t="s">
        <v>847</v>
      </c>
      <c r="AS23" t="s">
        <v>632</v>
      </c>
      <c r="AT23" t="s">
        <v>632</v>
      </c>
      <c r="AU23" t="s">
        <v>632</v>
      </c>
      <c r="AV23" t="s">
        <v>857</v>
      </c>
      <c r="AW23">
        <v>70</v>
      </c>
      <c r="AX23" t="s">
        <v>848</v>
      </c>
      <c r="AY23" t="s">
        <v>849</v>
      </c>
      <c r="AZ23" t="s">
        <v>632</v>
      </c>
      <c r="BA23" s="1"/>
      <c r="BB23" t="s">
        <v>928</v>
      </c>
      <c r="BC23" t="s">
        <v>853</v>
      </c>
      <c r="BE23" t="s">
        <v>632</v>
      </c>
      <c r="BF23" t="s">
        <v>632</v>
      </c>
      <c r="BG23" t="s">
        <v>632</v>
      </c>
      <c r="BH23" t="s">
        <v>851</v>
      </c>
      <c r="BI23" t="s">
        <v>632</v>
      </c>
      <c r="BJ23" t="s">
        <v>632</v>
      </c>
      <c r="BK23" t="s">
        <v>52</v>
      </c>
      <c r="BL23" t="s">
        <v>632</v>
      </c>
      <c r="BM23" t="s">
        <v>974</v>
      </c>
      <c r="BN23" t="s">
        <v>332</v>
      </c>
      <c r="BO23" t="s">
        <v>852</v>
      </c>
      <c r="BP23" t="s">
        <v>57</v>
      </c>
      <c r="BQ23" t="s">
        <v>632</v>
      </c>
      <c r="BR23" t="s">
        <v>858</v>
      </c>
      <c r="BS23" t="s">
        <v>632</v>
      </c>
      <c r="BT23" t="s">
        <v>632</v>
      </c>
      <c r="BU23" t="s">
        <v>632</v>
      </c>
      <c r="BV23" t="s">
        <v>859</v>
      </c>
      <c r="BX23" t="s">
        <v>99</v>
      </c>
      <c r="BY23" t="s">
        <v>99</v>
      </c>
      <c r="BZ23" t="s">
        <v>850</v>
      </c>
      <c r="CA23" t="s">
        <v>632</v>
      </c>
      <c r="CB23" t="s">
        <v>632</v>
      </c>
    </row>
    <row r="24" spans="1:80" x14ac:dyDescent="0.35">
      <c r="A24" t="s">
        <v>412</v>
      </c>
      <c r="B24" t="s">
        <v>413</v>
      </c>
      <c r="C24" t="s">
        <v>632</v>
      </c>
      <c r="D24" t="s">
        <v>632</v>
      </c>
      <c r="E24" t="s">
        <v>335</v>
      </c>
      <c r="F24" t="s">
        <v>328</v>
      </c>
      <c r="G24" t="s">
        <v>329</v>
      </c>
      <c r="H24" t="s">
        <v>632</v>
      </c>
      <c r="I24" t="s">
        <v>18</v>
      </c>
      <c r="J24" t="s">
        <v>632</v>
      </c>
      <c r="K24" t="s">
        <v>18</v>
      </c>
      <c r="L24" t="s">
        <v>632</v>
      </c>
      <c r="M24" t="s">
        <v>632</v>
      </c>
      <c r="N24">
        <v>14436</v>
      </c>
      <c r="O24">
        <v>7</v>
      </c>
      <c r="Q24" t="s">
        <v>632</v>
      </c>
      <c r="S24" t="s">
        <v>632</v>
      </c>
      <c r="T24" t="s">
        <v>632</v>
      </c>
      <c r="U24" t="s">
        <v>13</v>
      </c>
      <c r="V24" t="s">
        <v>632</v>
      </c>
      <c r="W24" t="s">
        <v>632</v>
      </c>
      <c r="X24" t="s">
        <v>632</v>
      </c>
      <c r="Y24">
        <v>1993</v>
      </c>
      <c r="Z24" t="s">
        <v>632</v>
      </c>
      <c r="AA24" t="s">
        <v>632</v>
      </c>
      <c r="AB24" t="s">
        <v>632</v>
      </c>
      <c r="AD24">
        <v>0</v>
      </c>
      <c r="AF24">
        <v>0</v>
      </c>
      <c r="AG24">
        <v>0</v>
      </c>
      <c r="AH24">
        <v>0</v>
      </c>
      <c r="AI24">
        <v>0</v>
      </c>
      <c r="AJ24" t="s">
        <v>632</v>
      </c>
      <c r="AK24">
        <v>0</v>
      </c>
      <c r="AL24">
        <v>0</v>
      </c>
      <c r="AM24">
        <v>0</v>
      </c>
      <c r="AN24">
        <v>0</v>
      </c>
      <c r="AO24" t="s">
        <v>632</v>
      </c>
      <c r="AP24" t="s">
        <v>632</v>
      </c>
      <c r="AQ24" t="s">
        <v>11</v>
      </c>
      <c r="AR24" t="s">
        <v>330</v>
      </c>
      <c r="AS24" t="s">
        <v>632</v>
      </c>
      <c r="AT24" t="s">
        <v>632</v>
      </c>
      <c r="AU24" t="s">
        <v>632</v>
      </c>
      <c r="AV24" t="s">
        <v>302</v>
      </c>
      <c r="AW24">
        <v>30</v>
      </c>
      <c r="AX24" t="s">
        <v>300</v>
      </c>
      <c r="AY24" t="s">
        <v>646</v>
      </c>
      <c r="AZ24" t="s">
        <v>632</v>
      </c>
      <c r="BA24" s="1"/>
      <c r="BB24" t="s">
        <v>932</v>
      </c>
      <c r="BC24" t="s">
        <v>632</v>
      </c>
      <c r="BD24">
        <v>2</v>
      </c>
      <c r="BE24" t="s">
        <v>632</v>
      </c>
      <c r="BF24" t="s">
        <v>632</v>
      </c>
      <c r="BG24" t="s">
        <v>632</v>
      </c>
      <c r="BH24" t="s">
        <v>414</v>
      </c>
      <c r="BI24" t="s">
        <v>632</v>
      </c>
      <c r="BJ24" t="s">
        <v>632</v>
      </c>
      <c r="BK24" t="s">
        <v>104</v>
      </c>
      <c r="BL24" t="s">
        <v>632</v>
      </c>
      <c r="BM24" t="s">
        <v>975</v>
      </c>
      <c r="BN24" t="s">
        <v>632</v>
      </c>
      <c r="BO24" t="s">
        <v>301</v>
      </c>
      <c r="BP24" t="s">
        <v>632</v>
      </c>
      <c r="BQ24" t="s">
        <v>632</v>
      </c>
      <c r="BR24" t="s">
        <v>860</v>
      </c>
      <c r="BS24" t="s">
        <v>632</v>
      </c>
      <c r="BT24" t="s">
        <v>303</v>
      </c>
      <c r="BU24" t="s">
        <v>632</v>
      </c>
      <c r="BV24" t="s">
        <v>933</v>
      </c>
      <c r="BW24">
        <v>2</v>
      </c>
      <c r="BX24" t="s">
        <v>304</v>
      </c>
      <c r="BY24" t="s">
        <v>6</v>
      </c>
      <c r="BZ24" t="s">
        <v>305</v>
      </c>
      <c r="CA24" t="s">
        <v>632</v>
      </c>
      <c r="CB24" t="s">
        <v>632</v>
      </c>
    </row>
    <row r="25" spans="1:80" x14ac:dyDescent="0.35">
      <c r="A25" t="s">
        <v>415</v>
      </c>
      <c r="B25" t="s">
        <v>416</v>
      </c>
      <c r="C25" t="s">
        <v>632</v>
      </c>
      <c r="D25" t="s">
        <v>632</v>
      </c>
      <c r="E25" t="s">
        <v>335</v>
      </c>
      <c r="F25" t="s">
        <v>328</v>
      </c>
      <c r="G25" t="s">
        <v>329</v>
      </c>
      <c r="H25" t="s">
        <v>632</v>
      </c>
      <c r="I25" t="s">
        <v>18</v>
      </c>
      <c r="J25" t="s">
        <v>632</v>
      </c>
      <c r="K25" t="s">
        <v>18</v>
      </c>
      <c r="L25" t="s">
        <v>632</v>
      </c>
      <c r="M25" t="s">
        <v>632</v>
      </c>
      <c r="N25">
        <v>29054</v>
      </c>
      <c r="O25">
        <v>22</v>
      </c>
      <c r="Q25" t="s">
        <v>632</v>
      </c>
      <c r="S25" t="s">
        <v>632</v>
      </c>
      <c r="T25" t="s">
        <v>632</v>
      </c>
      <c r="U25" t="s">
        <v>13</v>
      </c>
      <c r="V25" t="s">
        <v>632</v>
      </c>
      <c r="W25" t="s">
        <v>934</v>
      </c>
      <c r="X25" t="s">
        <v>632</v>
      </c>
      <c r="Y25">
        <v>1993</v>
      </c>
      <c r="Z25" t="s">
        <v>632</v>
      </c>
      <c r="AA25" t="s">
        <v>632</v>
      </c>
      <c r="AB25" t="s">
        <v>632</v>
      </c>
      <c r="AD25">
        <v>0</v>
      </c>
      <c r="AF25">
        <v>0</v>
      </c>
      <c r="AG25">
        <v>0</v>
      </c>
      <c r="AH25">
        <v>0</v>
      </c>
      <c r="AI25">
        <v>0</v>
      </c>
      <c r="AJ25" t="s">
        <v>632</v>
      </c>
      <c r="AK25">
        <v>0</v>
      </c>
      <c r="AL25">
        <v>0</v>
      </c>
      <c r="AM25">
        <v>0</v>
      </c>
      <c r="AN25">
        <v>0</v>
      </c>
      <c r="AO25" t="s">
        <v>632</v>
      </c>
      <c r="AP25" t="s">
        <v>632</v>
      </c>
      <c r="AQ25" t="s">
        <v>11</v>
      </c>
      <c r="AR25" t="s">
        <v>330</v>
      </c>
      <c r="AS25" t="s">
        <v>632</v>
      </c>
      <c r="AT25" t="s">
        <v>632</v>
      </c>
      <c r="AU25" t="s">
        <v>632</v>
      </c>
      <c r="AV25" t="s">
        <v>295</v>
      </c>
      <c r="AW25">
        <v>40</v>
      </c>
      <c r="AX25" t="s">
        <v>293</v>
      </c>
      <c r="AY25" t="s">
        <v>417</v>
      </c>
      <c r="AZ25" t="s">
        <v>632</v>
      </c>
      <c r="BA25" s="1"/>
      <c r="BB25" t="s">
        <v>799</v>
      </c>
      <c r="BC25" t="s">
        <v>632</v>
      </c>
      <c r="BD25">
        <v>6</v>
      </c>
      <c r="BE25" t="s">
        <v>632</v>
      </c>
      <c r="BF25" t="s">
        <v>632</v>
      </c>
      <c r="BG25" t="s">
        <v>632</v>
      </c>
      <c r="BH25" t="s">
        <v>418</v>
      </c>
      <c r="BI25" t="s">
        <v>632</v>
      </c>
      <c r="BJ25" t="s">
        <v>632</v>
      </c>
      <c r="BK25" t="s">
        <v>14</v>
      </c>
      <c r="BL25" t="s">
        <v>632</v>
      </c>
      <c r="BM25" t="s">
        <v>632</v>
      </c>
      <c r="BN25" t="s">
        <v>632</v>
      </c>
      <c r="BO25" t="s">
        <v>294</v>
      </c>
      <c r="BP25" t="s">
        <v>632</v>
      </c>
      <c r="BQ25" t="s">
        <v>632</v>
      </c>
      <c r="BR25" t="s">
        <v>861</v>
      </c>
      <c r="BS25" t="s">
        <v>632</v>
      </c>
      <c r="BT25" t="s">
        <v>19</v>
      </c>
      <c r="BU25" t="s">
        <v>632</v>
      </c>
      <c r="BV25" t="s">
        <v>800</v>
      </c>
      <c r="BW25">
        <v>2</v>
      </c>
      <c r="BX25" t="s">
        <v>20</v>
      </c>
      <c r="BY25" t="s">
        <v>6</v>
      </c>
      <c r="BZ25" t="s">
        <v>296</v>
      </c>
      <c r="CA25" t="s">
        <v>862</v>
      </c>
      <c r="CB25" t="s">
        <v>632</v>
      </c>
    </row>
    <row r="26" spans="1:80" x14ac:dyDescent="0.35">
      <c r="A26" t="s">
        <v>419</v>
      </c>
      <c r="B26" t="s">
        <v>420</v>
      </c>
      <c r="C26" t="s">
        <v>632</v>
      </c>
      <c r="D26" t="s">
        <v>632</v>
      </c>
      <c r="E26" t="s">
        <v>345</v>
      </c>
      <c r="F26" t="s">
        <v>328</v>
      </c>
      <c r="G26" t="s">
        <v>329</v>
      </c>
      <c r="H26" t="s">
        <v>632</v>
      </c>
      <c r="I26" t="s">
        <v>175</v>
      </c>
      <c r="J26" t="s">
        <v>632</v>
      </c>
      <c r="K26" t="s">
        <v>175</v>
      </c>
      <c r="L26" t="s">
        <v>632</v>
      </c>
      <c r="M26" t="s">
        <v>632</v>
      </c>
      <c r="N26">
        <v>13656</v>
      </c>
      <c r="O26">
        <v>1</v>
      </c>
      <c r="Q26" t="s">
        <v>632</v>
      </c>
      <c r="S26" t="s">
        <v>632</v>
      </c>
      <c r="T26" t="s">
        <v>632</v>
      </c>
      <c r="U26" t="s">
        <v>35</v>
      </c>
      <c r="V26" t="s">
        <v>632</v>
      </c>
      <c r="W26" t="s">
        <v>421</v>
      </c>
      <c r="X26" t="s">
        <v>632</v>
      </c>
      <c r="Y26">
        <v>1997</v>
      </c>
      <c r="Z26" t="s">
        <v>632</v>
      </c>
      <c r="AA26" t="s">
        <v>632</v>
      </c>
      <c r="AB26" t="s">
        <v>632</v>
      </c>
      <c r="AD26">
        <v>0</v>
      </c>
      <c r="AF26">
        <v>0</v>
      </c>
      <c r="AG26">
        <v>0</v>
      </c>
      <c r="AH26">
        <v>0</v>
      </c>
      <c r="AI26">
        <v>0</v>
      </c>
      <c r="AJ26" t="s">
        <v>632</v>
      </c>
      <c r="AK26">
        <v>1</v>
      </c>
      <c r="AL26">
        <v>0</v>
      </c>
      <c r="AM26">
        <v>0</v>
      </c>
      <c r="AN26">
        <v>0</v>
      </c>
      <c r="AO26" t="s">
        <v>632</v>
      </c>
      <c r="AP26" t="s">
        <v>632</v>
      </c>
      <c r="AQ26" t="s">
        <v>11</v>
      </c>
      <c r="AR26" t="s">
        <v>330</v>
      </c>
      <c r="AS26" t="s">
        <v>632</v>
      </c>
      <c r="AT26" t="s">
        <v>632</v>
      </c>
      <c r="AU26" t="s">
        <v>632</v>
      </c>
      <c r="AV26" t="s">
        <v>262</v>
      </c>
      <c r="AW26">
        <v>30</v>
      </c>
      <c r="AX26" t="s">
        <v>260</v>
      </c>
      <c r="AY26" t="s">
        <v>647</v>
      </c>
      <c r="AZ26" t="s">
        <v>632</v>
      </c>
      <c r="BA26" s="1"/>
      <c r="BB26" t="s">
        <v>263</v>
      </c>
      <c r="BC26" t="s">
        <v>632</v>
      </c>
      <c r="BE26" t="s">
        <v>632</v>
      </c>
      <c r="BF26" t="s">
        <v>632</v>
      </c>
      <c r="BG26" t="s">
        <v>632</v>
      </c>
      <c r="BH26" t="s">
        <v>422</v>
      </c>
      <c r="BI26" t="s">
        <v>632</v>
      </c>
      <c r="BJ26" t="s">
        <v>632</v>
      </c>
      <c r="BK26" t="s">
        <v>14</v>
      </c>
      <c r="BL26" t="s">
        <v>632</v>
      </c>
      <c r="BM26" t="s">
        <v>632</v>
      </c>
      <c r="BN26" t="s">
        <v>632</v>
      </c>
      <c r="BO26" t="s">
        <v>261</v>
      </c>
      <c r="BP26" t="s">
        <v>632</v>
      </c>
      <c r="BQ26" t="s">
        <v>632</v>
      </c>
      <c r="BR26" t="s">
        <v>863</v>
      </c>
      <c r="BS26" t="s">
        <v>632</v>
      </c>
      <c r="BT26" t="s">
        <v>632</v>
      </c>
      <c r="BU26" t="s">
        <v>632</v>
      </c>
      <c r="BV26" t="s">
        <v>263</v>
      </c>
      <c r="BX26" t="s">
        <v>99</v>
      </c>
      <c r="BY26" t="s">
        <v>99</v>
      </c>
      <c r="BZ26" t="s">
        <v>264</v>
      </c>
      <c r="CA26" t="s">
        <v>632</v>
      </c>
      <c r="CB26" t="s">
        <v>632</v>
      </c>
    </row>
    <row r="27" spans="1:80" x14ac:dyDescent="0.35">
      <c r="A27" t="s">
        <v>423</v>
      </c>
      <c r="B27" t="s">
        <v>424</v>
      </c>
      <c r="C27" t="s">
        <v>632</v>
      </c>
      <c r="D27" t="s">
        <v>632</v>
      </c>
      <c r="E27" t="s">
        <v>345</v>
      </c>
      <c r="F27" t="s">
        <v>328</v>
      </c>
      <c r="G27" t="s">
        <v>329</v>
      </c>
      <c r="H27" t="s">
        <v>632</v>
      </c>
      <c r="I27" t="s">
        <v>632</v>
      </c>
      <c r="J27" t="s">
        <v>632</v>
      </c>
      <c r="K27" t="s">
        <v>632</v>
      </c>
      <c r="L27" t="s">
        <v>632</v>
      </c>
      <c r="M27" t="s">
        <v>632</v>
      </c>
      <c r="N27">
        <v>16347</v>
      </c>
      <c r="O27">
        <v>57</v>
      </c>
      <c r="Q27" t="s">
        <v>632</v>
      </c>
      <c r="S27" t="s">
        <v>632</v>
      </c>
      <c r="T27" t="s">
        <v>632</v>
      </c>
      <c r="U27" t="s">
        <v>35</v>
      </c>
      <c r="V27" t="s">
        <v>632</v>
      </c>
      <c r="W27" t="s">
        <v>632</v>
      </c>
      <c r="X27" t="s">
        <v>632</v>
      </c>
      <c r="Y27">
        <v>2015</v>
      </c>
      <c r="Z27" t="s">
        <v>632</v>
      </c>
      <c r="AA27" t="s">
        <v>632</v>
      </c>
      <c r="AB27" t="s">
        <v>632</v>
      </c>
      <c r="AD27">
        <v>0</v>
      </c>
      <c r="AF27">
        <v>0</v>
      </c>
      <c r="AG27">
        <v>0</v>
      </c>
      <c r="AH27">
        <v>0</v>
      </c>
      <c r="AI27">
        <v>0</v>
      </c>
      <c r="AJ27" t="s">
        <v>632</v>
      </c>
      <c r="AK27">
        <v>1</v>
      </c>
      <c r="AL27">
        <v>0</v>
      </c>
      <c r="AM27">
        <v>0</v>
      </c>
      <c r="AN27">
        <v>0</v>
      </c>
      <c r="AO27" t="s">
        <v>632</v>
      </c>
      <c r="AP27" t="s">
        <v>632</v>
      </c>
      <c r="AQ27" t="s">
        <v>11</v>
      </c>
      <c r="AR27" t="s">
        <v>330</v>
      </c>
      <c r="AS27" t="s">
        <v>632</v>
      </c>
      <c r="AT27" t="s">
        <v>632</v>
      </c>
      <c r="AU27" t="s">
        <v>632</v>
      </c>
      <c r="AV27" t="s">
        <v>188</v>
      </c>
      <c r="AW27">
        <v>20</v>
      </c>
      <c r="AX27" t="s">
        <v>186</v>
      </c>
      <c r="AY27" t="s">
        <v>648</v>
      </c>
      <c r="AZ27" t="s">
        <v>632</v>
      </c>
      <c r="BA27" s="1"/>
      <c r="BB27" t="s">
        <v>935</v>
      </c>
      <c r="BC27" t="s">
        <v>632</v>
      </c>
      <c r="BE27" t="s">
        <v>632</v>
      </c>
      <c r="BF27" t="s">
        <v>632</v>
      </c>
      <c r="BG27" t="s">
        <v>632</v>
      </c>
      <c r="BH27" t="s">
        <v>425</v>
      </c>
      <c r="BI27" t="s">
        <v>632</v>
      </c>
      <c r="BJ27" t="s">
        <v>632</v>
      </c>
      <c r="BK27" t="s">
        <v>104</v>
      </c>
      <c r="BL27" t="s">
        <v>632</v>
      </c>
      <c r="BM27" t="s">
        <v>632</v>
      </c>
      <c r="BN27" t="s">
        <v>632</v>
      </c>
      <c r="BO27" t="s">
        <v>187</v>
      </c>
      <c r="BP27" t="s">
        <v>632</v>
      </c>
      <c r="BQ27" t="s">
        <v>632</v>
      </c>
      <c r="BR27" t="s">
        <v>864</v>
      </c>
      <c r="BS27" t="s">
        <v>632</v>
      </c>
      <c r="BT27" t="s">
        <v>632</v>
      </c>
      <c r="BU27" t="s">
        <v>632</v>
      </c>
      <c r="BV27" t="s">
        <v>935</v>
      </c>
      <c r="BX27" t="s">
        <v>189</v>
      </c>
      <c r="BY27" t="s">
        <v>189</v>
      </c>
      <c r="BZ27" t="s">
        <v>190</v>
      </c>
      <c r="CA27" t="s">
        <v>632</v>
      </c>
      <c r="CB27" t="s">
        <v>632</v>
      </c>
    </row>
    <row r="28" spans="1:80" x14ac:dyDescent="0.35">
      <c r="A28" t="s">
        <v>426</v>
      </c>
      <c r="B28" t="s">
        <v>427</v>
      </c>
      <c r="C28" t="s">
        <v>632</v>
      </c>
      <c r="D28" t="s">
        <v>632</v>
      </c>
      <c r="E28" t="s">
        <v>335</v>
      </c>
      <c r="F28" t="s">
        <v>632</v>
      </c>
      <c r="G28" t="s">
        <v>428</v>
      </c>
      <c r="H28" t="s">
        <v>632</v>
      </c>
      <c r="I28" t="s">
        <v>429</v>
      </c>
      <c r="J28" t="s">
        <v>632</v>
      </c>
      <c r="K28" t="s">
        <v>865</v>
      </c>
      <c r="L28" t="s">
        <v>632</v>
      </c>
      <c r="M28" t="s">
        <v>632</v>
      </c>
      <c r="N28">
        <v>4478</v>
      </c>
      <c r="O28">
        <v>42</v>
      </c>
      <c r="Q28" t="s">
        <v>632</v>
      </c>
      <c r="S28" t="s">
        <v>632</v>
      </c>
      <c r="T28" t="s">
        <v>632</v>
      </c>
      <c r="U28" t="s">
        <v>35</v>
      </c>
      <c r="V28" t="s">
        <v>632</v>
      </c>
      <c r="W28" t="s">
        <v>632</v>
      </c>
      <c r="X28" t="s">
        <v>866</v>
      </c>
      <c r="Y28">
        <v>2015</v>
      </c>
      <c r="Z28" t="s">
        <v>632</v>
      </c>
      <c r="AA28" t="s">
        <v>632</v>
      </c>
      <c r="AB28" t="s">
        <v>632</v>
      </c>
      <c r="AD28">
        <v>0</v>
      </c>
      <c r="AF28">
        <v>0</v>
      </c>
      <c r="AG28">
        <v>0</v>
      </c>
      <c r="AH28">
        <v>0</v>
      </c>
      <c r="AI28">
        <v>0</v>
      </c>
      <c r="AJ28" t="s">
        <v>632</v>
      </c>
      <c r="AK28">
        <v>0</v>
      </c>
      <c r="AL28">
        <v>0</v>
      </c>
      <c r="AM28">
        <v>0</v>
      </c>
      <c r="AN28">
        <v>0</v>
      </c>
      <c r="AO28" t="s">
        <v>632</v>
      </c>
      <c r="AP28" t="s">
        <v>76</v>
      </c>
      <c r="AQ28" t="s">
        <v>11</v>
      </c>
      <c r="AR28" t="s">
        <v>330</v>
      </c>
      <c r="AS28" t="s">
        <v>828</v>
      </c>
      <c r="AT28" t="s">
        <v>632</v>
      </c>
      <c r="AU28" t="s">
        <v>632</v>
      </c>
      <c r="AV28" t="s">
        <v>73</v>
      </c>
      <c r="AW28">
        <v>30</v>
      </c>
      <c r="AX28" t="s">
        <v>71</v>
      </c>
      <c r="AY28" t="s">
        <v>649</v>
      </c>
      <c r="AZ28" t="s">
        <v>632</v>
      </c>
      <c r="BA28" s="1"/>
      <c r="BB28" t="s">
        <v>936</v>
      </c>
      <c r="BC28" t="s">
        <v>632</v>
      </c>
      <c r="BD28">
        <v>2</v>
      </c>
      <c r="BE28" t="s">
        <v>632</v>
      </c>
      <c r="BF28" t="s">
        <v>632</v>
      </c>
      <c r="BG28" t="s">
        <v>632</v>
      </c>
      <c r="BH28" t="s">
        <v>72</v>
      </c>
      <c r="BI28" t="s">
        <v>632</v>
      </c>
      <c r="BJ28" t="s">
        <v>867</v>
      </c>
      <c r="BK28" t="s">
        <v>23</v>
      </c>
      <c r="BL28" t="s">
        <v>632</v>
      </c>
      <c r="BM28" t="s">
        <v>632</v>
      </c>
      <c r="BN28" t="s">
        <v>374</v>
      </c>
      <c r="BO28" t="s">
        <v>72</v>
      </c>
      <c r="BP28" t="s">
        <v>632</v>
      </c>
      <c r="BQ28" t="s">
        <v>632</v>
      </c>
      <c r="BR28" t="s">
        <v>868</v>
      </c>
      <c r="BS28" t="s">
        <v>632</v>
      </c>
      <c r="BT28" t="s">
        <v>74</v>
      </c>
      <c r="BU28" t="s">
        <v>46</v>
      </c>
      <c r="BV28" t="s">
        <v>936</v>
      </c>
      <c r="BW28">
        <v>2</v>
      </c>
      <c r="BX28" t="s">
        <v>75</v>
      </c>
      <c r="BY28" t="s">
        <v>6</v>
      </c>
      <c r="BZ28" t="s">
        <v>77</v>
      </c>
      <c r="CA28" t="s">
        <v>869</v>
      </c>
      <c r="CB28" t="s">
        <v>632</v>
      </c>
    </row>
    <row r="29" spans="1:80" x14ac:dyDescent="0.35">
      <c r="A29" t="s">
        <v>431</v>
      </c>
      <c r="B29" t="s">
        <v>432</v>
      </c>
      <c r="C29" t="s">
        <v>632</v>
      </c>
      <c r="D29" t="s">
        <v>632</v>
      </c>
      <c r="E29" t="s">
        <v>327</v>
      </c>
      <c r="F29" t="s">
        <v>632</v>
      </c>
      <c r="G29" t="s">
        <v>329</v>
      </c>
      <c r="H29" t="s">
        <v>632</v>
      </c>
      <c r="I29" t="s">
        <v>18</v>
      </c>
      <c r="J29" t="s">
        <v>632</v>
      </c>
      <c r="K29" t="s">
        <v>632</v>
      </c>
      <c r="L29" t="s">
        <v>632</v>
      </c>
      <c r="M29" t="s">
        <v>632</v>
      </c>
      <c r="O29">
        <v>7</v>
      </c>
      <c r="Q29" t="s">
        <v>632</v>
      </c>
      <c r="S29" t="s">
        <v>632</v>
      </c>
      <c r="T29" t="s">
        <v>632</v>
      </c>
      <c r="U29" t="s">
        <v>35</v>
      </c>
      <c r="V29" t="s">
        <v>632</v>
      </c>
      <c r="W29" t="s">
        <v>632</v>
      </c>
      <c r="X29" t="s">
        <v>632</v>
      </c>
      <c r="Y29">
        <v>2015</v>
      </c>
      <c r="Z29" t="s">
        <v>632</v>
      </c>
      <c r="AA29" t="s">
        <v>632</v>
      </c>
      <c r="AB29" t="s">
        <v>632</v>
      </c>
      <c r="AD29">
        <v>0</v>
      </c>
      <c r="AF29">
        <v>0</v>
      </c>
      <c r="AG29">
        <v>0</v>
      </c>
      <c r="AH29">
        <v>0</v>
      </c>
      <c r="AI29">
        <v>0</v>
      </c>
      <c r="AJ29" t="s">
        <v>632</v>
      </c>
      <c r="AK29">
        <v>1</v>
      </c>
      <c r="AL29">
        <v>0</v>
      </c>
      <c r="AM29">
        <v>0</v>
      </c>
      <c r="AN29">
        <v>0</v>
      </c>
      <c r="AO29" t="s">
        <v>632</v>
      </c>
      <c r="AP29" t="s">
        <v>632</v>
      </c>
      <c r="AQ29" t="s">
        <v>11</v>
      </c>
      <c r="AR29" t="s">
        <v>330</v>
      </c>
      <c r="AS29" t="s">
        <v>632</v>
      </c>
      <c r="AT29" t="s">
        <v>632</v>
      </c>
      <c r="AU29" t="s">
        <v>632</v>
      </c>
      <c r="AV29" t="s">
        <v>632</v>
      </c>
      <c r="AW29">
        <v>0</v>
      </c>
      <c r="AX29" t="s">
        <v>87</v>
      </c>
      <c r="AY29" t="s">
        <v>650</v>
      </c>
      <c r="AZ29" t="s">
        <v>632</v>
      </c>
      <c r="BA29" s="1"/>
      <c r="BB29" t="s">
        <v>632</v>
      </c>
      <c r="BC29" t="s">
        <v>632</v>
      </c>
      <c r="BE29" t="s">
        <v>632</v>
      </c>
      <c r="BF29" t="s">
        <v>632</v>
      </c>
      <c r="BG29" t="s">
        <v>632</v>
      </c>
      <c r="BH29" t="s">
        <v>870</v>
      </c>
      <c r="BI29" t="s">
        <v>18</v>
      </c>
      <c r="BJ29" t="s">
        <v>632</v>
      </c>
      <c r="BK29" t="s">
        <v>14</v>
      </c>
      <c r="BL29" t="s">
        <v>632</v>
      </c>
      <c r="BM29" t="s">
        <v>632</v>
      </c>
      <c r="BN29" t="s">
        <v>632</v>
      </c>
      <c r="BO29" t="s">
        <v>88</v>
      </c>
      <c r="BP29" t="s">
        <v>632</v>
      </c>
      <c r="BQ29" t="s">
        <v>632</v>
      </c>
      <c r="BR29" t="s">
        <v>871</v>
      </c>
      <c r="BS29" t="s">
        <v>632</v>
      </c>
      <c r="BT29" t="s">
        <v>87</v>
      </c>
      <c r="BU29" t="s">
        <v>89</v>
      </c>
      <c r="BV29" t="s">
        <v>91</v>
      </c>
      <c r="BX29" t="s">
        <v>90</v>
      </c>
      <c r="BY29" t="s">
        <v>69</v>
      </c>
      <c r="BZ29" t="s">
        <v>92</v>
      </c>
      <c r="CA29" t="s">
        <v>872</v>
      </c>
      <c r="CB29" t="s">
        <v>632</v>
      </c>
    </row>
    <row r="30" spans="1:80" x14ac:dyDescent="0.35">
      <c r="A30" t="s">
        <v>433</v>
      </c>
      <c r="B30" t="s">
        <v>434</v>
      </c>
      <c r="C30" t="s">
        <v>632</v>
      </c>
      <c r="D30" t="s">
        <v>632</v>
      </c>
      <c r="E30" t="s">
        <v>335</v>
      </c>
      <c r="F30" t="s">
        <v>328</v>
      </c>
      <c r="G30" t="s">
        <v>329</v>
      </c>
      <c r="H30" t="s">
        <v>632</v>
      </c>
      <c r="I30" t="s">
        <v>64</v>
      </c>
      <c r="J30" t="s">
        <v>632</v>
      </c>
      <c r="K30" t="s">
        <v>64</v>
      </c>
      <c r="L30" t="s">
        <v>632</v>
      </c>
      <c r="M30" t="s">
        <v>632</v>
      </c>
      <c r="N30">
        <v>21157</v>
      </c>
      <c r="O30">
        <v>17</v>
      </c>
      <c r="Q30" t="s">
        <v>632</v>
      </c>
      <c r="S30" t="s">
        <v>632</v>
      </c>
      <c r="T30" t="s">
        <v>632</v>
      </c>
      <c r="U30" t="s">
        <v>13</v>
      </c>
      <c r="V30" t="s">
        <v>632</v>
      </c>
      <c r="W30" t="s">
        <v>632</v>
      </c>
      <c r="X30" t="s">
        <v>632</v>
      </c>
      <c r="Y30">
        <v>1997</v>
      </c>
      <c r="Z30" t="s">
        <v>632</v>
      </c>
      <c r="AA30" t="s">
        <v>632</v>
      </c>
      <c r="AB30" t="s">
        <v>632</v>
      </c>
      <c r="AD30">
        <v>0</v>
      </c>
      <c r="AF30">
        <v>0</v>
      </c>
      <c r="AG30">
        <v>0</v>
      </c>
      <c r="AH30">
        <v>0</v>
      </c>
      <c r="AI30">
        <v>0</v>
      </c>
      <c r="AJ30" t="s">
        <v>632</v>
      </c>
      <c r="AK30">
        <v>1</v>
      </c>
      <c r="AL30">
        <v>0</v>
      </c>
      <c r="AM30">
        <v>0</v>
      </c>
      <c r="AN30">
        <v>0</v>
      </c>
      <c r="AO30" t="s">
        <v>632</v>
      </c>
      <c r="AP30" t="s">
        <v>126</v>
      </c>
      <c r="AQ30" t="s">
        <v>11</v>
      </c>
      <c r="AR30" t="s">
        <v>330</v>
      </c>
      <c r="AS30" t="s">
        <v>632</v>
      </c>
      <c r="AT30" t="s">
        <v>632</v>
      </c>
      <c r="AU30" t="s">
        <v>632</v>
      </c>
      <c r="AV30" t="s">
        <v>123</v>
      </c>
      <c r="AW30">
        <v>10</v>
      </c>
      <c r="AX30" t="s">
        <v>121</v>
      </c>
      <c r="AY30" t="s">
        <v>435</v>
      </c>
      <c r="AZ30" t="s">
        <v>632</v>
      </c>
      <c r="BA30" s="1">
        <v>45506</v>
      </c>
      <c r="BB30" t="s">
        <v>632</v>
      </c>
      <c r="BC30" t="s">
        <v>632</v>
      </c>
      <c r="BD30">
        <v>1</v>
      </c>
      <c r="BE30" t="s">
        <v>632</v>
      </c>
      <c r="BF30" t="s">
        <v>632</v>
      </c>
      <c r="BG30" t="s">
        <v>632</v>
      </c>
      <c r="BH30" t="s">
        <v>436</v>
      </c>
      <c r="BI30" t="s">
        <v>632</v>
      </c>
      <c r="BJ30" t="s">
        <v>632</v>
      </c>
      <c r="BK30" t="s">
        <v>14</v>
      </c>
      <c r="BL30" t="s">
        <v>632</v>
      </c>
      <c r="BM30" t="s">
        <v>632</v>
      </c>
      <c r="BN30" t="s">
        <v>632</v>
      </c>
      <c r="BO30" t="s">
        <v>122</v>
      </c>
      <c r="BP30" t="s">
        <v>632</v>
      </c>
      <c r="BQ30" t="s">
        <v>632</v>
      </c>
      <c r="BR30" t="s">
        <v>873</v>
      </c>
      <c r="BS30" t="s">
        <v>632</v>
      </c>
      <c r="BT30" t="s">
        <v>124</v>
      </c>
      <c r="BU30" t="s">
        <v>632</v>
      </c>
      <c r="BV30" t="s">
        <v>937</v>
      </c>
      <c r="BW30">
        <v>1</v>
      </c>
      <c r="BX30" t="s">
        <v>125</v>
      </c>
      <c r="BY30" t="s">
        <v>6</v>
      </c>
      <c r="BZ30" t="s">
        <v>127</v>
      </c>
      <c r="CA30" t="s">
        <v>632</v>
      </c>
      <c r="CB30" t="s">
        <v>632</v>
      </c>
    </row>
    <row r="31" spans="1:80" x14ac:dyDescent="0.35">
      <c r="A31" t="s">
        <v>437</v>
      </c>
      <c r="B31" t="s">
        <v>438</v>
      </c>
      <c r="C31" t="s">
        <v>632</v>
      </c>
      <c r="D31" t="s">
        <v>632</v>
      </c>
      <c r="E31" t="s">
        <v>345</v>
      </c>
      <c r="F31" t="s">
        <v>328</v>
      </c>
      <c r="G31" t="s">
        <v>329</v>
      </c>
      <c r="H31" t="s">
        <v>632</v>
      </c>
      <c r="I31" t="s">
        <v>7</v>
      </c>
      <c r="J31" t="s">
        <v>632</v>
      </c>
      <c r="K31" t="s">
        <v>7</v>
      </c>
      <c r="L31" t="s">
        <v>632</v>
      </c>
      <c r="M31" t="s">
        <v>632</v>
      </c>
      <c r="N31">
        <v>30013</v>
      </c>
      <c r="O31">
        <v>0</v>
      </c>
      <c r="Q31" t="s">
        <v>632</v>
      </c>
      <c r="S31" t="s">
        <v>632</v>
      </c>
      <c r="T31" t="s">
        <v>632</v>
      </c>
      <c r="U31" t="s">
        <v>13</v>
      </c>
      <c r="V31" t="s">
        <v>632</v>
      </c>
      <c r="W31" t="s">
        <v>938</v>
      </c>
      <c r="X31" t="s">
        <v>632</v>
      </c>
      <c r="Y31">
        <v>1997</v>
      </c>
      <c r="Z31" t="s">
        <v>632</v>
      </c>
      <c r="AA31" t="s">
        <v>632</v>
      </c>
      <c r="AB31" t="s">
        <v>632</v>
      </c>
      <c r="AD31">
        <v>0</v>
      </c>
      <c r="AF31">
        <v>0</v>
      </c>
      <c r="AG31">
        <v>0</v>
      </c>
      <c r="AH31">
        <v>0</v>
      </c>
      <c r="AI31">
        <v>0</v>
      </c>
      <c r="AJ31" t="s">
        <v>632</v>
      </c>
      <c r="AK31">
        <v>0</v>
      </c>
      <c r="AL31">
        <v>0</v>
      </c>
      <c r="AM31">
        <v>0</v>
      </c>
      <c r="AN31">
        <v>0</v>
      </c>
      <c r="AO31" t="s">
        <v>632</v>
      </c>
      <c r="AP31" t="s">
        <v>290</v>
      </c>
      <c r="AQ31" t="s">
        <v>11</v>
      </c>
      <c r="AR31" t="s">
        <v>330</v>
      </c>
      <c r="AS31" t="s">
        <v>632</v>
      </c>
      <c r="AT31" t="s">
        <v>632</v>
      </c>
      <c r="AU31" t="s">
        <v>632</v>
      </c>
      <c r="AV31" t="s">
        <v>140</v>
      </c>
      <c r="AW31">
        <v>40</v>
      </c>
      <c r="AX31" t="s">
        <v>286</v>
      </c>
      <c r="AY31" t="s">
        <v>651</v>
      </c>
      <c r="AZ31" t="s">
        <v>632</v>
      </c>
      <c r="BA31" s="1"/>
      <c r="BB31" t="s">
        <v>439</v>
      </c>
      <c r="BC31" t="s">
        <v>632</v>
      </c>
      <c r="BD31">
        <v>3</v>
      </c>
      <c r="BE31" t="s">
        <v>632</v>
      </c>
      <c r="BF31" t="s">
        <v>632</v>
      </c>
      <c r="BG31" t="s">
        <v>632</v>
      </c>
      <c r="BH31" t="s">
        <v>440</v>
      </c>
      <c r="BI31" t="s">
        <v>632</v>
      </c>
      <c r="BJ31" t="s">
        <v>632</v>
      </c>
      <c r="BK31" t="s">
        <v>14</v>
      </c>
      <c r="BL31" t="s">
        <v>632</v>
      </c>
      <c r="BM31" t="s">
        <v>632</v>
      </c>
      <c r="BN31" t="s">
        <v>632</v>
      </c>
      <c r="BO31" t="s">
        <v>287</v>
      </c>
      <c r="BP31" t="s">
        <v>632</v>
      </c>
      <c r="BQ31" t="s">
        <v>632</v>
      </c>
      <c r="BR31" t="s">
        <v>874</v>
      </c>
      <c r="BS31" t="s">
        <v>632</v>
      </c>
      <c r="BT31" t="s">
        <v>288</v>
      </c>
      <c r="BU31" t="s">
        <v>632</v>
      </c>
      <c r="BV31" t="s">
        <v>291</v>
      </c>
      <c r="BW31">
        <v>2</v>
      </c>
      <c r="BX31" t="s">
        <v>289</v>
      </c>
      <c r="BY31" t="s">
        <v>6</v>
      </c>
      <c r="BZ31" t="s">
        <v>292</v>
      </c>
      <c r="CA31" t="s">
        <v>632</v>
      </c>
      <c r="CB31" t="s">
        <v>632</v>
      </c>
    </row>
    <row r="32" spans="1:80" x14ac:dyDescent="0.35">
      <c r="A32" t="s">
        <v>441</v>
      </c>
      <c r="B32" t="s">
        <v>442</v>
      </c>
      <c r="C32" t="s">
        <v>632</v>
      </c>
      <c r="D32" t="s">
        <v>632</v>
      </c>
      <c r="E32" t="s">
        <v>335</v>
      </c>
      <c r="F32" t="s">
        <v>632</v>
      </c>
      <c r="G32" t="s">
        <v>329</v>
      </c>
      <c r="H32" t="s">
        <v>632</v>
      </c>
      <c r="I32" t="s">
        <v>64</v>
      </c>
      <c r="J32" t="s">
        <v>632</v>
      </c>
      <c r="K32" t="s">
        <v>64</v>
      </c>
      <c r="L32" t="s">
        <v>632</v>
      </c>
      <c r="M32" t="s">
        <v>632</v>
      </c>
      <c r="N32">
        <v>6970</v>
      </c>
      <c r="O32">
        <v>59</v>
      </c>
      <c r="Q32" t="s">
        <v>632</v>
      </c>
      <c r="S32" t="s">
        <v>632</v>
      </c>
      <c r="T32" t="s">
        <v>632</v>
      </c>
      <c r="U32" t="s">
        <v>51</v>
      </c>
      <c r="V32" t="s">
        <v>632</v>
      </c>
      <c r="W32" t="s">
        <v>946</v>
      </c>
      <c r="X32" t="s">
        <v>632</v>
      </c>
      <c r="Y32">
        <v>2003</v>
      </c>
      <c r="Z32" t="s">
        <v>632</v>
      </c>
      <c r="AA32" t="s">
        <v>632</v>
      </c>
      <c r="AB32" t="s">
        <v>632</v>
      </c>
      <c r="AD32">
        <v>0</v>
      </c>
      <c r="AF32">
        <v>0</v>
      </c>
      <c r="AG32">
        <v>0</v>
      </c>
      <c r="AH32">
        <v>0</v>
      </c>
      <c r="AI32">
        <v>1</v>
      </c>
      <c r="AJ32" t="s">
        <v>632</v>
      </c>
      <c r="AK32">
        <v>1</v>
      </c>
      <c r="AL32">
        <v>0</v>
      </c>
      <c r="AM32">
        <v>0</v>
      </c>
      <c r="AN32">
        <v>0</v>
      </c>
      <c r="AO32" t="s">
        <v>632</v>
      </c>
      <c r="AP32" t="s">
        <v>184</v>
      </c>
      <c r="AQ32" t="s">
        <v>11</v>
      </c>
      <c r="AR32" t="s">
        <v>330</v>
      </c>
      <c r="AS32" t="s">
        <v>632</v>
      </c>
      <c r="AT32" t="s">
        <v>632</v>
      </c>
      <c r="AU32" t="s">
        <v>632</v>
      </c>
      <c r="AV32" t="s">
        <v>222</v>
      </c>
      <c r="AW32">
        <v>70</v>
      </c>
      <c r="AX32" t="s">
        <v>220</v>
      </c>
      <c r="AY32" t="s">
        <v>443</v>
      </c>
      <c r="AZ32" t="s">
        <v>632</v>
      </c>
      <c r="BA32" s="1">
        <v>41306</v>
      </c>
      <c r="BB32" t="s">
        <v>632</v>
      </c>
      <c r="BC32" t="s">
        <v>632</v>
      </c>
      <c r="BD32">
        <v>4</v>
      </c>
      <c r="BE32" t="s">
        <v>632</v>
      </c>
      <c r="BF32" t="s">
        <v>632</v>
      </c>
      <c r="BG32" t="s">
        <v>632</v>
      </c>
      <c r="BH32" t="s">
        <v>444</v>
      </c>
      <c r="BI32" t="s">
        <v>632</v>
      </c>
      <c r="BJ32" t="s">
        <v>445</v>
      </c>
      <c r="BK32" t="s">
        <v>52</v>
      </c>
      <c r="BL32" t="s">
        <v>632</v>
      </c>
      <c r="BM32" t="s">
        <v>632</v>
      </c>
      <c r="BN32" t="s">
        <v>632</v>
      </c>
      <c r="BO32" t="s">
        <v>221</v>
      </c>
      <c r="BP32" t="s">
        <v>632</v>
      </c>
      <c r="BQ32" t="s">
        <v>632</v>
      </c>
      <c r="BR32" t="s">
        <v>819</v>
      </c>
      <c r="BS32" t="s">
        <v>632</v>
      </c>
      <c r="BT32" t="s">
        <v>223</v>
      </c>
      <c r="BU32" t="s">
        <v>632</v>
      </c>
      <c r="BV32" t="s">
        <v>939</v>
      </c>
      <c r="BW32">
        <v>6</v>
      </c>
      <c r="BX32" t="s">
        <v>224</v>
      </c>
      <c r="BY32" t="s">
        <v>6</v>
      </c>
      <c r="BZ32" t="s">
        <v>225</v>
      </c>
      <c r="CA32" t="s">
        <v>632</v>
      </c>
      <c r="CB32" t="s">
        <v>875</v>
      </c>
    </row>
    <row r="33" spans="1:80" x14ac:dyDescent="0.35">
      <c r="A33" t="s">
        <v>446</v>
      </c>
      <c r="B33" t="s">
        <v>447</v>
      </c>
      <c r="C33" t="s">
        <v>632</v>
      </c>
      <c r="D33" t="s">
        <v>632</v>
      </c>
      <c r="E33" t="s">
        <v>335</v>
      </c>
      <c r="F33" t="s">
        <v>632</v>
      </c>
      <c r="G33" t="s">
        <v>448</v>
      </c>
      <c r="H33" t="s">
        <v>632</v>
      </c>
      <c r="I33" t="s">
        <v>64</v>
      </c>
      <c r="J33" t="s">
        <v>632</v>
      </c>
      <c r="K33" t="s">
        <v>64</v>
      </c>
      <c r="L33" t="s">
        <v>632</v>
      </c>
      <c r="M33" t="s">
        <v>632</v>
      </c>
      <c r="Q33" t="s">
        <v>632</v>
      </c>
      <c r="S33" t="s">
        <v>632</v>
      </c>
      <c r="T33" t="s">
        <v>632</v>
      </c>
      <c r="U33" t="s">
        <v>13</v>
      </c>
      <c r="V33" t="s">
        <v>632</v>
      </c>
      <c r="W33" t="s">
        <v>449</v>
      </c>
      <c r="X33" t="s">
        <v>632</v>
      </c>
      <c r="Y33">
        <v>2015</v>
      </c>
      <c r="Z33" t="s">
        <v>632</v>
      </c>
      <c r="AA33" t="s">
        <v>632</v>
      </c>
      <c r="AB33" t="s">
        <v>632</v>
      </c>
      <c r="AD33">
        <v>0</v>
      </c>
      <c r="AE33">
        <v>1</v>
      </c>
      <c r="AF33">
        <v>0</v>
      </c>
      <c r="AG33">
        <v>0</v>
      </c>
      <c r="AH33">
        <v>0</v>
      </c>
      <c r="AI33">
        <v>0</v>
      </c>
      <c r="AJ33" t="s">
        <v>632</v>
      </c>
      <c r="AK33">
        <v>1</v>
      </c>
      <c r="AL33">
        <v>0</v>
      </c>
      <c r="AM33">
        <v>0</v>
      </c>
      <c r="AN33">
        <v>0</v>
      </c>
      <c r="AO33" t="s">
        <v>632</v>
      </c>
      <c r="AP33" t="s">
        <v>632</v>
      </c>
      <c r="AQ33" t="s">
        <v>11</v>
      </c>
      <c r="AR33" t="s">
        <v>330</v>
      </c>
      <c r="AS33" t="s">
        <v>632</v>
      </c>
      <c r="AT33" t="s">
        <v>632</v>
      </c>
      <c r="AU33" t="s">
        <v>632</v>
      </c>
      <c r="AV33" t="s">
        <v>152</v>
      </c>
      <c r="AW33">
        <v>30</v>
      </c>
      <c r="AX33" t="s">
        <v>150</v>
      </c>
      <c r="AY33" t="s">
        <v>652</v>
      </c>
      <c r="AZ33" t="s">
        <v>632</v>
      </c>
      <c r="BA33" s="1"/>
      <c r="BB33" t="s">
        <v>947</v>
      </c>
      <c r="BC33" t="s">
        <v>632</v>
      </c>
      <c r="BE33" t="s">
        <v>632</v>
      </c>
      <c r="BF33" t="s">
        <v>632</v>
      </c>
      <c r="BG33" t="s">
        <v>632</v>
      </c>
      <c r="BH33" t="s">
        <v>450</v>
      </c>
      <c r="BI33" t="s">
        <v>632</v>
      </c>
      <c r="BJ33" t="s">
        <v>632</v>
      </c>
      <c r="BK33" t="s">
        <v>52</v>
      </c>
      <c r="BL33" t="s">
        <v>632</v>
      </c>
      <c r="BM33" t="s">
        <v>632</v>
      </c>
      <c r="BN33" t="s">
        <v>332</v>
      </c>
      <c r="BO33" t="s">
        <v>151</v>
      </c>
      <c r="BP33" t="s">
        <v>632</v>
      </c>
      <c r="BQ33" t="s">
        <v>632</v>
      </c>
      <c r="BR33" t="s">
        <v>876</v>
      </c>
      <c r="BS33" t="s">
        <v>632</v>
      </c>
      <c r="BT33" t="s">
        <v>632</v>
      </c>
      <c r="BU33" t="s">
        <v>632</v>
      </c>
      <c r="BV33" t="s">
        <v>947</v>
      </c>
      <c r="BX33" t="s">
        <v>153</v>
      </c>
      <c r="BY33" t="s">
        <v>153</v>
      </c>
      <c r="BZ33" t="s">
        <v>154</v>
      </c>
      <c r="CA33" t="s">
        <v>632</v>
      </c>
      <c r="CB33" t="s">
        <v>632</v>
      </c>
    </row>
    <row r="34" spans="1:80" x14ac:dyDescent="0.35">
      <c r="A34" t="s">
        <v>451</v>
      </c>
      <c r="B34" t="s">
        <v>452</v>
      </c>
      <c r="C34" t="s">
        <v>632</v>
      </c>
      <c r="D34" t="s">
        <v>632</v>
      </c>
      <c r="E34" t="s">
        <v>335</v>
      </c>
      <c r="F34" t="s">
        <v>328</v>
      </c>
      <c r="G34" t="s">
        <v>329</v>
      </c>
      <c r="H34" t="s">
        <v>632</v>
      </c>
      <c r="I34" t="s">
        <v>7</v>
      </c>
      <c r="J34" t="s">
        <v>632</v>
      </c>
      <c r="K34" t="s">
        <v>7</v>
      </c>
      <c r="L34" t="s">
        <v>632</v>
      </c>
      <c r="M34" t="s">
        <v>632</v>
      </c>
      <c r="N34">
        <v>23942</v>
      </c>
      <c r="O34">
        <v>0</v>
      </c>
      <c r="Q34" t="s">
        <v>632</v>
      </c>
      <c r="S34" t="s">
        <v>632</v>
      </c>
      <c r="T34" t="s">
        <v>632</v>
      </c>
      <c r="U34" t="s">
        <v>13</v>
      </c>
      <c r="V34" t="s">
        <v>632</v>
      </c>
      <c r="W34" t="s">
        <v>632</v>
      </c>
      <c r="X34" t="s">
        <v>632</v>
      </c>
      <c r="Y34">
        <v>1997</v>
      </c>
      <c r="Z34" t="s">
        <v>632</v>
      </c>
      <c r="AA34" t="s">
        <v>632</v>
      </c>
      <c r="AB34" t="s">
        <v>632</v>
      </c>
      <c r="AD34">
        <v>0</v>
      </c>
      <c r="AF34">
        <v>0</v>
      </c>
      <c r="AG34">
        <v>0</v>
      </c>
      <c r="AH34">
        <v>0</v>
      </c>
      <c r="AI34">
        <v>0</v>
      </c>
      <c r="AJ34" t="s">
        <v>632</v>
      </c>
      <c r="AK34">
        <v>1</v>
      </c>
      <c r="AL34">
        <v>0</v>
      </c>
      <c r="AM34">
        <v>0</v>
      </c>
      <c r="AN34">
        <v>0</v>
      </c>
      <c r="AO34" t="s">
        <v>632</v>
      </c>
      <c r="AP34" t="s">
        <v>632</v>
      </c>
      <c r="AQ34" t="s">
        <v>11</v>
      </c>
      <c r="AR34" t="s">
        <v>330</v>
      </c>
      <c r="AS34" t="s">
        <v>632</v>
      </c>
      <c r="AT34" t="s">
        <v>632</v>
      </c>
      <c r="AU34" t="s">
        <v>632</v>
      </c>
      <c r="AV34" t="s">
        <v>140</v>
      </c>
      <c r="AW34">
        <v>40</v>
      </c>
      <c r="AX34" t="s">
        <v>139</v>
      </c>
      <c r="AY34" t="s">
        <v>453</v>
      </c>
      <c r="AZ34" t="s">
        <v>632</v>
      </c>
      <c r="BA34" s="1">
        <v>43776</v>
      </c>
      <c r="BB34" t="s">
        <v>632</v>
      </c>
      <c r="BC34" t="s">
        <v>632</v>
      </c>
      <c r="BE34" t="s">
        <v>632</v>
      </c>
      <c r="BF34" t="s">
        <v>632</v>
      </c>
      <c r="BG34" t="s">
        <v>632</v>
      </c>
      <c r="BH34" t="s">
        <v>454</v>
      </c>
      <c r="BI34" t="s">
        <v>632</v>
      </c>
      <c r="BJ34" t="s">
        <v>632</v>
      </c>
      <c r="BK34" t="s">
        <v>104</v>
      </c>
      <c r="BL34" t="s">
        <v>632</v>
      </c>
      <c r="BM34" t="s">
        <v>632</v>
      </c>
      <c r="BN34" t="s">
        <v>632</v>
      </c>
      <c r="BO34" t="s">
        <v>122</v>
      </c>
      <c r="BP34" t="s">
        <v>632</v>
      </c>
      <c r="BQ34" t="s">
        <v>632</v>
      </c>
      <c r="BR34" t="s">
        <v>819</v>
      </c>
      <c r="BS34" t="s">
        <v>632</v>
      </c>
      <c r="BT34" t="s">
        <v>632</v>
      </c>
      <c r="BU34" t="s">
        <v>632</v>
      </c>
      <c r="BV34" t="s">
        <v>940</v>
      </c>
      <c r="BX34" t="s">
        <v>99</v>
      </c>
      <c r="BY34" t="s">
        <v>99</v>
      </c>
      <c r="BZ34" t="s">
        <v>141</v>
      </c>
      <c r="CA34" t="s">
        <v>632</v>
      </c>
      <c r="CB34" t="s">
        <v>632</v>
      </c>
    </row>
    <row r="35" spans="1:80" x14ac:dyDescent="0.35">
      <c r="A35" t="s">
        <v>455</v>
      </c>
      <c r="B35" t="s">
        <v>456</v>
      </c>
      <c r="C35" t="s">
        <v>632</v>
      </c>
      <c r="D35" t="s">
        <v>632</v>
      </c>
      <c r="E35" t="s">
        <v>345</v>
      </c>
      <c r="F35" t="s">
        <v>632</v>
      </c>
      <c r="G35" t="s">
        <v>329</v>
      </c>
      <c r="H35" t="s">
        <v>632</v>
      </c>
      <c r="I35" t="s">
        <v>64</v>
      </c>
      <c r="J35" t="s">
        <v>632</v>
      </c>
      <c r="K35" t="s">
        <v>64</v>
      </c>
      <c r="L35" t="s">
        <v>632</v>
      </c>
      <c r="M35" t="s">
        <v>632</v>
      </c>
      <c r="N35">
        <v>14125</v>
      </c>
      <c r="O35">
        <v>36</v>
      </c>
      <c r="Q35" t="s">
        <v>632</v>
      </c>
      <c r="S35" t="s">
        <v>632</v>
      </c>
      <c r="T35" t="s">
        <v>632</v>
      </c>
      <c r="U35" t="s">
        <v>103</v>
      </c>
      <c r="V35" t="s">
        <v>632</v>
      </c>
      <c r="W35" t="s">
        <v>457</v>
      </c>
      <c r="X35" t="s">
        <v>632</v>
      </c>
      <c r="Y35">
        <v>1997</v>
      </c>
      <c r="Z35" t="s">
        <v>632</v>
      </c>
      <c r="AA35" t="s">
        <v>632</v>
      </c>
      <c r="AB35" t="s">
        <v>632</v>
      </c>
      <c r="AD35">
        <v>0</v>
      </c>
      <c r="AF35">
        <v>0</v>
      </c>
      <c r="AG35">
        <v>0</v>
      </c>
      <c r="AH35">
        <v>0</v>
      </c>
      <c r="AI35">
        <v>0</v>
      </c>
      <c r="AJ35" t="s">
        <v>632</v>
      </c>
      <c r="AK35">
        <v>0</v>
      </c>
      <c r="AL35">
        <v>0</v>
      </c>
      <c r="AM35">
        <v>0</v>
      </c>
      <c r="AN35">
        <v>0</v>
      </c>
      <c r="AO35" t="s">
        <v>632</v>
      </c>
      <c r="AP35" t="s">
        <v>100</v>
      </c>
      <c r="AQ35" t="s">
        <v>11</v>
      </c>
      <c r="AR35" t="s">
        <v>330</v>
      </c>
      <c r="AS35" t="s">
        <v>632</v>
      </c>
      <c r="AT35" t="s">
        <v>632</v>
      </c>
      <c r="AU35" t="s">
        <v>632</v>
      </c>
      <c r="AV35" t="s">
        <v>98</v>
      </c>
      <c r="AW35">
        <v>10</v>
      </c>
      <c r="AX35" t="s">
        <v>96</v>
      </c>
      <c r="AY35" t="s">
        <v>650</v>
      </c>
      <c r="AZ35" t="s">
        <v>632</v>
      </c>
      <c r="BA35" s="1"/>
      <c r="BB35" t="s">
        <v>101</v>
      </c>
      <c r="BC35" t="s">
        <v>632</v>
      </c>
      <c r="BE35" t="s">
        <v>632</v>
      </c>
      <c r="BF35" t="s">
        <v>632</v>
      </c>
      <c r="BG35" t="s">
        <v>632</v>
      </c>
      <c r="BH35" t="s">
        <v>802</v>
      </c>
      <c r="BI35" t="s">
        <v>632</v>
      </c>
      <c r="BJ35" t="s">
        <v>430</v>
      </c>
      <c r="BK35" t="s">
        <v>104</v>
      </c>
      <c r="BL35" t="s">
        <v>632</v>
      </c>
      <c r="BM35" t="s">
        <v>632</v>
      </c>
      <c r="BN35" t="s">
        <v>632</v>
      </c>
      <c r="BO35" t="s">
        <v>97</v>
      </c>
      <c r="BP35" t="s">
        <v>632</v>
      </c>
      <c r="BQ35" t="s">
        <v>632</v>
      </c>
      <c r="BR35" t="s">
        <v>877</v>
      </c>
      <c r="BS35" t="s">
        <v>632</v>
      </c>
      <c r="BT35" t="s">
        <v>632</v>
      </c>
      <c r="BU35" t="s">
        <v>632</v>
      </c>
      <c r="BV35" t="s">
        <v>101</v>
      </c>
      <c r="BX35" t="s">
        <v>99</v>
      </c>
      <c r="BY35" t="s">
        <v>99</v>
      </c>
      <c r="BZ35" t="s">
        <v>102</v>
      </c>
      <c r="CA35" t="s">
        <v>458</v>
      </c>
      <c r="CB35" t="s">
        <v>632</v>
      </c>
    </row>
    <row r="36" spans="1:80" x14ac:dyDescent="0.35">
      <c r="A36" t="s">
        <v>459</v>
      </c>
      <c r="B36" t="s">
        <v>460</v>
      </c>
      <c r="C36" t="s">
        <v>632</v>
      </c>
      <c r="D36" t="s">
        <v>632</v>
      </c>
      <c r="E36" t="s">
        <v>461</v>
      </c>
      <c r="F36" t="s">
        <v>632</v>
      </c>
      <c r="G36" t="s">
        <v>329</v>
      </c>
      <c r="H36" t="s">
        <v>632</v>
      </c>
      <c r="I36" t="s">
        <v>7</v>
      </c>
      <c r="J36" t="s">
        <v>632</v>
      </c>
      <c r="K36" t="s">
        <v>7</v>
      </c>
      <c r="L36" t="s">
        <v>632</v>
      </c>
      <c r="M36" t="s">
        <v>632</v>
      </c>
      <c r="N36">
        <v>16447</v>
      </c>
      <c r="O36">
        <v>6</v>
      </c>
      <c r="Q36" t="s">
        <v>632</v>
      </c>
      <c r="S36" t="s">
        <v>632</v>
      </c>
      <c r="T36" t="s">
        <v>632</v>
      </c>
      <c r="U36" t="s">
        <v>13</v>
      </c>
      <c r="V36" t="s">
        <v>632</v>
      </c>
      <c r="W36" t="s">
        <v>632</v>
      </c>
      <c r="X36" t="s">
        <v>632</v>
      </c>
      <c r="Y36">
        <v>2015</v>
      </c>
      <c r="Z36" t="s">
        <v>632</v>
      </c>
      <c r="AA36" t="s">
        <v>632</v>
      </c>
      <c r="AB36" t="s">
        <v>632</v>
      </c>
      <c r="AD36">
        <v>0</v>
      </c>
      <c r="AF36">
        <v>0</v>
      </c>
      <c r="AG36">
        <v>1</v>
      </c>
      <c r="AH36">
        <v>0</v>
      </c>
      <c r="AI36">
        <v>0</v>
      </c>
      <c r="AJ36" t="s">
        <v>632</v>
      </c>
      <c r="AK36">
        <v>1</v>
      </c>
      <c r="AL36">
        <v>0</v>
      </c>
      <c r="AM36">
        <v>0</v>
      </c>
      <c r="AN36">
        <v>0</v>
      </c>
      <c r="AO36" t="s">
        <v>632</v>
      </c>
      <c r="AP36" t="s">
        <v>632</v>
      </c>
      <c r="AQ36" t="s">
        <v>11</v>
      </c>
      <c r="AR36" t="s">
        <v>330</v>
      </c>
      <c r="AS36" t="s">
        <v>632</v>
      </c>
      <c r="AT36" t="s">
        <v>632</v>
      </c>
      <c r="AU36" t="s">
        <v>632</v>
      </c>
      <c r="AV36" t="s">
        <v>5</v>
      </c>
      <c r="AW36">
        <v>20</v>
      </c>
      <c r="AX36" t="s">
        <v>3</v>
      </c>
      <c r="AY36" t="s">
        <v>653</v>
      </c>
      <c r="AZ36" t="s">
        <v>632</v>
      </c>
      <c r="BA36" s="1"/>
      <c r="BB36" t="s">
        <v>632</v>
      </c>
      <c r="BC36" t="s">
        <v>632</v>
      </c>
      <c r="BD36">
        <v>2</v>
      </c>
      <c r="BE36" t="s">
        <v>632</v>
      </c>
      <c r="BF36" t="s">
        <v>632</v>
      </c>
      <c r="BG36" t="s">
        <v>632</v>
      </c>
      <c r="BH36" t="s">
        <v>462</v>
      </c>
      <c r="BI36" t="s">
        <v>632</v>
      </c>
      <c r="BJ36" t="s">
        <v>632</v>
      </c>
      <c r="BK36" t="s">
        <v>14</v>
      </c>
      <c r="BL36" t="s">
        <v>632</v>
      </c>
      <c r="BM36" t="s">
        <v>632</v>
      </c>
      <c r="BN36" t="s">
        <v>632</v>
      </c>
      <c r="BO36" t="s">
        <v>4</v>
      </c>
      <c r="BP36" t="s">
        <v>632</v>
      </c>
      <c r="BQ36" t="s">
        <v>632</v>
      </c>
      <c r="BR36" t="s">
        <v>819</v>
      </c>
      <c r="BS36" t="s">
        <v>632</v>
      </c>
      <c r="BT36" t="s">
        <v>8</v>
      </c>
      <c r="BU36" t="s">
        <v>632</v>
      </c>
      <c r="BV36" t="s">
        <v>10</v>
      </c>
      <c r="BW36">
        <v>2</v>
      </c>
      <c r="BX36" t="s">
        <v>9</v>
      </c>
      <c r="BY36" t="s">
        <v>6</v>
      </c>
      <c r="BZ36" t="s">
        <v>12</v>
      </c>
      <c r="CA36" t="s">
        <v>632</v>
      </c>
      <c r="CB36" t="s">
        <v>632</v>
      </c>
    </row>
    <row r="37" spans="1:80" x14ac:dyDescent="0.35">
      <c r="A37" t="s">
        <v>463</v>
      </c>
      <c r="B37" t="s">
        <v>464</v>
      </c>
      <c r="C37" t="s">
        <v>632</v>
      </c>
      <c r="D37" t="s">
        <v>632</v>
      </c>
      <c r="E37" t="s">
        <v>345</v>
      </c>
      <c r="F37" t="s">
        <v>328</v>
      </c>
      <c r="G37" t="s">
        <v>329</v>
      </c>
      <c r="H37" t="s">
        <v>632</v>
      </c>
      <c r="I37" t="s">
        <v>18</v>
      </c>
      <c r="J37" t="s">
        <v>632</v>
      </c>
      <c r="K37" t="s">
        <v>18</v>
      </c>
      <c r="L37" t="s">
        <v>632</v>
      </c>
      <c r="M37" t="s">
        <v>632</v>
      </c>
      <c r="N37">
        <v>27536</v>
      </c>
      <c r="O37">
        <v>86</v>
      </c>
      <c r="Q37" t="s">
        <v>632</v>
      </c>
      <c r="S37" t="s">
        <v>632</v>
      </c>
      <c r="T37" t="s">
        <v>632</v>
      </c>
      <c r="U37" t="s">
        <v>35</v>
      </c>
      <c r="V37" t="s">
        <v>632</v>
      </c>
      <c r="W37" t="s">
        <v>465</v>
      </c>
      <c r="X37" t="s">
        <v>632</v>
      </c>
      <c r="Y37">
        <v>2003</v>
      </c>
      <c r="Z37" t="s">
        <v>632</v>
      </c>
      <c r="AA37" t="s">
        <v>632</v>
      </c>
      <c r="AB37" t="s">
        <v>632</v>
      </c>
      <c r="AD37">
        <v>0</v>
      </c>
      <c r="AF37">
        <v>0</v>
      </c>
      <c r="AG37">
        <v>0</v>
      </c>
      <c r="AH37">
        <v>0</v>
      </c>
      <c r="AI37">
        <v>0</v>
      </c>
      <c r="AJ37" t="s">
        <v>632</v>
      </c>
      <c r="AK37">
        <v>0</v>
      </c>
      <c r="AL37">
        <v>0</v>
      </c>
      <c r="AM37">
        <v>0</v>
      </c>
      <c r="AN37">
        <v>0</v>
      </c>
      <c r="AO37" t="s">
        <v>632</v>
      </c>
      <c r="AP37" t="s">
        <v>632</v>
      </c>
      <c r="AQ37" t="s">
        <v>11</v>
      </c>
      <c r="AR37" t="s">
        <v>330</v>
      </c>
      <c r="AS37" t="s">
        <v>632</v>
      </c>
      <c r="AT37" t="s">
        <v>632</v>
      </c>
      <c r="AU37" t="s">
        <v>632</v>
      </c>
      <c r="AV37" t="s">
        <v>116</v>
      </c>
      <c r="AW37">
        <v>30</v>
      </c>
      <c r="AX37" t="s">
        <v>255</v>
      </c>
      <c r="AY37" t="s">
        <v>654</v>
      </c>
      <c r="AZ37" t="s">
        <v>632</v>
      </c>
      <c r="BA37" s="1"/>
      <c r="BB37" t="s">
        <v>466</v>
      </c>
      <c r="BC37" t="s">
        <v>632</v>
      </c>
      <c r="BD37">
        <v>2</v>
      </c>
      <c r="BE37" t="s">
        <v>632</v>
      </c>
      <c r="BF37" t="s">
        <v>632</v>
      </c>
      <c r="BG37" t="s">
        <v>632</v>
      </c>
      <c r="BH37" t="s">
        <v>256</v>
      </c>
      <c r="BI37" t="s">
        <v>632</v>
      </c>
      <c r="BJ37" t="s">
        <v>632</v>
      </c>
      <c r="BK37" t="s">
        <v>104</v>
      </c>
      <c r="BL37" t="s">
        <v>632</v>
      </c>
      <c r="BM37" t="s">
        <v>632</v>
      </c>
      <c r="BN37" t="s">
        <v>632</v>
      </c>
      <c r="BO37" t="s">
        <v>256</v>
      </c>
      <c r="BP37" t="s">
        <v>632</v>
      </c>
      <c r="BQ37" t="s">
        <v>632</v>
      </c>
      <c r="BR37" t="s">
        <v>878</v>
      </c>
      <c r="BS37" t="s">
        <v>632</v>
      </c>
      <c r="BT37" t="s">
        <v>257</v>
      </c>
      <c r="BU37" t="s">
        <v>632</v>
      </c>
      <c r="BV37" t="s">
        <v>801</v>
      </c>
      <c r="BW37">
        <v>2</v>
      </c>
      <c r="BX37" t="s">
        <v>258</v>
      </c>
      <c r="BY37" t="s">
        <v>6</v>
      </c>
      <c r="BZ37" t="s">
        <v>259</v>
      </c>
      <c r="CA37" t="s">
        <v>632</v>
      </c>
      <c r="CB37" t="s">
        <v>632</v>
      </c>
    </row>
    <row r="38" spans="1:80" x14ac:dyDescent="0.35">
      <c r="A38" t="s">
        <v>467</v>
      </c>
      <c r="B38" t="s">
        <v>468</v>
      </c>
      <c r="C38" t="s">
        <v>632</v>
      </c>
      <c r="D38" t="s">
        <v>632</v>
      </c>
      <c r="E38" t="s">
        <v>345</v>
      </c>
      <c r="F38" t="s">
        <v>328</v>
      </c>
      <c r="G38" t="s">
        <v>329</v>
      </c>
      <c r="H38" t="s">
        <v>632</v>
      </c>
      <c r="I38" t="s">
        <v>7</v>
      </c>
      <c r="J38" t="s">
        <v>632</v>
      </c>
      <c r="K38" t="s">
        <v>7</v>
      </c>
      <c r="L38" t="s">
        <v>632</v>
      </c>
      <c r="M38" t="s">
        <v>632</v>
      </c>
      <c r="N38">
        <v>18804</v>
      </c>
      <c r="O38">
        <v>61</v>
      </c>
      <c r="Q38" t="s">
        <v>632</v>
      </c>
      <c r="S38" t="s">
        <v>632</v>
      </c>
      <c r="T38" t="s">
        <v>632</v>
      </c>
      <c r="U38" t="s">
        <v>35</v>
      </c>
      <c r="V38" t="s">
        <v>632</v>
      </c>
      <c r="W38" t="s">
        <v>632</v>
      </c>
      <c r="X38" t="s">
        <v>632</v>
      </c>
      <c r="Y38">
        <v>2003</v>
      </c>
      <c r="Z38" t="s">
        <v>632</v>
      </c>
      <c r="AA38" t="s">
        <v>632</v>
      </c>
      <c r="AB38" t="s">
        <v>632</v>
      </c>
      <c r="AD38">
        <v>0</v>
      </c>
      <c r="AF38">
        <v>0</v>
      </c>
      <c r="AG38">
        <v>0</v>
      </c>
      <c r="AH38">
        <v>0</v>
      </c>
      <c r="AI38">
        <v>0</v>
      </c>
      <c r="AJ38" t="s">
        <v>632</v>
      </c>
      <c r="AK38">
        <v>0</v>
      </c>
      <c r="AL38">
        <v>0</v>
      </c>
      <c r="AM38">
        <v>0</v>
      </c>
      <c r="AN38">
        <v>0</v>
      </c>
      <c r="AO38" t="s">
        <v>632</v>
      </c>
      <c r="AP38" t="s">
        <v>217</v>
      </c>
      <c r="AQ38" t="s">
        <v>11</v>
      </c>
      <c r="AR38" t="s">
        <v>330</v>
      </c>
      <c r="AS38" t="s">
        <v>632</v>
      </c>
      <c r="AT38" t="s">
        <v>632</v>
      </c>
      <c r="AU38" t="s">
        <v>632</v>
      </c>
      <c r="AV38" t="s">
        <v>216</v>
      </c>
      <c r="AW38">
        <v>60</v>
      </c>
      <c r="AX38" t="s">
        <v>214</v>
      </c>
      <c r="AY38" t="s">
        <v>655</v>
      </c>
      <c r="AZ38" t="s">
        <v>632</v>
      </c>
      <c r="BA38" s="1"/>
      <c r="BB38" t="s">
        <v>469</v>
      </c>
      <c r="BC38" t="s">
        <v>632</v>
      </c>
      <c r="BE38" t="s">
        <v>632</v>
      </c>
      <c r="BF38" t="s">
        <v>632</v>
      </c>
      <c r="BG38" t="s">
        <v>632</v>
      </c>
      <c r="BH38" t="s">
        <v>215</v>
      </c>
      <c r="BI38" t="s">
        <v>632</v>
      </c>
      <c r="BJ38" t="s">
        <v>632</v>
      </c>
      <c r="BK38" t="s">
        <v>52</v>
      </c>
      <c r="BL38" t="s">
        <v>632</v>
      </c>
      <c r="BM38" t="s">
        <v>632</v>
      </c>
      <c r="BN38" t="s">
        <v>632</v>
      </c>
      <c r="BO38" t="s">
        <v>215</v>
      </c>
      <c r="BP38" t="s">
        <v>632</v>
      </c>
      <c r="BQ38" t="s">
        <v>632</v>
      </c>
      <c r="BR38" t="s">
        <v>879</v>
      </c>
      <c r="BS38" t="s">
        <v>632</v>
      </c>
      <c r="BT38" t="s">
        <v>632</v>
      </c>
      <c r="BU38" t="s">
        <v>632</v>
      </c>
      <c r="BV38" t="s">
        <v>218</v>
      </c>
      <c r="BX38" t="s">
        <v>153</v>
      </c>
      <c r="BY38" t="s">
        <v>153</v>
      </c>
      <c r="BZ38" t="s">
        <v>219</v>
      </c>
      <c r="CA38" t="s">
        <v>632</v>
      </c>
      <c r="CB38" t="s">
        <v>632</v>
      </c>
    </row>
    <row r="39" spans="1:80" x14ac:dyDescent="0.35">
      <c r="A39" t="s">
        <v>470</v>
      </c>
      <c r="B39" t="s">
        <v>471</v>
      </c>
      <c r="C39" t="s">
        <v>632</v>
      </c>
      <c r="D39" t="s">
        <v>632</v>
      </c>
      <c r="E39" t="s">
        <v>359</v>
      </c>
      <c r="F39" t="s">
        <v>328</v>
      </c>
      <c r="G39" t="s">
        <v>329</v>
      </c>
      <c r="H39" t="s">
        <v>632</v>
      </c>
      <c r="I39" t="s">
        <v>64</v>
      </c>
      <c r="J39" t="s">
        <v>632</v>
      </c>
      <c r="K39" t="s">
        <v>632</v>
      </c>
      <c r="L39" t="s">
        <v>632</v>
      </c>
      <c r="M39" t="s">
        <v>632</v>
      </c>
      <c r="O39">
        <v>31</v>
      </c>
      <c r="Q39" t="s">
        <v>632</v>
      </c>
      <c r="S39" t="s">
        <v>632</v>
      </c>
      <c r="T39" t="s">
        <v>632</v>
      </c>
      <c r="U39" t="s">
        <v>35</v>
      </c>
      <c r="V39" t="s">
        <v>632</v>
      </c>
      <c r="W39" t="s">
        <v>632</v>
      </c>
      <c r="X39" t="s">
        <v>632</v>
      </c>
      <c r="Y39">
        <v>1997</v>
      </c>
      <c r="Z39" t="s">
        <v>632</v>
      </c>
      <c r="AA39" t="s">
        <v>632</v>
      </c>
      <c r="AB39" t="s">
        <v>632</v>
      </c>
      <c r="AD39">
        <v>0</v>
      </c>
      <c r="AF39">
        <v>0</v>
      </c>
      <c r="AG39">
        <v>1</v>
      </c>
      <c r="AH39">
        <v>0</v>
      </c>
      <c r="AI39">
        <v>0</v>
      </c>
      <c r="AJ39" t="s">
        <v>632</v>
      </c>
      <c r="AK39">
        <v>1</v>
      </c>
      <c r="AL39">
        <v>0</v>
      </c>
      <c r="AM39">
        <v>0</v>
      </c>
      <c r="AN39">
        <v>0</v>
      </c>
      <c r="AO39" t="s">
        <v>632</v>
      </c>
      <c r="AP39" t="s">
        <v>632</v>
      </c>
      <c r="AQ39" t="s">
        <v>11</v>
      </c>
      <c r="AR39" t="s">
        <v>330</v>
      </c>
      <c r="AS39" t="s">
        <v>632</v>
      </c>
      <c r="AT39" t="s">
        <v>632</v>
      </c>
      <c r="AU39" t="s">
        <v>632</v>
      </c>
      <c r="AV39" t="s">
        <v>632</v>
      </c>
      <c r="AW39">
        <v>0</v>
      </c>
      <c r="AX39" t="s">
        <v>237</v>
      </c>
      <c r="AY39" t="s">
        <v>656</v>
      </c>
      <c r="AZ39" t="s">
        <v>632</v>
      </c>
      <c r="BA39" s="1"/>
      <c r="BB39" t="s">
        <v>64</v>
      </c>
      <c r="BC39" t="s">
        <v>632</v>
      </c>
      <c r="BE39" t="s">
        <v>632</v>
      </c>
      <c r="BF39" t="s">
        <v>632</v>
      </c>
      <c r="BG39" t="s">
        <v>632</v>
      </c>
      <c r="BH39" t="s">
        <v>880</v>
      </c>
      <c r="BI39" t="s">
        <v>64</v>
      </c>
      <c r="BJ39" t="s">
        <v>632</v>
      </c>
      <c r="BK39" t="s">
        <v>14</v>
      </c>
      <c r="BL39" t="s">
        <v>632</v>
      </c>
      <c r="BM39" t="s">
        <v>632</v>
      </c>
      <c r="BN39" t="s">
        <v>632</v>
      </c>
      <c r="BO39" t="s">
        <v>238</v>
      </c>
      <c r="BP39" t="s">
        <v>632</v>
      </c>
      <c r="BQ39" t="s">
        <v>632</v>
      </c>
      <c r="BR39" t="s">
        <v>819</v>
      </c>
      <c r="BS39" t="s">
        <v>632</v>
      </c>
      <c r="BT39" t="s">
        <v>237</v>
      </c>
      <c r="BU39" t="s">
        <v>89</v>
      </c>
      <c r="BV39" t="s">
        <v>240</v>
      </c>
      <c r="BX39" t="s">
        <v>239</v>
      </c>
      <c r="BY39" t="s">
        <v>69</v>
      </c>
      <c r="BZ39" t="s">
        <v>241</v>
      </c>
      <c r="CA39" t="s">
        <v>881</v>
      </c>
      <c r="CB39" t="s">
        <v>632</v>
      </c>
    </row>
    <row r="40" spans="1:80" x14ac:dyDescent="0.35">
      <c r="A40" t="s">
        <v>397</v>
      </c>
      <c r="B40" t="s">
        <v>398</v>
      </c>
      <c r="C40" t="s">
        <v>632</v>
      </c>
      <c r="D40" t="s">
        <v>632</v>
      </c>
      <c r="E40" t="s">
        <v>345</v>
      </c>
      <c r="F40" t="s">
        <v>328</v>
      </c>
      <c r="G40" t="s">
        <v>329</v>
      </c>
      <c r="H40" t="s">
        <v>632</v>
      </c>
      <c r="I40" t="s">
        <v>7</v>
      </c>
      <c r="J40" t="s">
        <v>632</v>
      </c>
      <c r="K40" t="s">
        <v>7</v>
      </c>
      <c r="L40" t="s">
        <v>632</v>
      </c>
      <c r="M40" t="s">
        <v>632</v>
      </c>
      <c r="N40">
        <v>25956</v>
      </c>
      <c r="O40">
        <v>29</v>
      </c>
      <c r="Q40" t="s">
        <v>632</v>
      </c>
      <c r="S40" t="s">
        <v>632</v>
      </c>
      <c r="T40" t="s">
        <v>632</v>
      </c>
      <c r="U40" t="s">
        <v>35</v>
      </c>
      <c r="V40" t="s">
        <v>632</v>
      </c>
      <c r="W40" t="s">
        <v>472</v>
      </c>
      <c r="X40" t="s">
        <v>632</v>
      </c>
      <c r="Y40">
        <v>2003</v>
      </c>
      <c r="Z40" t="s">
        <v>632</v>
      </c>
      <c r="AA40" t="s">
        <v>632</v>
      </c>
      <c r="AB40" t="s">
        <v>632</v>
      </c>
      <c r="AD40">
        <v>0</v>
      </c>
      <c r="AF40">
        <v>0</v>
      </c>
      <c r="AG40">
        <v>0</v>
      </c>
      <c r="AH40">
        <v>0</v>
      </c>
      <c r="AI40">
        <v>0</v>
      </c>
      <c r="AJ40" t="s">
        <v>632</v>
      </c>
      <c r="AK40">
        <v>0</v>
      </c>
      <c r="AL40">
        <v>0</v>
      </c>
      <c r="AM40">
        <v>0</v>
      </c>
      <c r="AN40">
        <v>0</v>
      </c>
      <c r="AO40" t="s">
        <v>632</v>
      </c>
      <c r="AP40" t="s">
        <v>632</v>
      </c>
      <c r="AQ40" t="s">
        <v>11</v>
      </c>
      <c r="AR40" t="s">
        <v>330</v>
      </c>
      <c r="AS40" t="s">
        <v>632</v>
      </c>
      <c r="AT40" t="s">
        <v>632</v>
      </c>
      <c r="AU40" t="s">
        <v>632</v>
      </c>
      <c r="AV40" t="s">
        <v>5</v>
      </c>
      <c r="AW40">
        <v>20</v>
      </c>
      <c r="AX40" t="s">
        <v>211</v>
      </c>
      <c r="AY40" t="s">
        <v>655</v>
      </c>
      <c r="AZ40" t="s">
        <v>632</v>
      </c>
      <c r="BA40" s="1"/>
      <c r="BB40" t="s">
        <v>473</v>
      </c>
      <c r="BC40" t="s">
        <v>632</v>
      </c>
      <c r="BE40" t="s">
        <v>632</v>
      </c>
      <c r="BF40" t="s">
        <v>632</v>
      </c>
      <c r="BG40" t="s">
        <v>632</v>
      </c>
      <c r="BH40" t="s">
        <v>212</v>
      </c>
      <c r="BI40" t="s">
        <v>632</v>
      </c>
      <c r="BJ40" t="s">
        <v>632</v>
      </c>
      <c r="BK40" t="s">
        <v>14</v>
      </c>
      <c r="BL40" t="s">
        <v>632</v>
      </c>
      <c r="BM40" t="s">
        <v>632</v>
      </c>
      <c r="BN40" t="s">
        <v>632</v>
      </c>
      <c r="BO40" t="s">
        <v>212</v>
      </c>
      <c r="BP40" t="s">
        <v>632</v>
      </c>
      <c r="BQ40" t="s">
        <v>632</v>
      </c>
      <c r="BR40" t="s">
        <v>882</v>
      </c>
      <c r="BS40" t="s">
        <v>632</v>
      </c>
      <c r="BT40" t="s">
        <v>632</v>
      </c>
      <c r="BU40" t="s">
        <v>632</v>
      </c>
      <c r="BV40" t="s">
        <v>798</v>
      </c>
      <c r="BX40" t="s">
        <v>153</v>
      </c>
      <c r="BY40" t="s">
        <v>153</v>
      </c>
      <c r="BZ40" t="s">
        <v>213</v>
      </c>
      <c r="CA40" t="s">
        <v>632</v>
      </c>
      <c r="CB40" t="s">
        <v>632</v>
      </c>
    </row>
    <row r="41" spans="1:80" x14ac:dyDescent="0.35">
      <c r="A41" t="s">
        <v>474</v>
      </c>
      <c r="B41" t="s">
        <v>475</v>
      </c>
      <c r="C41" t="s">
        <v>632</v>
      </c>
      <c r="D41" t="s">
        <v>632</v>
      </c>
      <c r="E41" t="s">
        <v>327</v>
      </c>
      <c r="F41" t="s">
        <v>632</v>
      </c>
      <c r="G41" t="s">
        <v>428</v>
      </c>
      <c r="H41" t="s">
        <v>632</v>
      </c>
      <c r="I41" t="s">
        <v>632</v>
      </c>
      <c r="J41" t="s">
        <v>632</v>
      </c>
      <c r="K41" t="s">
        <v>632</v>
      </c>
      <c r="L41" t="s">
        <v>632</v>
      </c>
      <c r="M41" t="s">
        <v>632</v>
      </c>
      <c r="N41">
        <v>188</v>
      </c>
      <c r="O41">
        <v>13</v>
      </c>
      <c r="Q41" t="s">
        <v>632</v>
      </c>
      <c r="S41" t="s">
        <v>632</v>
      </c>
      <c r="T41" t="s">
        <v>632</v>
      </c>
      <c r="U41" t="s">
        <v>35</v>
      </c>
      <c r="V41" t="s">
        <v>632</v>
      </c>
      <c r="W41" t="s">
        <v>476</v>
      </c>
      <c r="X41" t="s">
        <v>477</v>
      </c>
      <c r="Y41">
        <v>2015</v>
      </c>
      <c r="Z41" t="s">
        <v>632</v>
      </c>
      <c r="AA41" t="s">
        <v>632</v>
      </c>
      <c r="AB41" t="s">
        <v>632</v>
      </c>
      <c r="AD41">
        <v>1</v>
      </c>
      <c r="AF41">
        <v>0</v>
      </c>
      <c r="AG41">
        <v>0</v>
      </c>
      <c r="AH41">
        <v>0</v>
      </c>
      <c r="AI41">
        <v>0</v>
      </c>
      <c r="AJ41" t="s">
        <v>632</v>
      </c>
      <c r="AK41">
        <v>1</v>
      </c>
      <c r="AL41">
        <v>0</v>
      </c>
      <c r="AM41">
        <v>0</v>
      </c>
      <c r="AN41">
        <v>0</v>
      </c>
      <c r="AO41" t="s">
        <v>632</v>
      </c>
      <c r="AP41" t="s">
        <v>632</v>
      </c>
      <c r="AQ41" t="s">
        <v>11</v>
      </c>
      <c r="AR41" t="s">
        <v>330</v>
      </c>
      <c r="AS41" t="s">
        <v>632</v>
      </c>
      <c r="AT41" t="s">
        <v>632</v>
      </c>
      <c r="AU41" t="s">
        <v>632</v>
      </c>
      <c r="AV41" t="s">
        <v>632</v>
      </c>
      <c r="AW41">
        <v>0</v>
      </c>
      <c r="AX41" t="s">
        <v>67</v>
      </c>
      <c r="AY41" t="s">
        <v>657</v>
      </c>
      <c r="AZ41" t="s">
        <v>632</v>
      </c>
      <c r="BA41" s="1">
        <v>45401</v>
      </c>
      <c r="BB41" t="s">
        <v>478</v>
      </c>
      <c r="BC41" t="s">
        <v>632</v>
      </c>
      <c r="BE41" t="s">
        <v>632</v>
      </c>
      <c r="BF41" t="s">
        <v>632</v>
      </c>
      <c r="BG41" t="s">
        <v>632</v>
      </c>
      <c r="BH41" t="s">
        <v>479</v>
      </c>
      <c r="BI41" t="s">
        <v>632</v>
      </c>
      <c r="BJ41" t="s">
        <v>430</v>
      </c>
      <c r="BK41" t="s">
        <v>23</v>
      </c>
      <c r="BL41" t="s">
        <v>632</v>
      </c>
      <c r="BM41" t="s">
        <v>632</v>
      </c>
      <c r="BN41" t="s">
        <v>332</v>
      </c>
      <c r="BO41" t="s">
        <v>68</v>
      </c>
      <c r="BP41" t="s">
        <v>632</v>
      </c>
      <c r="BQ41" t="s">
        <v>632</v>
      </c>
      <c r="BR41" t="s">
        <v>883</v>
      </c>
      <c r="BS41" t="s">
        <v>632</v>
      </c>
      <c r="BT41" t="s">
        <v>632</v>
      </c>
      <c r="BU41" t="s">
        <v>632</v>
      </c>
      <c r="BV41" t="s">
        <v>803</v>
      </c>
      <c r="BX41" t="s">
        <v>69</v>
      </c>
      <c r="BY41" t="s">
        <v>69</v>
      </c>
      <c r="BZ41" t="s">
        <v>70</v>
      </c>
      <c r="CA41" t="s">
        <v>632</v>
      </c>
      <c r="CB41" t="s">
        <v>632</v>
      </c>
    </row>
    <row r="42" spans="1:80" x14ac:dyDescent="0.35">
      <c r="A42" t="s">
        <v>455</v>
      </c>
      <c r="B42" t="s">
        <v>456</v>
      </c>
      <c r="C42" t="s">
        <v>632</v>
      </c>
      <c r="D42" t="s">
        <v>632</v>
      </c>
      <c r="E42" t="s">
        <v>345</v>
      </c>
      <c r="F42" t="s">
        <v>328</v>
      </c>
      <c r="G42" t="s">
        <v>329</v>
      </c>
      <c r="H42" t="s">
        <v>632</v>
      </c>
      <c r="I42" t="s">
        <v>64</v>
      </c>
      <c r="J42" t="s">
        <v>632</v>
      </c>
      <c r="K42" t="s">
        <v>64</v>
      </c>
      <c r="L42" t="s">
        <v>632</v>
      </c>
      <c r="M42" t="s">
        <v>632</v>
      </c>
      <c r="N42">
        <v>14125</v>
      </c>
      <c r="O42">
        <v>36</v>
      </c>
      <c r="Q42" t="s">
        <v>632</v>
      </c>
      <c r="S42" t="s">
        <v>632</v>
      </c>
      <c r="T42" t="s">
        <v>632</v>
      </c>
      <c r="U42" t="s">
        <v>35</v>
      </c>
      <c r="V42" t="s">
        <v>632</v>
      </c>
      <c r="W42" t="s">
        <v>457</v>
      </c>
      <c r="X42" t="s">
        <v>632</v>
      </c>
      <c r="Y42">
        <v>2015</v>
      </c>
      <c r="Z42" t="s">
        <v>632</v>
      </c>
      <c r="AA42" t="s">
        <v>632</v>
      </c>
      <c r="AB42" t="s">
        <v>632</v>
      </c>
      <c r="AD42">
        <v>0</v>
      </c>
      <c r="AF42">
        <v>0</v>
      </c>
      <c r="AG42">
        <v>0</v>
      </c>
      <c r="AH42">
        <v>0</v>
      </c>
      <c r="AI42">
        <v>0</v>
      </c>
      <c r="AJ42" t="s">
        <v>632</v>
      </c>
      <c r="AK42">
        <v>0</v>
      </c>
      <c r="AL42">
        <v>0</v>
      </c>
      <c r="AM42">
        <v>0</v>
      </c>
      <c r="AN42">
        <v>0</v>
      </c>
      <c r="AO42" t="s">
        <v>632</v>
      </c>
      <c r="AP42" t="s">
        <v>100</v>
      </c>
      <c r="AQ42" t="s">
        <v>11</v>
      </c>
      <c r="AR42" t="s">
        <v>330</v>
      </c>
      <c r="AS42" t="s">
        <v>632</v>
      </c>
      <c r="AT42" t="s">
        <v>632</v>
      </c>
      <c r="AU42" t="s">
        <v>632</v>
      </c>
      <c r="AV42" t="s">
        <v>98</v>
      </c>
      <c r="AW42">
        <v>10</v>
      </c>
      <c r="AX42" t="s">
        <v>96</v>
      </c>
      <c r="AY42" t="s">
        <v>673</v>
      </c>
      <c r="AZ42" t="s">
        <v>632</v>
      </c>
      <c r="BA42" s="1"/>
      <c r="BB42" t="s">
        <v>101</v>
      </c>
      <c r="BC42" t="s">
        <v>632</v>
      </c>
      <c r="BE42" t="s">
        <v>632</v>
      </c>
      <c r="BF42" t="s">
        <v>632</v>
      </c>
      <c r="BG42" t="s">
        <v>632</v>
      </c>
      <c r="BH42" t="s">
        <v>802</v>
      </c>
      <c r="BI42" t="s">
        <v>632</v>
      </c>
      <c r="BJ42" t="s">
        <v>632</v>
      </c>
      <c r="BK42" t="s">
        <v>104</v>
      </c>
      <c r="BL42" t="s">
        <v>632</v>
      </c>
      <c r="BM42" t="s">
        <v>632</v>
      </c>
      <c r="BN42" t="s">
        <v>632</v>
      </c>
      <c r="BO42" t="s">
        <v>97</v>
      </c>
      <c r="BP42" t="s">
        <v>632</v>
      </c>
      <c r="BQ42" t="s">
        <v>632</v>
      </c>
      <c r="BR42" t="s">
        <v>884</v>
      </c>
      <c r="BS42" t="s">
        <v>632</v>
      </c>
      <c r="BT42" t="s">
        <v>632</v>
      </c>
      <c r="BU42" t="s">
        <v>632</v>
      </c>
      <c r="BV42" t="s">
        <v>101</v>
      </c>
      <c r="BX42" t="s">
        <v>99</v>
      </c>
      <c r="BY42" t="s">
        <v>99</v>
      </c>
      <c r="BZ42" t="s">
        <v>458</v>
      </c>
      <c r="CA42" t="s">
        <v>102</v>
      </c>
      <c r="CB42" t="s">
        <v>632</v>
      </c>
    </row>
    <row r="43" spans="1:80" x14ac:dyDescent="0.35">
      <c r="A43" t="s">
        <v>480</v>
      </c>
      <c r="B43" t="s">
        <v>481</v>
      </c>
      <c r="C43" t="s">
        <v>632</v>
      </c>
      <c r="D43" t="s">
        <v>632</v>
      </c>
      <c r="E43" t="s">
        <v>345</v>
      </c>
      <c r="F43" t="s">
        <v>328</v>
      </c>
      <c r="G43" t="s">
        <v>329</v>
      </c>
      <c r="H43" t="s">
        <v>632</v>
      </c>
      <c r="I43" t="s">
        <v>632</v>
      </c>
      <c r="J43" t="s">
        <v>632</v>
      </c>
      <c r="K43" t="s">
        <v>632</v>
      </c>
      <c r="L43" t="s">
        <v>632</v>
      </c>
      <c r="M43" t="s">
        <v>632</v>
      </c>
      <c r="N43">
        <v>15486</v>
      </c>
      <c r="O43">
        <v>41</v>
      </c>
      <c r="Q43" t="s">
        <v>632</v>
      </c>
      <c r="S43" t="s">
        <v>632</v>
      </c>
      <c r="T43" t="s">
        <v>632</v>
      </c>
      <c r="U43" t="s">
        <v>35</v>
      </c>
      <c r="V43" t="s">
        <v>632</v>
      </c>
      <c r="W43" t="s">
        <v>482</v>
      </c>
      <c r="X43" t="s">
        <v>632</v>
      </c>
      <c r="Y43">
        <v>1997</v>
      </c>
      <c r="Z43" t="s">
        <v>632</v>
      </c>
      <c r="AA43" t="s">
        <v>632</v>
      </c>
      <c r="AB43" t="s">
        <v>632</v>
      </c>
      <c r="AD43">
        <v>0</v>
      </c>
      <c r="AF43">
        <v>0</v>
      </c>
      <c r="AG43">
        <v>0</v>
      </c>
      <c r="AH43">
        <v>0</v>
      </c>
      <c r="AI43">
        <v>0</v>
      </c>
      <c r="AJ43" t="s">
        <v>632</v>
      </c>
      <c r="AK43">
        <v>0</v>
      </c>
      <c r="AL43">
        <v>0</v>
      </c>
      <c r="AM43">
        <v>0</v>
      </c>
      <c r="AN43">
        <v>0</v>
      </c>
      <c r="AO43" t="s">
        <v>632</v>
      </c>
      <c r="AP43" t="s">
        <v>281</v>
      </c>
      <c r="AQ43" t="s">
        <v>11</v>
      </c>
      <c r="AR43" t="s">
        <v>330</v>
      </c>
      <c r="AS43" t="s">
        <v>632</v>
      </c>
      <c r="AT43" t="s">
        <v>632</v>
      </c>
      <c r="AU43" t="s">
        <v>632</v>
      </c>
      <c r="AV43" t="s">
        <v>277</v>
      </c>
      <c r="AW43">
        <v>40</v>
      </c>
      <c r="AX43" t="s">
        <v>275</v>
      </c>
      <c r="AY43" t="s">
        <v>658</v>
      </c>
      <c r="AZ43" t="s">
        <v>632</v>
      </c>
      <c r="BA43" s="1"/>
      <c r="BB43" t="s">
        <v>941</v>
      </c>
      <c r="BC43" t="s">
        <v>632</v>
      </c>
      <c r="BD43">
        <v>0</v>
      </c>
      <c r="BE43" t="s">
        <v>632</v>
      </c>
      <c r="BF43" t="s">
        <v>632</v>
      </c>
      <c r="BG43" t="s">
        <v>632</v>
      </c>
      <c r="BH43" t="s">
        <v>483</v>
      </c>
      <c r="BI43" t="s">
        <v>632</v>
      </c>
      <c r="BJ43" t="s">
        <v>632</v>
      </c>
      <c r="BK43" t="s">
        <v>104</v>
      </c>
      <c r="BL43" t="s">
        <v>632</v>
      </c>
      <c r="BM43" t="s">
        <v>632</v>
      </c>
      <c r="BN43" t="s">
        <v>632</v>
      </c>
      <c r="BO43" t="s">
        <v>276</v>
      </c>
      <c r="BP43" t="s">
        <v>632</v>
      </c>
      <c r="BQ43" t="s">
        <v>632</v>
      </c>
      <c r="BR43" t="s">
        <v>885</v>
      </c>
      <c r="BS43" t="s">
        <v>632</v>
      </c>
      <c r="BT43" t="s">
        <v>279</v>
      </c>
      <c r="BU43" t="s">
        <v>632</v>
      </c>
      <c r="BV43" t="s">
        <v>942</v>
      </c>
      <c r="BW43">
        <v>4</v>
      </c>
      <c r="BX43" t="s">
        <v>280</v>
      </c>
      <c r="BY43" t="s">
        <v>278</v>
      </c>
      <c r="BZ43" t="s">
        <v>282</v>
      </c>
      <c r="CA43" t="s">
        <v>632</v>
      </c>
      <c r="CB43" t="s">
        <v>632</v>
      </c>
    </row>
    <row r="44" spans="1:80" x14ac:dyDescent="0.35">
      <c r="A44" t="s">
        <v>484</v>
      </c>
      <c r="B44" t="s">
        <v>485</v>
      </c>
      <c r="C44" t="s">
        <v>632</v>
      </c>
      <c r="D44" t="s">
        <v>632</v>
      </c>
      <c r="E44" t="s">
        <v>345</v>
      </c>
      <c r="F44" t="s">
        <v>328</v>
      </c>
      <c r="G44" t="s">
        <v>329</v>
      </c>
      <c r="H44" t="s">
        <v>632</v>
      </c>
      <c r="I44" t="s">
        <v>64</v>
      </c>
      <c r="J44" t="s">
        <v>632</v>
      </c>
      <c r="K44" t="s">
        <v>64</v>
      </c>
      <c r="L44" t="s">
        <v>632</v>
      </c>
      <c r="M44" t="s">
        <v>632</v>
      </c>
      <c r="N44">
        <v>20261</v>
      </c>
      <c r="O44">
        <v>33</v>
      </c>
      <c r="Q44" t="s">
        <v>632</v>
      </c>
      <c r="S44" t="s">
        <v>632</v>
      </c>
      <c r="T44" t="s">
        <v>632</v>
      </c>
      <c r="U44" t="s">
        <v>35</v>
      </c>
      <c r="V44" t="s">
        <v>632</v>
      </c>
      <c r="W44" t="s">
        <v>948</v>
      </c>
      <c r="X44" t="s">
        <v>632</v>
      </c>
      <c r="Y44">
        <v>1997</v>
      </c>
      <c r="Z44" t="s">
        <v>632</v>
      </c>
      <c r="AA44" t="s">
        <v>632</v>
      </c>
      <c r="AB44" t="s">
        <v>632</v>
      </c>
      <c r="AD44">
        <v>0</v>
      </c>
      <c r="AF44">
        <v>0</v>
      </c>
      <c r="AG44">
        <v>0</v>
      </c>
      <c r="AH44">
        <v>0</v>
      </c>
      <c r="AI44">
        <v>0</v>
      </c>
      <c r="AJ44" t="s">
        <v>632</v>
      </c>
      <c r="AK44">
        <v>0</v>
      </c>
      <c r="AL44">
        <v>0</v>
      </c>
      <c r="AM44">
        <v>0</v>
      </c>
      <c r="AN44">
        <v>0</v>
      </c>
      <c r="AO44" t="s">
        <v>632</v>
      </c>
      <c r="AP44" t="s">
        <v>632</v>
      </c>
      <c r="AQ44" t="s">
        <v>11</v>
      </c>
      <c r="AR44" t="s">
        <v>330</v>
      </c>
      <c r="AS44" t="s">
        <v>632</v>
      </c>
      <c r="AT44" t="s">
        <v>632</v>
      </c>
      <c r="AU44" t="s">
        <v>632</v>
      </c>
      <c r="AV44" t="s">
        <v>251</v>
      </c>
      <c r="AW44">
        <v>20</v>
      </c>
      <c r="AX44" t="s">
        <v>283</v>
      </c>
      <c r="AY44" t="s">
        <v>659</v>
      </c>
      <c r="AZ44" t="s">
        <v>632</v>
      </c>
      <c r="BA44" s="1"/>
      <c r="BB44" t="s">
        <v>486</v>
      </c>
      <c r="BC44" t="s">
        <v>632</v>
      </c>
      <c r="BE44" t="s">
        <v>632</v>
      </c>
      <c r="BF44" t="s">
        <v>632</v>
      </c>
      <c r="BG44" t="s">
        <v>632</v>
      </c>
      <c r="BH44" t="s">
        <v>276</v>
      </c>
      <c r="BI44" t="s">
        <v>632</v>
      </c>
      <c r="BJ44" t="s">
        <v>632</v>
      </c>
      <c r="BK44" t="s">
        <v>104</v>
      </c>
      <c r="BL44" t="s">
        <v>632</v>
      </c>
      <c r="BM44" t="s">
        <v>632</v>
      </c>
      <c r="BN44" t="s">
        <v>632</v>
      </c>
      <c r="BO44" t="s">
        <v>276</v>
      </c>
      <c r="BP44" t="s">
        <v>632</v>
      </c>
      <c r="BQ44" t="s">
        <v>632</v>
      </c>
      <c r="BR44" t="s">
        <v>886</v>
      </c>
      <c r="BS44" t="s">
        <v>632</v>
      </c>
      <c r="BT44" t="s">
        <v>632</v>
      </c>
      <c r="BU44" t="s">
        <v>632</v>
      </c>
      <c r="BV44" t="s">
        <v>284</v>
      </c>
      <c r="BX44" t="s">
        <v>136</v>
      </c>
      <c r="BY44" t="s">
        <v>136</v>
      </c>
      <c r="BZ44" t="s">
        <v>285</v>
      </c>
      <c r="CA44" t="s">
        <v>632</v>
      </c>
      <c r="CB44" t="s">
        <v>632</v>
      </c>
    </row>
    <row r="45" spans="1:80" x14ac:dyDescent="0.35">
      <c r="A45" t="s">
        <v>437</v>
      </c>
      <c r="B45" t="s">
        <v>438</v>
      </c>
      <c r="C45" t="s">
        <v>632</v>
      </c>
      <c r="D45" t="s">
        <v>632</v>
      </c>
      <c r="E45" t="s">
        <v>345</v>
      </c>
      <c r="F45" t="s">
        <v>328</v>
      </c>
      <c r="G45" t="s">
        <v>329</v>
      </c>
      <c r="H45" t="s">
        <v>632</v>
      </c>
      <c r="I45" t="s">
        <v>7</v>
      </c>
      <c r="J45" t="s">
        <v>632</v>
      </c>
      <c r="K45" t="s">
        <v>7</v>
      </c>
      <c r="L45" t="s">
        <v>632</v>
      </c>
      <c r="M45" t="s">
        <v>632</v>
      </c>
      <c r="N45">
        <v>30013</v>
      </c>
      <c r="O45">
        <v>0</v>
      </c>
      <c r="Q45" t="s">
        <v>632</v>
      </c>
      <c r="S45" t="s">
        <v>632</v>
      </c>
      <c r="T45" t="s">
        <v>632</v>
      </c>
      <c r="U45" t="s">
        <v>35</v>
      </c>
      <c r="V45" t="s">
        <v>632</v>
      </c>
      <c r="W45" t="s">
        <v>938</v>
      </c>
      <c r="X45" t="s">
        <v>632</v>
      </c>
      <c r="Y45">
        <v>2003</v>
      </c>
      <c r="Z45" t="s">
        <v>632</v>
      </c>
      <c r="AA45" t="s">
        <v>632</v>
      </c>
      <c r="AB45" t="s">
        <v>632</v>
      </c>
      <c r="AD45">
        <v>0</v>
      </c>
      <c r="AF45">
        <v>0</v>
      </c>
      <c r="AG45">
        <v>0</v>
      </c>
      <c r="AH45">
        <v>0</v>
      </c>
      <c r="AI45">
        <v>0</v>
      </c>
      <c r="AJ45" t="s">
        <v>632</v>
      </c>
      <c r="AK45">
        <v>1</v>
      </c>
      <c r="AL45">
        <v>0</v>
      </c>
      <c r="AM45">
        <v>0</v>
      </c>
      <c r="AN45">
        <v>0</v>
      </c>
      <c r="AO45" t="s">
        <v>632</v>
      </c>
      <c r="AP45" t="s">
        <v>290</v>
      </c>
      <c r="AQ45" t="s">
        <v>11</v>
      </c>
      <c r="AR45" t="s">
        <v>330</v>
      </c>
      <c r="AS45" t="s">
        <v>632</v>
      </c>
      <c r="AT45" t="s">
        <v>632</v>
      </c>
      <c r="AU45" t="s">
        <v>632</v>
      </c>
      <c r="AV45" t="s">
        <v>140</v>
      </c>
      <c r="AW45">
        <v>40</v>
      </c>
      <c r="AX45" t="s">
        <v>286</v>
      </c>
      <c r="AY45" t="s">
        <v>808</v>
      </c>
      <c r="AZ45" t="s">
        <v>632</v>
      </c>
      <c r="BA45" s="1"/>
      <c r="BB45" t="s">
        <v>809</v>
      </c>
      <c r="BC45" t="s">
        <v>632</v>
      </c>
      <c r="BD45">
        <v>3</v>
      </c>
      <c r="BE45" t="s">
        <v>632</v>
      </c>
      <c r="BF45" t="s">
        <v>632</v>
      </c>
      <c r="BG45" t="s">
        <v>632</v>
      </c>
      <c r="BH45" t="s">
        <v>440</v>
      </c>
      <c r="BI45" t="s">
        <v>632</v>
      </c>
      <c r="BJ45" t="s">
        <v>632</v>
      </c>
      <c r="BK45" t="s">
        <v>14</v>
      </c>
      <c r="BL45" t="s">
        <v>632</v>
      </c>
      <c r="BM45" t="s">
        <v>632</v>
      </c>
      <c r="BN45" t="s">
        <v>632</v>
      </c>
      <c r="BO45" t="s">
        <v>810</v>
      </c>
      <c r="BP45" t="s">
        <v>632</v>
      </c>
      <c r="BQ45" t="s">
        <v>632</v>
      </c>
      <c r="BR45" t="s">
        <v>887</v>
      </c>
      <c r="BS45" t="s">
        <v>632</v>
      </c>
      <c r="BT45" t="s">
        <v>288</v>
      </c>
      <c r="BU45" t="s">
        <v>632</v>
      </c>
      <c r="BV45" t="s">
        <v>291</v>
      </c>
      <c r="BW45">
        <v>2</v>
      </c>
      <c r="BX45" t="s">
        <v>289</v>
      </c>
      <c r="BY45" t="s">
        <v>6</v>
      </c>
      <c r="BZ45" t="s">
        <v>811</v>
      </c>
      <c r="CA45" t="s">
        <v>632</v>
      </c>
      <c r="CB45" t="s">
        <v>632</v>
      </c>
    </row>
    <row r="46" spans="1:80" x14ac:dyDescent="0.35">
      <c r="A46" t="s">
        <v>487</v>
      </c>
      <c r="B46" t="s">
        <v>488</v>
      </c>
      <c r="C46" t="s">
        <v>632</v>
      </c>
      <c r="D46" t="s">
        <v>632</v>
      </c>
      <c r="E46" t="s">
        <v>461</v>
      </c>
      <c r="F46" t="s">
        <v>328</v>
      </c>
      <c r="G46" t="s">
        <v>329</v>
      </c>
      <c r="H46" t="s">
        <v>632</v>
      </c>
      <c r="I46" t="s">
        <v>429</v>
      </c>
      <c r="J46" t="s">
        <v>632</v>
      </c>
      <c r="K46" t="s">
        <v>865</v>
      </c>
      <c r="L46" t="s">
        <v>632</v>
      </c>
      <c r="M46" t="s">
        <v>632</v>
      </c>
      <c r="N46">
        <v>5991</v>
      </c>
      <c r="O46">
        <v>59</v>
      </c>
      <c r="Q46" t="s">
        <v>632</v>
      </c>
      <c r="S46" t="s">
        <v>632</v>
      </c>
      <c r="T46" t="s">
        <v>632</v>
      </c>
      <c r="U46" t="s">
        <v>13</v>
      </c>
      <c r="V46" t="s">
        <v>632</v>
      </c>
      <c r="W46" t="s">
        <v>632</v>
      </c>
      <c r="X46" t="s">
        <v>632</v>
      </c>
      <c r="Y46">
        <v>2015</v>
      </c>
      <c r="Z46" t="s">
        <v>632</v>
      </c>
      <c r="AA46" t="s">
        <v>632</v>
      </c>
      <c r="AB46" t="s">
        <v>632</v>
      </c>
      <c r="AD46">
        <v>0</v>
      </c>
      <c r="AF46">
        <v>0</v>
      </c>
      <c r="AG46">
        <v>1</v>
      </c>
      <c r="AH46">
        <v>0</v>
      </c>
      <c r="AI46">
        <v>0</v>
      </c>
      <c r="AJ46" t="s">
        <v>632</v>
      </c>
      <c r="AK46">
        <v>1</v>
      </c>
      <c r="AL46">
        <v>0</v>
      </c>
      <c r="AM46">
        <v>0</v>
      </c>
      <c r="AN46">
        <v>0</v>
      </c>
      <c r="AO46" t="s">
        <v>632</v>
      </c>
      <c r="AP46" t="s">
        <v>148</v>
      </c>
      <c r="AQ46" t="s">
        <v>11</v>
      </c>
      <c r="AR46" t="s">
        <v>330</v>
      </c>
      <c r="AS46" t="s">
        <v>888</v>
      </c>
      <c r="AT46" t="s">
        <v>632</v>
      </c>
      <c r="AU46" t="s">
        <v>489</v>
      </c>
      <c r="AV46" t="s">
        <v>144</v>
      </c>
      <c r="AW46">
        <v>20</v>
      </c>
      <c r="AX46" t="s">
        <v>142</v>
      </c>
      <c r="AY46" t="s">
        <v>660</v>
      </c>
      <c r="AZ46" t="s">
        <v>632</v>
      </c>
      <c r="BA46" s="1"/>
      <c r="BB46" t="s">
        <v>943</v>
      </c>
      <c r="BC46" t="s">
        <v>632</v>
      </c>
      <c r="BE46" t="s">
        <v>632</v>
      </c>
      <c r="BF46" t="s">
        <v>632</v>
      </c>
      <c r="BG46" t="s">
        <v>632</v>
      </c>
      <c r="BH46" t="s">
        <v>490</v>
      </c>
      <c r="BI46" t="s">
        <v>632</v>
      </c>
      <c r="BJ46" t="s">
        <v>632</v>
      </c>
      <c r="BK46" t="s">
        <v>23</v>
      </c>
      <c r="BL46" t="s">
        <v>632</v>
      </c>
      <c r="BM46" t="s">
        <v>632</v>
      </c>
      <c r="BN46" t="s">
        <v>632</v>
      </c>
      <c r="BO46" t="s">
        <v>143</v>
      </c>
      <c r="BP46" t="s">
        <v>632</v>
      </c>
      <c r="BQ46" t="s">
        <v>632</v>
      </c>
      <c r="BR46" t="s">
        <v>819</v>
      </c>
      <c r="BS46" t="s">
        <v>632</v>
      </c>
      <c r="BT46" t="s">
        <v>146</v>
      </c>
      <c r="BU46" t="s">
        <v>46</v>
      </c>
      <c r="BV46" t="s">
        <v>944</v>
      </c>
      <c r="BX46" t="s">
        <v>147</v>
      </c>
      <c r="BY46" t="s">
        <v>145</v>
      </c>
      <c r="BZ46" t="s">
        <v>149</v>
      </c>
      <c r="CA46" t="s">
        <v>632</v>
      </c>
      <c r="CB46" t="s">
        <v>632</v>
      </c>
    </row>
    <row r="47" spans="1:80" x14ac:dyDescent="0.35">
      <c r="A47" t="s">
        <v>491</v>
      </c>
      <c r="B47" t="s">
        <v>492</v>
      </c>
      <c r="C47" t="s">
        <v>632</v>
      </c>
      <c r="D47" t="s">
        <v>632</v>
      </c>
      <c r="E47" t="s">
        <v>345</v>
      </c>
      <c r="F47" t="s">
        <v>328</v>
      </c>
      <c r="G47" t="s">
        <v>329</v>
      </c>
      <c r="H47" t="s">
        <v>632</v>
      </c>
      <c r="I47" t="s">
        <v>175</v>
      </c>
      <c r="J47" t="s">
        <v>632</v>
      </c>
      <c r="K47" t="s">
        <v>632</v>
      </c>
      <c r="L47" t="s">
        <v>632</v>
      </c>
      <c r="M47" t="s">
        <v>632</v>
      </c>
      <c r="N47">
        <v>22755</v>
      </c>
      <c r="O47">
        <v>27</v>
      </c>
      <c r="Q47" t="s">
        <v>632</v>
      </c>
      <c r="S47" t="s">
        <v>632</v>
      </c>
      <c r="T47" t="s">
        <v>632</v>
      </c>
      <c r="U47" t="s">
        <v>35</v>
      </c>
      <c r="V47" t="s">
        <v>632</v>
      </c>
      <c r="W47" t="s">
        <v>493</v>
      </c>
      <c r="X47" t="s">
        <v>363</v>
      </c>
      <c r="Y47">
        <v>2015</v>
      </c>
      <c r="Z47" t="s">
        <v>632</v>
      </c>
      <c r="AA47" t="s">
        <v>632</v>
      </c>
      <c r="AB47" t="s">
        <v>632</v>
      </c>
      <c r="AD47">
        <v>0</v>
      </c>
      <c r="AF47">
        <v>0</v>
      </c>
      <c r="AG47">
        <v>0</v>
      </c>
      <c r="AH47">
        <v>0</v>
      </c>
      <c r="AI47">
        <v>0</v>
      </c>
      <c r="AJ47" t="s">
        <v>632</v>
      </c>
      <c r="AK47">
        <v>0</v>
      </c>
      <c r="AL47">
        <v>0</v>
      </c>
      <c r="AM47">
        <v>0</v>
      </c>
      <c r="AN47">
        <v>0</v>
      </c>
      <c r="AO47" t="s">
        <v>632</v>
      </c>
      <c r="AP47" t="s">
        <v>206</v>
      </c>
      <c r="AQ47" t="s">
        <v>11</v>
      </c>
      <c r="AR47" t="s">
        <v>330</v>
      </c>
      <c r="AS47" t="s">
        <v>632</v>
      </c>
      <c r="AT47" t="s">
        <v>632</v>
      </c>
      <c r="AU47" t="s">
        <v>632</v>
      </c>
      <c r="AV47" t="s">
        <v>205</v>
      </c>
      <c r="AW47">
        <v>20</v>
      </c>
      <c r="AX47" t="s">
        <v>203</v>
      </c>
      <c r="AY47" t="s">
        <v>661</v>
      </c>
      <c r="AZ47" t="s">
        <v>632</v>
      </c>
      <c r="BA47" s="1"/>
      <c r="BB47" t="s">
        <v>797</v>
      </c>
      <c r="BC47" t="s">
        <v>632</v>
      </c>
      <c r="BD47">
        <v>2</v>
      </c>
      <c r="BE47" t="s">
        <v>632</v>
      </c>
      <c r="BF47" t="s">
        <v>632</v>
      </c>
      <c r="BG47" t="s">
        <v>632</v>
      </c>
      <c r="BH47" t="s">
        <v>204</v>
      </c>
      <c r="BI47" t="s">
        <v>632</v>
      </c>
      <c r="BJ47" t="s">
        <v>632</v>
      </c>
      <c r="BK47" t="s">
        <v>14</v>
      </c>
      <c r="BL47" t="s">
        <v>632</v>
      </c>
      <c r="BM47" t="s">
        <v>632</v>
      </c>
      <c r="BN47" t="s">
        <v>632</v>
      </c>
      <c r="BO47" t="s">
        <v>204</v>
      </c>
      <c r="BP47" t="s">
        <v>632</v>
      </c>
      <c r="BQ47" t="s">
        <v>632</v>
      </c>
      <c r="BR47" t="s">
        <v>889</v>
      </c>
      <c r="BS47" t="s">
        <v>632</v>
      </c>
      <c r="BT47" t="s">
        <v>200</v>
      </c>
      <c r="BU47" t="s">
        <v>632</v>
      </c>
      <c r="BV47" t="s">
        <v>945</v>
      </c>
      <c r="BW47">
        <v>2</v>
      </c>
      <c r="BX47" t="s">
        <v>201</v>
      </c>
      <c r="BY47" t="s">
        <v>6</v>
      </c>
      <c r="BZ47" t="s">
        <v>207</v>
      </c>
      <c r="CA47" t="s">
        <v>632</v>
      </c>
      <c r="CB47" t="s">
        <v>632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2A80D-A4E9-4CE7-ADDD-1E697CC32377}">
  <dimension ref="A1:A2"/>
  <sheetViews>
    <sheetView workbookViewId="0">
      <selection activeCell="A4" sqref="A4"/>
    </sheetView>
  </sheetViews>
  <sheetFormatPr defaultRowHeight="14.5" x14ac:dyDescent="0.35"/>
  <cols>
    <col min="1" max="1" width="70.7265625" bestFit="1" customWidth="1"/>
  </cols>
  <sheetData>
    <row r="1" spans="1:1" x14ac:dyDescent="0.35">
      <c r="A1" t="s">
        <v>681</v>
      </c>
    </row>
    <row r="2" spans="1:1" x14ac:dyDescent="0.35">
      <c r="A2" t="str" cm="1">
        <f t="array" aca="1" ref="A2" ca="1">LEFT(CELL("filename",A2),FIND("[",CELL("filename",A2))-1)&amp;"CsvSeedTables\"</f>
        <v>C:\code\CollectaMundo.Tests\TestResources\CsvSeedTables\</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D6BE17-380E-43F8-B6B8-AC07F8C52E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AllCardsViz</vt:lpstr>
      <vt:lpstr>MyCollectionViz</vt:lpstr>
      <vt:lpstr>sets</vt:lpstr>
      <vt:lpstr>myCollection</vt:lpstr>
      <vt:lpstr>tokens</vt:lpstr>
      <vt:lpstr>cards</vt:lpstr>
      <vt:lpstr>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Claus Petersen</dc:creator>
  <cp:lastModifiedBy>Claus Petersen</cp:lastModifiedBy>
  <dcterms:created xsi:type="dcterms:W3CDTF">2025-08-27T20:22:57Z</dcterms:created>
  <dcterms:modified xsi:type="dcterms:W3CDTF">2026-02-18T16:44:30Z</dcterms:modified>
</cp:coreProperties>
</file>