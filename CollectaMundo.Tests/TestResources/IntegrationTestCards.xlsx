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code\CollectaMundo\CollectaMundo.Tests\TestResources\"/>
    </mc:Choice>
  </mc:AlternateContent>
  <xr:revisionPtr revIDLastSave="0" documentId="13_ncr:1_{F251573E-210E-413B-8FD7-A5A2966A6500}" xr6:coauthVersionLast="47" xr6:coauthVersionMax="47" xr10:uidLastSave="{00000000-0000-0000-0000-000000000000}"/>
  <bookViews>
    <workbookView xWindow="-120" yWindow="-120" windowWidth="51840" windowHeight="21120" activeTab="1" xr2:uid="{1056F946-CA43-4E81-91BB-673BA1E4A007}"/>
  </bookViews>
  <sheets>
    <sheet name="AllCardsViz" sheetId="8" r:id="rId1"/>
    <sheet name="sets" sheetId="11" r:id="rId2"/>
    <sheet name="MyCollectionViz" sheetId="3" r:id="rId3"/>
    <sheet name="myCollection" sheetId="10" r:id="rId4"/>
    <sheet name="tokens" sheetId="6" r:id="rId5"/>
    <sheet name="cards" sheetId="5" r:id="rId6"/>
    <sheet name="Query" sheetId="2" r:id="rId7"/>
  </sheets>
  <definedNames>
    <definedName name="ExternalData_1" localSheetId="5" hidden="1">'cards'!$A$1:$CA$45</definedName>
    <definedName name="ExternalData_1" localSheetId="3" hidden="1">myCollection!$A$1:$G$23</definedName>
    <definedName name="ExternalData_2" localSheetId="1" hidden="1">sets!$A$1:$V$55</definedName>
    <definedName name="ExternalData_2" localSheetId="4" hidden="1">tokens!$A$1:$AW$22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a="1"/>
  <c r="A2" i="2" s="1"/>
  <c r="A51" i="8" a="1"/>
  <c r="A51" i="8" s="1"/>
  <c r="F51" i="8" s="1"/>
  <c r="A66" i="8" a="1"/>
  <c r="A66" i="8" s="1"/>
  <c r="F66" i="8" s="1"/>
  <c r="A34" i="8" a="1"/>
  <c r="A34" i="8" s="1"/>
  <c r="F34" i="8" s="1"/>
  <c r="A39" i="8" a="1"/>
  <c r="A39" i="8" s="1"/>
  <c r="E39" i="8" s="1"/>
  <c r="A73" i="8" a="1"/>
  <c r="A73" i="8" s="1"/>
  <c r="D73" i="8" s="1"/>
  <c r="A40" i="8" a="1"/>
  <c r="A40" i="8" s="1"/>
  <c r="D40" i="8" s="1"/>
  <c r="A55" i="8" a="1"/>
  <c r="A55" i="8" s="1"/>
  <c r="E55" i="8" s="1"/>
  <c r="A45" i="8" a="1"/>
  <c r="A45" i="8" s="1"/>
  <c r="C45" i="8" s="1"/>
  <c r="A29" i="8" a="1"/>
  <c r="A29" i="8" s="1"/>
  <c r="C29" i="8" s="1"/>
  <c r="A42" i="8" a="1"/>
  <c r="A42" i="8" s="1"/>
  <c r="D42" i="8" s="1"/>
  <c r="A49" i="8" a="1"/>
  <c r="A49" i="8" s="1"/>
  <c r="B49" i="8" s="1"/>
  <c r="A60" i="8" a="1"/>
  <c r="A60" i="8" s="1"/>
  <c r="C60" i="8" s="1"/>
  <c r="A75" i="8" a="1"/>
  <c r="A75" i="8" s="1"/>
  <c r="C75" i="8" s="1"/>
  <c r="A31" i="8" a="1"/>
  <c r="A31" i="8" s="1"/>
  <c r="C31" i="8" s="1"/>
  <c r="A62" i="8" a="1"/>
  <c r="A62" i="8" s="1"/>
  <c r="B62" i="8" s="1"/>
  <c r="A17" i="8" a="1"/>
  <c r="A17" i="8" s="1"/>
  <c r="B17" i="8" s="1"/>
  <c r="A71" i="8" a="1"/>
  <c r="A71" i="8" s="1"/>
  <c r="E71" i="8" s="1"/>
  <c r="A44" i="8" a="1"/>
  <c r="A44" i="8" s="1"/>
  <c r="C44" i="8" s="1"/>
  <c r="A69" i="8" a="1"/>
  <c r="A69" i="8" s="1"/>
  <c r="E69" i="8" s="1"/>
  <c r="A24" i="8" a="1"/>
  <c r="A24" i="8" s="1"/>
  <c r="D24" i="8" s="1"/>
  <c r="A72" i="8" a="1"/>
  <c r="A72" i="8" s="1"/>
  <c r="D72" i="8" s="1"/>
  <c r="A37" i="8" a="1"/>
  <c r="A37" i="8" s="1"/>
  <c r="E37" i="8" s="1"/>
  <c r="A30" i="8" a="1"/>
  <c r="A30" i="8" s="1"/>
  <c r="B30" i="8" s="1"/>
  <c r="A76" i="8" a="1"/>
  <c r="A76" i="8" s="1"/>
  <c r="C76" i="8" s="1"/>
  <c r="A18" i="8" a="1"/>
  <c r="A18" i="8" s="1"/>
  <c r="F18" i="8" s="1"/>
  <c r="A68" i="8" a="1"/>
  <c r="A68" i="8" s="1"/>
  <c r="F68" i="8" s="1"/>
  <c r="A35" i="8" a="1"/>
  <c r="A35" i="8" s="1"/>
  <c r="F35" i="8" s="1"/>
  <c r="A56" i="8" a="1"/>
  <c r="A56" i="8" s="1"/>
  <c r="C56" i="8" s="1"/>
  <c r="A21" i="8" a="1"/>
  <c r="A21" i="8" s="1"/>
  <c r="E21" i="8" s="1"/>
  <c r="A53" i="8" a="1"/>
  <c r="A53" i="8" s="1"/>
  <c r="E53" i="8" s="1"/>
  <c r="A43" i="8" a="1"/>
  <c r="A43" i="8" s="1"/>
  <c r="C43" i="8" s="1"/>
  <c r="A54" i="8" a="1"/>
  <c r="A54" i="8" s="1"/>
  <c r="E54" i="8" s="1"/>
  <c r="A36" i="8" a="1"/>
  <c r="A36" i="8" s="1"/>
  <c r="F36" i="8" s="1"/>
  <c r="A57" i="8" a="1"/>
  <c r="A57" i="8" s="1"/>
  <c r="D57" i="8" s="1"/>
  <c r="A27" i="8" a="1"/>
  <c r="A27" i="8" s="1"/>
  <c r="C27" i="8" s="1"/>
  <c r="A61" i="8" a="1"/>
  <c r="A61" i="8" s="1"/>
  <c r="C61" i="8" s="1"/>
  <c r="A50" i="8" a="1"/>
  <c r="A50" i="8" s="1"/>
  <c r="F50" i="8" s="1"/>
  <c r="A28" i="8" a="1"/>
  <c r="A28" i="8" s="1"/>
  <c r="C28" i="8" s="1"/>
  <c r="A67" i="8" a="1"/>
  <c r="A67" i="8" s="1"/>
  <c r="C67" i="8" s="1"/>
  <c r="A23" i="8" a="1"/>
  <c r="A23" i="8" s="1"/>
  <c r="B23" i="8" s="1"/>
  <c r="A22" i="8" a="1"/>
  <c r="A22" i="8" s="1"/>
  <c r="E22" i="8" s="1"/>
  <c r="A38" i="8" a="1"/>
  <c r="A38" i="8" s="1"/>
  <c r="E38" i="8" s="1"/>
  <c r="A19" i="8" a="1"/>
  <c r="A19" i="8" s="1"/>
  <c r="F19" i="8" s="1"/>
  <c r="A65" i="8" a="1"/>
  <c r="A65" i="8" s="1"/>
  <c r="B65" i="8" s="1"/>
  <c r="A77" i="8" a="1"/>
  <c r="A77" i="8" s="1"/>
  <c r="C77" i="8" s="1"/>
  <c r="A64" i="8" a="1"/>
  <c r="A64" i="8" s="1"/>
  <c r="B64" i="8" s="1"/>
  <c r="A70" i="8" a="1"/>
  <c r="A70" i="8" s="1"/>
  <c r="E70" i="8" s="1"/>
  <c r="A59" i="8" a="1"/>
  <c r="A59" i="8" s="1"/>
  <c r="C59" i="8" s="1"/>
  <c r="A16" i="8" a="1"/>
  <c r="A16" i="8" s="1"/>
  <c r="B16" i="8" s="1"/>
  <c r="A20" i="8" a="1"/>
  <c r="A20" i="8" s="1"/>
  <c r="F20" i="8" s="1"/>
  <c r="A58" i="8" a="1"/>
  <c r="A58" i="8" s="1"/>
  <c r="D58" i="8" s="1"/>
  <c r="A63" i="8" a="1"/>
  <c r="A63" i="8" s="1"/>
  <c r="B63" i="8" s="1"/>
  <c r="A26" i="8" a="1"/>
  <c r="A26" i="8" s="1"/>
  <c r="D26" i="8" s="1"/>
  <c r="A46" i="8" a="1"/>
  <c r="A46" i="8" s="1"/>
  <c r="B46" i="8" s="1"/>
  <c r="A47" i="8" a="1"/>
  <c r="A47" i="8" s="1"/>
  <c r="B47" i="8" s="1"/>
  <c r="A74" i="8" a="1"/>
  <c r="A74" i="8" s="1"/>
  <c r="D74" i="8" s="1"/>
  <c r="A25" i="8" a="1"/>
  <c r="A25" i="8" s="1"/>
  <c r="D25" i="8" s="1"/>
  <c r="A32" i="8" a="1"/>
  <c r="A32" i="8" s="1"/>
  <c r="B32" i="8" s="1"/>
  <c r="A33" i="8" a="1"/>
  <c r="A33" i="8" s="1"/>
  <c r="B33" i="8" s="1"/>
  <c r="A41" i="8" a="1"/>
  <c r="A41" i="8" s="1"/>
  <c r="B41" i="8" s="1"/>
  <c r="A52" i="8" a="1"/>
  <c r="A52" i="8" s="1"/>
  <c r="F52" i="8" s="1"/>
  <c r="A78" i="8" a="1"/>
  <c r="A78" i="8" s="1"/>
  <c r="B78" i="8" s="1"/>
  <c r="A48" i="8" a="1"/>
  <c r="A48" i="8" s="1"/>
  <c r="B48" i="8" s="1"/>
  <c r="A2" i="8" a="1"/>
  <c r="A2" i="8" s="1"/>
  <c r="F2" i="8" s="1"/>
  <c r="A3" i="8" a="1"/>
  <c r="A3" i="8" s="1"/>
  <c r="F3" i="8" s="1"/>
  <c r="A4" i="8" a="1"/>
  <c r="A4" i="8" s="1"/>
  <c r="F4" i="8" s="1"/>
  <c r="A5" i="8" a="1"/>
  <c r="A5" i="8" s="1"/>
  <c r="E5" i="8" s="1"/>
  <c r="A6" i="8" a="1"/>
  <c r="A6" i="8" s="1"/>
  <c r="E6" i="8" s="1"/>
  <c r="A7" i="8" a="1"/>
  <c r="A7" i="8" s="1"/>
  <c r="E7" i="8" s="1"/>
  <c r="A8" i="8" a="1"/>
  <c r="A8" i="8" s="1"/>
  <c r="D8" i="8" s="1"/>
  <c r="A9" i="8" a="1"/>
  <c r="A9" i="8" s="1"/>
  <c r="F9" i="8" s="1"/>
  <c r="A10" i="8" a="1"/>
  <c r="A10" i="8" s="1"/>
  <c r="B10" i="8" s="1"/>
  <c r="A11" i="8" a="1"/>
  <c r="A11" i="8" s="1"/>
  <c r="C11" i="8" s="1"/>
  <c r="A12" i="8" a="1"/>
  <c r="A12" i="8" s="1"/>
  <c r="C12" i="8" s="1"/>
  <c r="A13" i="8" a="1"/>
  <c r="A13" i="8" s="1"/>
  <c r="C13" i="8" s="1"/>
  <c r="A14" i="8" a="1"/>
  <c r="A14" i="8" s="1"/>
  <c r="B14" i="8" s="1"/>
  <c r="A15" i="8" a="1"/>
  <c r="A15" i="8" s="1"/>
  <c r="B15" i="8" s="1"/>
  <c r="A2" i="3"/>
  <c r="D2" i="3" s="1"/>
  <c r="A3" i="3"/>
  <c r="D3" i="3" s="1"/>
  <c r="A4" i="3"/>
  <c r="G4" i="3" s="1"/>
  <c r="A5" i="3"/>
  <c r="G5" i="3" s="1"/>
  <c r="A6" i="3"/>
  <c r="G6" i="3" s="1"/>
  <c r="A7" i="3"/>
  <c r="G7" i="3" s="1"/>
  <c r="A8" i="3"/>
  <c r="D8" i="3" s="1"/>
  <c r="A9" i="3"/>
  <c r="E9" i="3" s="1"/>
  <c r="A10" i="3"/>
  <c r="E10" i="3" s="1"/>
  <c r="A11" i="3"/>
  <c r="E11" i="3" s="1"/>
  <c r="A12" i="3"/>
  <c r="B12" i="3" s="1"/>
  <c r="A13" i="3"/>
  <c r="B13" i="3" s="1"/>
  <c r="A14" i="3"/>
  <c r="F14" i="3" s="1"/>
  <c r="A15" i="3"/>
  <c r="F15" i="3" s="1"/>
  <c r="A16" i="3"/>
  <c r="F16" i="3" s="1"/>
  <c r="A17" i="3"/>
  <c r="F17" i="3" s="1"/>
  <c r="A18" i="3"/>
  <c r="D18" i="3" s="1"/>
  <c r="A19" i="3"/>
  <c r="D19" i="3" s="1"/>
  <c r="A20" i="3"/>
  <c r="G20" i="3" s="1"/>
  <c r="A21" i="3"/>
  <c r="G21" i="3" s="1"/>
  <c r="A22" i="3"/>
  <c r="G22" i="3" s="1"/>
  <c r="A23" i="3"/>
  <c r="G23" i="3" s="1"/>
  <c r="B16" i="3" l="1"/>
  <c r="B15" i="3"/>
  <c r="B23" i="3"/>
  <c r="B14" i="3"/>
  <c r="B21" i="3"/>
  <c r="B8" i="3"/>
  <c r="B7" i="3"/>
  <c r="B5" i="3"/>
  <c r="B17" i="3"/>
  <c r="B11" i="3"/>
  <c r="B10" i="3"/>
  <c r="B9" i="3"/>
  <c r="B22" i="3"/>
  <c r="B6" i="3"/>
  <c r="G8" i="3"/>
  <c r="B20" i="3"/>
  <c r="B4" i="3"/>
  <c r="B19" i="3"/>
  <c r="B3" i="3"/>
  <c r="B18" i="3"/>
  <c r="B2" i="3"/>
  <c r="B76" i="8"/>
  <c r="B73" i="8"/>
  <c r="B66" i="8"/>
  <c r="B50" i="8"/>
  <c r="B18" i="8"/>
  <c r="C73" i="8"/>
  <c r="D60" i="8"/>
  <c r="D28" i="8"/>
  <c r="E51" i="8"/>
  <c r="F45" i="8"/>
  <c r="B77" i="8"/>
  <c r="B2" i="8"/>
  <c r="D44" i="8"/>
  <c r="C57" i="8"/>
  <c r="D3" i="8"/>
  <c r="G3" i="8" s="1"/>
  <c r="B60" i="8"/>
  <c r="C54" i="8"/>
  <c r="E73" i="8"/>
  <c r="B57" i="8"/>
  <c r="C47" i="8"/>
  <c r="E57" i="8"/>
  <c r="C41" i="8"/>
  <c r="C70" i="8"/>
  <c r="D12" i="8"/>
  <c r="B45" i="8"/>
  <c r="C38" i="8"/>
  <c r="E41" i="8"/>
  <c r="B44" i="8"/>
  <c r="C25" i="8"/>
  <c r="E32" i="8"/>
  <c r="C22" i="8"/>
  <c r="E25" i="8"/>
  <c r="B34" i="8"/>
  <c r="C15" i="8"/>
  <c r="E16" i="8"/>
  <c r="B28" i="8"/>
  <c r="D76" i="8"/>
  <c r="F77" i="8"/>
  <c r="B25" i="8"/>
  <c r="D67" i="8"/>
  <c r="G67" i="8" s="1"/>
  <c r="F54" i="8"/>
  <c r="B12" i="8"/>
  <c r="D54" i="8"/>
  <c r="F29" i="8"/>
  <c r="B9" i="8"/>
  <c r="D51" i="8"/>
  <c r="G51" i="8" s="1"/>
  <c r="F22" i="8"/>
  <c r="B61" i="8"/>
  <c r="B29" i="8"/>
  <c r="B13" i="8"/>
  <c r="C74" i="8"/>
  <c r="C58" i="8"/>
  <c r="C42" i="8"/>
  <c r="C26" i="8"/>
  <c r="C10" i="8"/>
  <c r="D71" i="8"/>
  <c r="G71" i="8" s="1"/>
  <c r="D55" i="8"/>
  <c r="G55" i="8" s="1"/>
  <c r="D39" i="8"/>
  <c r="D23" i="8"/>
  <c r="G23" i="8" s="1"/>
  <c r="D7" i="8"/>
  <c r="E68" i="8"/>
  <c r="E52" i="8"/>
  <c r="E36" i="8"/>
  <c r="E20" i="8"/>
  <c r="E4" i="8"/>
  <c r="F65" i="8"/>
  <c r="F49" i="8"/>
  <c r="F33" i="8"/>
  <c r="F17" i="8"/>
  <c r="D38" i="8"/>
  <c r="G38" i="8" s="1"/>
  <c r="D6" i="8"/>
  <c r="E67" i="8"/>
  <c r="E35" i="8"/>
  <c r="E19" i="8"/>
  <c r="E3" i="8"/>
  <c r="F64" i="8"/>
  <c r="F48" i="8"/>
  <c r="F32" i="8"/>
  <c r="F16" i="8"/>
  <c r="C9" i="8"/>
  <c r="D70" i="8"/>
  <c r="D22" i="8"/>
  <c r="B75" i="8"/>
  <c r="B59" i="8"/>
  <c r="B43" i="8"/>
  <c r="B27" i="8"/>
  <c r="B11" i="8"/>
  <c r="C72" i="8"/>
  <c r="C40" i="8"/>
  <c r="C24" i="8"/>
  <c r="C8" i="8"/>
  <c r="D69" i="8"/>
  <c r="G69" i="8" s="1"/>
  <c r="D53" i="8"/>
  <c r="D37" i="8"/>
  <c r="G37" i="8" s="1"/>
  <c r="D21" i="8"/>
  <c r="G21" i="8" s="1"/>
  <c r="D5" i="8"/>
  <c r="G5" i="8" s="1"/>
  <c r="E66" i="8"/>
  <c r="E50" i="8"/>
  <c r="E34" i="8"/>
  <c r="E18" i="8"/>
  <c r="E2" i="8"/>
  <c r="F63" i="8"/>
  <c r="F47" i="8"/>
  <c r="F31" i="8"/>
  <c r="F15" i="8"/>
  <c r="B74" i="8"/>
  <c r="B58" i="8"/>
  <c r="B42" i="8"/>
  <c r="B26" i="8"/>
  <c r="C71" i="8"/>
  <c r="C55" i="8"/>
  <c r="C39" i="8"/>
  <c r="C23" i="8"/>
  <c r="C7" i="8"/>
  <c r="D68" i="8"/>
  <c r="D52" i="8"/>
  <c r="D36" i="8"/>
  <c r="G36" i="8" s="1"/>
  <c r="D20" i="8"/>
  <c r="D4" i="8"/>
  <c r="E65" i="8"/>
  <c r="E49" i="8"/>
  <c r="E33" i="8"/>
  <c r="E17" i="8"/>
  <c r="F78" i="8"/>
  <c r="F62" i="8"/>
  <c r="F46" i="8"/>
  <c r="F30" i="8"/>
  <c r="F14" i="8"/>
  <c r="F13" i="8"/>
  <c r="B72" i="8"/>
  <c r="B56" i="8"/>
  <c r="B40" i="8"/>
  <c r="B24" i="8"/>
  <c r="B8" i="8"/>
  <c r="C69" i="8"/>
  <c r="C53" i="8"/>
  <c r="C37" i="8"/>
  <c r="C21" i="8"/>
  <c r="C5" i="8"/>
  <c r="D66" i="8"/>
  <c r="G66" i="8" s="1"/>
  <c r="D50" i="8"/>
  <c r="D34" i="8"/>
  <c r="G34" i="8" s="1"/>
  <c r="D18" i="8"/>
  <c r="G18" i="8" s="1"/>
  <c r="D2" i="8"/>
  <c r="G2" i="8" s="1"/>
  <c r="E63" i="8"/>
  <c r="E47" i="8"/>
  <c r="E31" i="8"/>
  <c r="E15" i="8"/>
  <c r="F76" i="8"/>
  <c r="F60" i="8"/>
  <c r="F44" i="8"/>
  <c r="F28" i="8"/>
  <c r="F12" i="8"/>
  <c r="B71" i="8"/>
  <c r="B55" i="8"/>
  <c r="B39" i="8"/>
  <c r="B7" i="8"/>
  <c r="C68" i="8"/>
  <c r="C52" i="8"/>
  <c r="C36" i="8"/>
  <c r="C20" i="8"/>
  <c r="C4" i="8"/>
  <c r="D65" i="8"/>
  <c r="D49" i="8"/>
  <c r="D33" i="8"/>
  <c r="G33" i="8" s="1"/>
  <c r="D17" i="8"/>
  <c r="G17" i="8" s="1"/>
  <c r="E78" i="8"/>
  <c r="E62" i="8"/>
  <c r="E46" i="8"/>
  <c r="E30" i="8"/>
  <c r="E14" i="8"/>
  <c r="F75" i="8"/>
  <c r="F59" i="8"/>
  <c r="F43" i="8"/>
  <c r="F27" i="8"/>
  <c r="F11" i="8"/>
  <c r="F61" i="8"/>
  <c r="B70" i="8"/>
  <c r="B54" i="8"/>
  <c r="B38" i="8"/>
  <c r="B22" i="8"/>
  <c r="B6" i="8"/>
  <c r="C51" i="8"/>
  <c r="C35" i="8"/>
  <c r="C19" i="8"/>
  <c r="C3" i="8"/>
  <c r="D64" i="8"/>
  <c r="G64" i="8" s="1"/>
  <c r="D48" i="8"/>
  <c r="D32" i="8"/>
  <c r="D16" i="8"/>
  <c r="G16" i="8" s="1"/>
  <c r="E77" i="8"/>
  <c r="E61" i="8"/>
  <c r="E45" i="8"/>
  <c r="E29" i="8"/>
  <c r="E13" i="8"/>
  <c r="F74" i="8"/>
  <c r="F58" i="8"/>
  <c r="F42" i="8"/>
  <c r="F26" i="8"/>
  <c r="F10" i="8"/>
  <c r="C6" i="8"/>
  <c r="B69" i="8"/>
  <c r="B53" i="8"/>
  <c r="B37" i="8"/>
  <c r="B21" i="8"/>
  <c r="B5" i="8"/>
  <c r="C66" i="8"/>
  <c r="C50" i="8"/>
  <c r="C34" i="8"/>
  <c r="C18" i="8"/>
  <c r="C2" i="8"/>
  <c r="D63" i="8"/>
  <c r="G63" i="8" s="1"/>
  <c r="D47" i="8"/>
  <c r="G47" i="8" s="1"/>
  <c r="D31" i="8"/>
  <c r="G31" i="8" s="1"/>
  <c r="D15" i="8"/>
  <c r="G15" i="8" s="1"/>
  <c r="E76" i="8"/>
  <c r="E60" i="8"/>
  <c r="E44" i="8"/>
  <c r="E28" i="8"/>
  <c r="E12" i="8"/>
  <c r="F73" i="8"/>
  <c r="F57" i="8"/>
  <c r="F41" i="8"/>
  <c r="F25" i="8"/>
  <c r="D35" i="8"/>
  <c r="D19" i="8"/>
  <c r="B68" i="8"/>
  <c r="B52" i="8"/>
  <c r="B36" i="8"/>
  <c r="B20" i="8"/>
  <c r="B4" i="8"/>
  <c r="C65" i="8"/>
  <c r="C49" i="8"/>
  <c r="C33" i="8"/>
  <c r="C17" i="8"/>
  <c r="D78" i="8"/>
  <c r="G78" i="8" s="1"/>
  <c r="D62" i="8"/>
  <c r="G62" i="8" s="1"/>
  <c r="D46" i="8"/>
  <c r="G46" i="8" s="1"/>
  <c r="D30" i="8"/>
  <c r="G30" i="8" s="1"/>
  <c r="D14" i="8"/>
  <c r="E75" i="8"/>
  <c r="E59" i="8"/>
  <c r="E43" i="8"/>
  <c r="E27" i="8"/>
  <c r="E11" i="8"/>
  <c r="F72" i="8"/>
  <c r="F56" i="8"/>
  <c r="F40" i="8"/>
  <c r="F24" i="8"/>
  <c r="F8" i="8"/>
  <c r="E64" i="8"/>
  <c r="E48" i="8"/>
  <c r="B67" i="8"/>
  <c r="B51" i="8"/>
  <c r="B35" i="8"/>
  <c r="B19" i="8"/>
  <c r="B3" i="8"/>
  <c r="C64" i="8"/>
  <c r="C48" i="8"/>
  <c r="C32" i="8"/>
  <c r="C16" i="8"/>
  <c r="D77" i="8"/>
  <c r="G77" i="8" s="1"/>
  <c r="D61" i="8"/>
  <c r="D45" i="8"/>
  <c r="G45" i="8" s="1"/>
  <c r="D29" i="8"/>
  <c r="G29" i="8" s="1"/>
  <c r="D13" i="8"/>
  <c r="E74" i="8"/>
  <c r="E58" i="8"/>
  <c r="E42" i="8"/>
  <c r="E26" i="8"/>
  <c r="E10" i="8"/>
  <c r="F71" i="8"/>
  <c r="F55" i="8"/>
  <c r="F39" i="8"/>
  <c r="F23" i="8"/>
  <c r="F7" i="8"/>
  <c r="F70" i="8"/>
  <c r="F6" i="8"/>
  <c r="E9" i="8"/>
  <c r="F38" i="8"/>
  <c r="C78" i="8"/>
  <c r="C62" i="8"/>
  <c r="C46" i="8"/>
  <c r="C30" i="8"/>
  <c r="C14" i="8"/>
  <c r="D75" i="8"/>
  <c r="G75" i="8" s="1"/>
  <c r="D59" i="8"/>
  <c r="G59" i="8" s="1"/>
  <c r="D43" i="8"/>
  <c r="D27" i="8"/>
  <c r="D11" i="8"/>
  <c r="E72" i="8"/>
  <c r="E56" i="8"/>
  <c r="E40" i="8"/>
  <c r="E24" i="8"/>
  <c r="E8" i="8"/>
  <c r="F69" i="8"/>
  <c r="F53" i="8"/>
  <c r="F37" i="8"/>
  <c r="F21" i="8"/>
  <c r="F5" i="8"/>
  <c r="D10" i="8"/>
  <c r="G10" i="8" s="1"/>
  <c r="E23" i="8"/>
  <c r="C63" i="8"/>
  <c r="B31" i="8"/>
  <c r="D41" i="8"/>
  <c r="G41" i="8" s="1"/>
  <c r="D9" i="8"/>
  <c r="G9" i="8" s="1"/>
  <c r="F67" i="8"/>
  <c r="D56" i="8"/>
  <c r="G56" i="8" s="1"/>
  <c r="G3" i="3"/>
  <c r="D22" i="3"/>
  <c r="D6" i="3"/>
  <c r="E23" i="3"/>
  <c r="E22" i="3"/>
  <c r="E8" i="3"/>
  <c r="G60" i="8"/>
  <c r="G65" i="8"/>
  <c r="E12" i="3"/>
  <c r="E7" i="3"/>
  <c r="E6" i="3"/>
  <c r="F22" i="3"/>
  <c r="D23" i="3"/>
  <c r="F13" i="3"/>
  <c r="D17" i="3"/>
  <c r="F11" i="3"/>
  <c r="F12" i="3"/>
  <c r="D16" i="3"/>
  <c r="F8" i="3"/>
  <c r="D13" i="3"/>
  <c r="F6" i="3"/>
  <c r="D12" i="3"/>
  <c r="G19" i="3"/>
  <c r="D11" i="3"/>
  <c r="G15" i="3"/>
  <c r="D7" i="3"/>
  <c r="G12" i="3"/>
  <c r="G18" i="3"/>
  <c r="G2" i="3"/>
  <c r="D15" i="3"/>
  <c r="E21" i="3"/>
  <c r="E5" i="3"/>
  <c r="G17" i="3"/>
  <c r="D14" i="3"/>
  <c r="E20" i="3"/>
  <c r="E4" i="3"/>
  <c r="F10" i="3"/>
  <c r="G16" i="3"/>
  <c r="E18" i="3"/>
  <c r="E2" i="3"/>
  <c r="G14" i="3"/>
  <c r="E19" i="3"/>
  <c r="E17" i="3"/>
  <c r="F23" i="3"/>
  <c r="F7" i="3"/>
  <c r="G13" i="3"/>
  <c r="E3" i="3"/>
  <c r="F9" i="3"/>
  <c r="D10" i="3"/>
  <c r="E16" i="3"/>
  <c r="D9" i="3"/>
  <c r="E15" i="3"/>
  <c r="F21" i="3"/>
  <c r="F5" i="3"/>
  <c r="G11" i="3"/>
  <c r="C2" i="3"/>
  <c r="E14" i="3"/>
  <c r="F20" i="3"/>
  <c r="F4" i="3"/>
  <c r="G10" i="3"/>
  <c r="E13" i="3"/>
  <c r="F19" i="3"/>
  <c r="F3" i="3"/>
  <c r="G9" i="3"/>
  <c r="D21" i="3"/>
  <c r="D5" i="3"/>
  <c r="F18" i="3"/>
  <c r="F2" i="3"/>
  <c r="D20" i="3"/>
  <c r="D4" i="3"/>
  <c r="G11" i="8"/>
  <c r="G25" i="8"/>
  <c r="G49" i="8"/>
  <c r="G76" i="8"/>
  <c r="G74" i="8"/>
  <c r="G8" i="8"/>
  <c r="G28" i="8"/>
  <c r="G40" i="8"/>
  <c r="G7" i="8"/>
  <c r="G26" i="8"/>
  <c r="G50" i="8"/>
  <c r="G72" i="8"/>
  <c r="G73" i="8"/>
  <c r="G6" i="8"/>
  <c r="G61" i="8"/>
  <c r="G24" i="8"/>
  <c r="G39" i="8"/>
  <c r="G22" i="8"/>
  <c r="G58" i="8"/>
  <c r="G27" i="8"/>
  <c r="G4" i="8"/>
  <c r="G20" i="8"/>
  <c r="G57" i="8"/>
  <c r="G44" i="8"/>
  <c r="G54" i="8"/>
  <c r="G48" i="8"/>
  <c r="G70" i="8"/>
  <c r="G43" i="8"/>
  <c r="G53" i="8"/>
  <c r="G52" i="8"/>
  <c r="G14" i="8"/>
  <c r="G13" i="8"/>
  <c r="G19" i="8"/>
  <c r="G35" i="8"/>
  <c r="G12" i="8"/>
  <c r="G32" i="8"/>
  <c r="G68" i="8"/>
  <c r="G4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8BC23A-8B87-4EA9-AE86-18EF2AD24444}"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<sst xmlns="http://schemas.openxmlformats.org/spreadsheetml/2006/main" count="4453" uniqueCount="976">
  <si>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</si>
  <si>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</si>
  <si>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</si>
  <si>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</si>
  <si>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</si>
  <si>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</si>
  <si>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</si>
  <si>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</si>
  <si>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</si>
  <si>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</si>
  <si>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</si>
  <si>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</si>
  <si>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</si>
  <si>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</si>
  <si>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</si>
  <si>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</si>
  <si>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</si>
  <si>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</si>
  <si>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</si>
  <si>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</si>
  <si>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</si>
  <si>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</si>
  <si>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</si>
  <si>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</si>
  <si>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</si>
  <si>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</si>
  <si>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</si>
  <si>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</si>
  <si>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</si>
  <si>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</si>
  <si>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</si>
  <si>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</si>
  <si>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</si>
  <si>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</si>
  <si>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</si>
  <si>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</si>
  <si>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</si>
  <si>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</si>
  <si>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</si>
  <si>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</si>
  <si>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</si>
  <si>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</si>
  <si>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</si>
  <si>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</si>
  <si>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</si>
  <si>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</si>
  <si>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</si>
  <si>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</si>
  <si>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</si>
  <si>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Defender, Sokratic Dialogue</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</si>
  <si>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</si>
  <si>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</si>
  <si>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</si>
  <si>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</si>
  <si>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</si>
  <si>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</si>
  <si>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</si>
  <si>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</si>
  <si>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</si>
  <si>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</si>
  <si>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</si>
  <si>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</si>
  <si>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</si>
  <si>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</si>
  <si>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</si>
  <si>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</si>
  <si>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</si>
  <si>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</si>
  <si>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</si>
  <si>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</si>
  <si>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</si>
  <si>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</si>
  <si>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</si>
  <si>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</si>
  <si>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</si>
  <si>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</si>
  <si>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</si>
  <si>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</si>
  <si>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Paradox — Whenever you cast a spell from anywhere other than your hand, put a +1/+1 counter on target creature.\nTeam TARDIS — At the beginning of your end step, untap each creature you control with a counter on it.</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</si>
  <si>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</si>
  <si>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</si>
  <si>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</si>
  <si>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</si>
  <si>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</si>
  <si>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</si>
  <si>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</si>
  <si>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</si>
  <si>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</si>
  <si>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</si>
  <si>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</si>
  <si>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</si>
  <si>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</si>
  <si>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</si>
  <si>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</si>
  <si>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</si>
  <si>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</si>
  <si>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</si>
  <si>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</si>
  <si>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</si>
  <si>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</si>
  <si>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</si>
  <si>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</si>
  <si>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</si>
  <si>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</si>
  <si>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</si>
  <si>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</si>
  <si>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</si>
  <si>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</si>
  <si>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</si>
  <si>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</si>
  <si>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</si>
  <si>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</si>
  <si>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</si>
  <si>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</si>
  <si>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</si>
  <si>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</si>
  <si>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</si>
  <si>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</si>
  <si>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</si>
  <si>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</si>
  <si>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</si>
  <si>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</si>
  <si>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</si>
  <si>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</si>
  <si>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</si>
  <si>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</si>
  <si>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</si>
  <si>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</si>
  <si>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</si>
  <si>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</si>
  <si>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</si>
  <si>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</si>
  <si>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</si>
  <si>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</si>
  <si>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</si>
  <si>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</si>
  <si>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</si>
  <si>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</si>
  <si>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</si>
  <si>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</si>
  <si>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</si>
  <si>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</si>
  <si>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</si>
  <si>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You may discard a Mountain card rather than pay this spell's mana cost.\nFlameshot deals 3 damage divided as you choose among one, two, or three target creatures.</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</si>
  <si>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</si>
  <si>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</si>
  <si>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</si>
  <si>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</si>
  <si>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</si>
  <si>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</si>
  <si>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</si>
  <si>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</si>
  <si>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</si>
  <si>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</si>
  <si>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</si>
  <si>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</si>
  <si>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</si>
  <si>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"Until end of turn" and "this turn" effects don't end.</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</si>
  <si>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</si>
  <si>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</si>
  <si>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</si>
  <si>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</si>
  <si>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</si>
  <si>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</si>
  <si>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</si>
  <si>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</si>
  <si>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</si>
  <si>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</si>
  <si>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If this spell is the first spell you've cast this game, you may cast it without paying its mana cost.\nLook at the top five cards of your library. You may reveal a creature or land card from among them and put it into your hand. Put the rest on the bottom of your library in a random order.</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</si>
  <si>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</si>
  <si>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</si>
  <si>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</si>
  <si>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</si>
  <si>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</si>
  <si>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</si>
  <si>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</si>
  <si>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</si>
  <si>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</si>
  <si>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</si>
  <si>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</si>
  <si>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</si>
  <si>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</si>
  <si>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</si>
  <si>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</si>
  <si>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Enchant creature\nEnchanted creature gets -2/-2.</t>
  </si>
  <si>
    <t>43b41a9c-56c7-5aa9-80bf-dc90211351ab</t>
  </si>
  <si>
    <t>Karox Bladewing</t>
  </si>
  <si>
    <t>TDOM</t>
  </si>
  <si>
    <t>Dragon</t>
  </si>
  <si>
    <t>Token Legendary Creature — Dragon</t>
  </si>
  <si>
    <t>Flying</t>
  </si>
  <si>
    <t>e4dcfe4f-8441-5eec-9f74-a7b3672e90e0</t>
  </si>
  <si>
    <t>Bubbling Cauldron</t>
  </si>
  <si>
    <t>IMA</t>
  </si>
  <si>
    <t>{2}</t>
  </si>
  <si>
    <t>Artifact</t>
  </si>
  <si>
    <t>{1}, {T}, Sacrifice a creature: You gain 4 life.\n{1}, {T}, Sacrifice a creature named Festering Newt: Each opponent loses 4 life. You gain life equal to the life lost this way.</t>
  </si>
  <si>
    <t>9ce99de8-bbd0-5043-9670-7f69ec41c1eb</t>
  </si>
  <si>
    <t>Gisela, the Broken Blade // Brisela, Voice of Nightmares</t>
  </si>
  <si>
    <t>EMN</t>
  </si>
  <si>
    <t>{2}{W}{W}</t>
  </si>
  <si>
    <t>Angel, Horror</t>
  </si>
  <si>
    <t>Legendary Creature — Angel Horror</t>
  </si>
  <si>
    <t>First strike, Flying, Lifelink, Meld</t>
  </si>
  <si>
    <t>Flying, first strike, lifelink\nAt the beginning of your end step, if you both own and control Gisela and a creature named Bruna, the Fading Light, exile them, then meld them into Brisela, Voice of Nightmares.</t>
  </si>
  <si>
    <t>5bb79a0f-ad7d-5383-8c9d-04bc757bcb4f</t>
  </si>
  <si>
    <t>Thought Harvester</t>
  </si>
  <si>
    <t>OGW</t>
  </si>
  <si>
    <t>{3}{U}</t>
  </si>
  <si>
    <t>Eldrazi, Drone</t>
  </si>
  <si>
    <t>Creature — Eldrazi Drone</t>
  </si>
  <si>
    <t>Devoid, Flying</t>
  </si>
  <si>
    <t>Devoid (This card has no color.)\nFlying\nWhenever you cast a colorless spell, target opponent exiles the top card of their library.</t>
  </si>
  <si>
    <t>1fb6b965-6d0e-536c-8593-63140f3c6e9f</t>
  </si>
  <si>
    <t>Culling Drone</t>
  </si>
  <si>
    <t>BFZ</t>
  </si>
  <si>
    <t>{1}{B}</t>
  </si>
  <si>
    <t>Devoid, Ingest</t>
  </si>
  <si>
    <t>Devoid (This card has no color.)\nIngest (Whenever this creature deals combat damage to a player, that player exiles the top card of their library.)</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</si>
  <si>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</si>
  <si>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</si>
  <si>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</si>
  <si>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</si>
  <si>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</si>
  <si>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</si>
  <si>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</si>
  <si>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</si>
  <si>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</si>
  <si>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</si>
  <si>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</si>
  <si>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</si>
  <si>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</si>
  <si>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</si>
  <si>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</si>
  <si>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</si>
  <si>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</si>
  <si>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</si>
  <si>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</si>
  <si>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</si>
  <si>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</si>
  <si>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</si>
  <si>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</si>
  <si>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</si>
  <si>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</si>
  <si>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</si>
  <si>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</si>
  <si>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</si>
  <si>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</si>
  <si>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</si>
  <si>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</si>
  <si>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</si>
  <si>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</si>
  <si>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</si>
  <si>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</si>
  <si>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</si>
  <si>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</si>
  <si>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</si>
  <si>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</si>
  <si>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</si>
  <si>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</si>
  <si>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</si>
  <si>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</si>
  <si>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</si>
  <si>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</si>
  <si>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</si>
  <si>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</si>
  <si>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</si>
  <si>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</si>
  <si>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</si>
  <si>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</si>
  <si>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</si>
  <si>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</si>
  <si>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</si>
  <si>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</si>
  <si>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</si>
  <si>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</si>
  <si>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</si>
  <si>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</si>
  <si>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</si>
  <si>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</si>
  <si>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</si>
  <si>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</si>
  <si>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</si>
  <si>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</si>
  <si>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</si>
  <si>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</si>
  <si>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Kicker {4} (You may pay an additional {4} as you cast this spell.)\nTarget player discards a card. If this spell was kicked, that player discards three cards instead.</t>
  </si>
  <si>
    <t>413e11a5-35a1-51c7-928b-219b4453a094</t>
  </si>
  <si>
    <t>Crenellated Wall</t>
  </si>
  <si>
    <t>MMQ</t>
  </si>
  <si>
    <t>{4}</t>
  </si>
  <si>
    <t>Artifact, Creature</t>
  </si>
  <si>
    <t>Wall</t>
  </si>
  <si>
    <t>Artifact Creature — Wall</t>
  </si>
  <si>
    <t>Defender</t>
  </si>
  <si>
    <t>Defender (This creature can't attack.)\n{T}: Target creature gets +0/+4 until end of turn.</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</si>
  <si>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</si>
  <si>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</si>
  <si>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</si>
  <si>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</si>
  <si>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</si>
  <si>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</si>
  <si>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</si>
  <si>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</si>
  <si>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</si>
  <si>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</si>
  <si>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</si>
  <si>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</si>
  <si>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</si>
  <si>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</si>
  <si>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</si>
  <si>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</si>
  <si>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</si>
  <si>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</si>
  <si>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</si>
  <si>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</si>
  <si>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</si>
  <si>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</si>
  <si>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</si>
  <si>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</si>
  <si>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</si>
  <si>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</si>
  <si>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</si>
  <si>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</si>
  <si>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</si>
  <si>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</si>
  <si>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</si>
  <si>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</si>
  <si>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</si>
  <si>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</si>
  <si>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</si>
  <si>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</si>
  <si>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</si>
  <si>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</si>
  <si>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</si>
  <si>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</si>
  <si>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</si>
  <si>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</si>
  <si>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</si>
  <si>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</si>
  <si>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</si>
  <si>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</si>
  <si>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</si>
  <si>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</si>
  <si>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</si>
  <si>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</si>
  <si>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</si>
  <si>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</si>
  <si>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</si>
  <si>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</si>
  <si>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</si>
  <si>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</si>
  <si>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</si>
  <si>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</si>
  <si>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{"nonfoil": ["82697abd-23fa-5ab8-8fd4-c835c77bdc7c", "abb81fe0-95ce-5abf-b4a3-a09beea5732b", "cbd26a74-d0fd-5a8e-8f28-61f759dc3675"]}</t>
  </si>
  <si>
    <t>Mark Winters</t>
  </si>
  <si>
    <t>3d8a379d-f4e8-440d-99d5-5ec107757348</t>
  </si>
  <si>
    <t>"When we were lost and weary, the ainok showed us how to survive. They have earned the right to call themselves Abzan, and to wear the Scale."\n—Anafenza, khan of the Abzan</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</si>
  <si>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</si>
  <si>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</si>
  <si>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</si>
  <si>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</si>
  <si>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</si>
  <si>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</si>
  <si>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</si>
  <si>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</si>
  <si>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</si>
  <si>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First strike, Flying, Lifelink, Vigilance</t>
  </si>
  <si>
    <t>meld</t>
  </si>
  <si>
    <t>15b</t>
  </si>
  <si>
    <t>Flying, first strike, vigilance, lifelink\nYour opponents can't cast spells with converted mana cost 3 or less.</t>
  </si>
  <si>
    <t>6081d8fd-26e1-5e6a-9c98-417d03214856, 5bb79a0f-ad7d-5383-8c9d-04bc757bcb4f</t>
  </si>
  <si>
    <t>EMN, INR, PEMN, SIR, SLD, V17</t>
  </si>
  <si>
    <t>b</t>
  </si>
  <si>
    <t>Eldrazi, Angel</t>
  </si>
  <si>
    <t>Flying, first strike, vigilance, lifelink\nYour opponents can't cast spells with mana value 3 or less.</t>
  </si>
  <si>
    <t>Legendary Creature — Eldrazi Angel</t>
  </si>
  <si>
    <t>1b18ca2b-4e5e-54c1-bf43-1f32afa75f78</t>
  </si>
  <si>
    <t>Bastien L. Deharme</t>
  </si>
  <si>
    <t>798f63ec-41ad-474e-9708-df08193345c6</t>
  </si>
  <si>
    <t>mtgo</t>
  </si>
  <si>
    <t>BRO, PBRO, PRM</t>
  </si>
  <si>
    <t>Winona Nelson</t>
  </si>
  <si>
    <t>e45fe8d3-75d6-42c9-a2df-e945ad81ea27</t>
  </si>
  <si>
    <t>"I never thought I'd miss the gomazoa."\n—Trinda, Hada spy patrol</t>
  </si>
  <si>
    <t>devoid</t>
  </si>
  <si>
    <t>Devoid (This card has no color.)\nFlying\nWhenever you cast a colorless spell, target opponent exiles the top card of his or her library.</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</si>
  <si>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</si>
  <si>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</si>
  <si>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</si>
  <si>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</si>
  <si>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</si>
  <si>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</si>
  <si>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</si>
  <si>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</si>
  <si>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</si>
  <si>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</si>
  <si>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legendary, inverted</t>
  </si>
  <si>
    <t>{"brawl": false, "commander": true, "oathbreaker": false}</t>
  </si>
  <si>
    <t>serialized, doublerainbow, boosterfun</t>
  </si>
  <si>
    <t>triangle</t>
  </si>
  <si>
    <t>{"foil": ["4c79255e-0f04-584d-a8d9-6df6a4c5e3c0"]}</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</si>
  <si>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</si>
  <si>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</si>
  <si>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</si>
  <si>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</si>
  <si>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</si>
  <si>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</si>
  <si>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</si>
  <si>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</si>
  <si>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</si>
  <si>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Flying, first strike, lifelink\nAt the beginning of your end step, if you both own and control Gisela, the Broken Blade and a creature named Bruna, the Fading Light, exile them, then meld them into Brisela, Voice of Nightmares.</t>
  </si>
  <si>
    <t>{"foil": ["4253efbd-cc76-53e3-a54c-9f4012f3c097"], "nonfoil": ["4253efbd-cc76-53e3-a54c-9f4012f3c097"]}</t>
  </si>
  <si>
    <t>Ryan Pancoast</t>
  </si>
  <si>
    <t>89cc9475-dda2-4d13-bf88-54b92867a25c</t>
  </si>
  <si>
    <t>"Don't be fooled. If it were as docile as it looks, it would've died off long ago."\n—Yon Basrel, Oran-Rief survivalist</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</si>
  <si>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</si>
  <si>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</si>
  <si>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</si>
  <si>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</si>
  <si>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</si>
  <si>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</si>
  <si>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</si>
  <si>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</si>
  <si>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</si>
  <si>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</si>
  <si>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When you cast Bruna, the Fading Light, you may return target Angel or Human creature card from your graveyard to the battlefield.\nFlying, vigilance\n(Melds with Gisela, the Broken Blade.)</t>
  </si>
  <si>
    <t>When you cast this spell, you may return target Angel or Human creature card from your graveyard to the battlefield.\nFlying, vigilance\n(Melds with Gisela, the Broken Blade.)</t>
  </si>
  <si>
    <t>6081d8fd-26e1-5e6a-9c98-417d03214856</t>
  </si>
  <si>
    <t>Zack Stella</t>
  </si>
  <si>
    <t>17bc7f55-958b-43f4-bb40-09746d05b3f9</t>
  </si>
  <si>
    <t>188s</t>
  </si>
  <si>
    <t>prerelease, datestamped</t>
  </si>
  <si>
    <t>8ED, ICE</t>
  </si>
  <si>
    <t>{"nonfoil": ["336c0f3c-7922-530d-b687-ca056692d873", "57d8c3aa-7e9f-5cd0-bc47-3686d9958d8b"]}</t>
  </si>
  <si>
    <t>Yigit Koroglu</t>
  </si>
  <si>
    <t>a24479f8-6d9e-40f9-bede-f29899922b97</t>
  </si>
  <si>
    <t>"A great wave crashed, and a mighty wind blew out the stars."\n—*The Cosmogony*</t>
  </si>
  <si>
    <t>Dan Frazier</t>
  </si>
  <si>
    <t>059bba56-5feb-42e4-8c2e-e2f1e6ba11f9</t>
  </si>
  <si>
    <t>white</t>
  </si>
  <si>
    <t>Take a creature from your graveyard and put it directly into play. Treat this creature as though it were just summoned.</t>
  </si>
  <si>
    <t>2ED, 30A, 3ED, CED, CEI, F08, FBB, LEA, LEB, PLST, PRM, SUM, TD0, TSB, UMA</t>
  </si>
  <si>
    <t>{"nonfoil": ["4ebfc88d-eea7-599e-ba79-c86020d1c1e2", "9b04b8ff-5402-5553-a531-323a38d8c4a4"]}</t>
  </si>
  <si>
    <t>Grzegorz Rutkowski</t>
  </si>
  <si>
    <t>b5f49d0d-8056-48e3-b614-090e656b4f9c</t>
  </si>
  <si>
    <t>arena, paper</t>
  </si>
  <si>
    <t>Reach (This creature can block creatures with flying.)\nYou may play lands from your graveyard.\nIf a land entering the battlefield causes a triggered ability of a permanent you control to trigger, that ability triggers an additional time.</t>
  </si>
  <si>
    <t>{"nonfoil": ["4498a9bc-294c-5036-91e5-031880296db8"]}</t>
  </si>
  <si>
    <t>Ron Spencer</t>
  </si>
  <si>
    <t>dab52c11-0564-4207-a4a1-c1735c946a65</t>
  </si>
  <si>
    <t>FEM, ME2</t>
  </si>
  <si>
    <t>{"nonfoil": ["cbbd7529-f4d9-53ac-bd3f-a55bd930c679"]}</t>
  </si>
  <si>
    <t>Heather Hudson</t>
  </si>
  <si>
    <t>4441fe52-9e41-40c1-9b74-8510426279ab</t>
  </si>
  <si>
    <t>"All things must eat, after all. Even the air can hunger."\n—Gemma, Willow Priestess</t>
  </si>
  <si>
    <t>88a</t>
  </si>
  <si>
    <t>5ED, HML, ME1</t>
  </si>
  <si>
    <t>{"nonfoil": ["c9de01e3-8ad0-5efa-a5f4-4cfeac03e5c7"]}</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</si>
  <si>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</si>
  <si>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</si>
  <si>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</si>
  <si>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</si>
  <si>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</si>
  <si>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</si>
  <si>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</si>
  <si>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{"foil": ["6dea76a3-dab9-5707-9181-635f24535a5b"], "nonfoil": ["6dea76a3-dab9-5707-9181-635f24535a5b"]}</t>
  </si>
  <si>
    <t>Lenka Šimečková</t>
  </si>
  <si>
    <t>c9e04828-8fcb-47ba-aadc-4005d43a79f4</t>
  </si>
  <si>
    <t>borderless</t>
  </si>
  <si>
    <t>G, U</t>
  </si>
  <si>
    <t>showcase, legendary, inverted</t>
  </si>
  <si>
    <t>boosterfun</t>
  </si>
  <si>
    <t>{"foil": ["2d252e89-9965-5f23-907e-7a98726d7fac", "c3727661-aaa8-5fc8-985e-93b619c3ef05"], "nonfoil": ["2d252e89-9965-5f23-907e-7a98726d7fac", "c3727661-aaa8-5fc8-985e-93b619c3ef05"]}</t>
  </si>
  <si>
    <t>Andreas Rocha</t>
  </si>
  <si>
    <t>d084e74b-f63a-4107-b72c-ed6250ecc93b</t>
  </si>
  <si>
    <t>{"nonfoil": ["1eb46285-39db-5049-be86-bc2d50b91d77", "57be20bf-5950-5969-b16b-047aaf6e5010", "89a4fe76-d836-5b5c-bde4-49358f23810c", "c654b999-069f-5af8-8e41-87d6282f9dfd"]}</t>
  </si>
  <si>
    <t>Alan Pollack</t>
  </si>
  <si>
    <t>70c20ea3-5ad6-4082-a337-6e994ae5828e</t>
  </si>
  <si>
    <t>LGN-12</t>
  </si>
  <si>
    <t>LGN, PLST, VMA</t>
  </si>
  <si>
    <t>{"nonfoil": ["1db93605-0a4e-5e5b-80a2-18a6e177f51d"]}</t>
  </si>
  <si>
    <t>Steve White</t>
  </si>
  <si>
    <t>674a172f-e11a-458b-a681-964726a0c320</t>
  </si>
  <si>
    <t>"It moved this way, an' that way, an' then before I could stick it, it jumped over my head an' was gone."\n—Jula, goblin raider</t>
  </si>
  <si>
    <t>Viashino Runner cannot be blocked by only one creature.</t>
  </si>
  <si>
    <t>10E, USG</t>
  </si>
  <si>
    <t>{"nonfoil": ["96772e6d-0aba-5362-ab10-d5f3f6d23634", "c901ab11-9d40-5fc1-a603-470b42f4b48b", "fc38f6c9-a9a2-544a-9b76-1a3a007e5ea5"]}</t>
  </si>
  <si>
    <t>James Ryman</t>
  </si>
  <si>
    <t>3852bbc9-11c0-4fe3-8722-a06ad7e2bcc5</t>
  </si>
  <si>
    <t>"Justice isn't done until undeath is undone."</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</si>
  <si>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</si>
  <si>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</si>
  <si>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</si>
  <si>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</si>
  <si>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</si>
  <si>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</si>
  <si>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</si>
  <si>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</si>
  <si>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{"nonfoil": ["b966f472-6bd1-55a5-9e13-235320a03bb2"]}</t>
  </si>
  <si>
    <t>Mark Brill</t>
  </si>
  <si>
    <t>46dc4b5e-e42c-4d65-a4f3-ad75b0f6f6dd</t>
  </si>
  <si>
    <t>PCY-90</t>
  </si>
  <si>
    <t>PCY, PLST, WC00</t>
  </si>
  <si>
    <t>John Stanko</t>
  </si>
  <si>
    <t>b0f038a0-73b5-4806-918e-9cd11b5f92e1</t>
  </si>
  <si>
    <t>Right before his demise, he experienced a shattering revelation.</t>
  </si>
  <si>
    <t>{"etched": ["16d143d9-e957-54bc-8344-87a7ed85666d"], "foil": ["16d143d9-e957-54bc-8344-87a7ed85666d", "1fc1a634-d083-59eb-8194-2e6da14e912e", "ad26d972-c187-5109-ba88-301a89762c34"], "nonfoil": ["1fc1a634-d083-59eb-8194-2e6da14e912e", "ad26d972-c187-5109-ba88-301a89762c34"]}</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</si>
  <si>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</si>
  <si>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</si>
  <si>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</si>
  <si>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</si>
  <si>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</si>
  <si>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</si>
  <si>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</si>
  <si>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</si>
  <si>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</si>
  <si>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</si>
  <si>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</si>
  <si>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</si>
  <si>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</si>
  <si>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</si>
  <si>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</si>
  <si>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</si>
  <si>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</si>
  <si>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</si>
  <si>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</si>
  <si>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</si>
  <si>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</si>
  <si>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</si>
  <si>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{"foil": ["6b307a92-0a52-5ecc-aaeb-1fa4180ec7ad"], "nonfoil": ["7c02f937-ddc8-57af-9cf7-a09f7c0be1c3"]}</t>
  </si>
  <si>
    <t>Arnie Swekel</t>
  </si>
  <si>
    <t>af10ecf2-eb82-4100-97b2-6c236b0fa644</t>
  </si>
  <si>
    <t>Mercadian soldiers excel at finding things to stand behind.</t>
  </si>
  <si>
    <t>MMQ, PLST</t>
  </si>
  <si>
    <t>{"foil": ["65bc1540-791e-5561-b050-658c4e65e28f"], "nonfoil": ["1c7870eb-5ce3-5be0-b0fb-644bfe832d14", "65bc1540-791e-5561-b050-658c4e65e28f", "b783fe2e-16f4-5dac-944a-73377ccfb2b8"]}</t>
  </si>
  <si>
    <t>Carl Critchlow</t>
  </si>
  <si>
    <t>17948f16-611a-44b8-8d10-9895a0bdfff1</t>
  </si>
  <si>
    <t>Gerrard offered no defense to Orim's condemnation; the mission was under his command, and he was responsible.</t>
  </si>
  <si>
    <t>Sacrifice any number of permanents. You gain 2 life for each one sacrificed this way.</t>
  </si>
  <si>
    <t>{"foil": ["65bc1540-791e-5561-b050-658c4e65e28f"], "nonfoil": ["1c7870eb-5ce3-5be0-b0fb-644bfe832d14", "65bc1540-791e-5561-b050-658c4e65e28f"]}</t>
  </si>
  <si>
    <t>Howard Lyon</t>
  </si>
  <si>
    <t>6dd06426-59fe-4b9c-aad5-6da8446a5c3d</t>
  </si>
  <si>
    <t>{"brawl": false, "commander": false, "oathbreaker": true}</t>
  </si>
  <si>
    <t>X</t>
  </si>
  <si>
    <t>+2: Scry 2.\n0: Look at the top card of your library. If it's a land card or a creature card with converted mana cost less than or equal to the number of loyalty counters on Nissa, Steward of Elements, you may put that card onto the battlefield.\n−6: Untap up to two target lands you control. They become 5/5 Elemental creatures with flying and haste until end of turn. They're still lands.</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</si>
  <si>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</si>
  <si>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</si>
  <si>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</si>
  <si>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</si>
  <si>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</si>
  <si>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</si>
  <si>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</si>
  <si>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</si>
  <si>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</si>
  <si>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</si>
  <si>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</si>
  <si>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</si>
  <si>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</si>
  <si>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</si>
  <si>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</si>
  <si>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</si>
  <si>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</si>
  <si>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</si>
  <si>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</si>
  <si>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</si>
  <si>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</si>
  <si>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</si>
  <si>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</si>
  <si>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</si>
  <si>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</si>
  <si>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</si>
  <si>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{"reverseRelated": ["Otterball Antics", "Ral, Crackling Wit", "Stormchaser's Talent"]}</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</si>
  <si>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</si>
  <si>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</si>
  <si>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</si>
  <si>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</si>
  <si>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</si>
  <si>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</si>
  <si>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</si>
  <si>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</si>
  <si>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</si>
  <si>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</si>
  <si>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</si>
  <si>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</si>
  <si>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</si>
  <si>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</si>
  <si>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</si>
  <si>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</si>
  <si>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</si>
  <si>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</si>
  <si>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</si>
  <si>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</si>
  <si>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</si>
  <si>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</si>
  <si>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</si>
  <si>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</si>
  <si>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</si>
  <si>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</si>
  <si>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</si>
  <si>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</si>
  <si>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</si>
  <si>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</si>
  <si>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{"reverseRelated": ["Burn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</si>
  <si>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</si>
  <si>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</si>
  <si>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</si>
  <si>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</si>
  <si>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{"reverseRelated": ["Verix Bladewing"]}</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</si>
  <si>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</si>
  <si>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</si>
  <si>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</si>
  <si>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</si>
  <si>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</si>
  <si>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</si>
  <si>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</si>
  <si>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</si>
  <si>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</si>
  <si>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</si>
  <si>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</si>
  <si>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</si>
  <si>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</si>
  <si>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</si>
  <si>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</si>
  <si>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</si>
  <si>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</si>
  <si>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</si>
  <si>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</si>
  <si>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</si>
  <si>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</si>
  <si>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</si>
  <si>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</si>
  <si>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</si>
  <si>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</si>
  <si>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</si>
  <si>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</si>
  <si>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</si>
  <si>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</si>
  <si>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</si>
  <si>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</si>
  <si>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</si>
  <si>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</si>
  <si>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</si>
  <si>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</si>
  <si>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</si>
  <si>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</si>
  <si>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</si>
  <si>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</si>
  <si>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hasFoil</t>
  </si>
  <si>
    <t>hasNonFoil</t>
  </si>
  <si>
    <t>isAlternative</t>
  </si>
  <si>
    <t>isFullArt</t>
  </si>
  <si>
    <t>isFunny</t>
  </si>
  <si>
    <t>isOnlineOnly</t>
  </si>
  <si>
    <t>isOversized</t>
  </si>
  <si>
    <t>isPromo</t>
  </si>
  <si>
    <t>isRebalanced</t>
  </si>
  <si>
    <t>isReprint</t>
  </si>
  <si>
    <t>isReserved</t>
  </si>
  <si>
    <t>isStarter</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</si>
  <si>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</si>
  <si>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</si>
  <si>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</si>
  <si>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</si>
  <si>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</si>
  <si>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</si>
  <si>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</si>
  <si>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</si>
  <si>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</si>
  <si>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</si>
  <si>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</si>
  <si>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</si>
  <si>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</si>
  <si>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</si>
  <si>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originalType</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</si>
  <si>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</si>
  <si>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</si>
  <si>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</si>
  <si>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</si>
  <si>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</si>
  <si>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</si>
  <si>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</si>
  <si>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</si>
  <si>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</si>
  <si>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</si>
  <si>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</si>
  <si>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</si>
  <si>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</si>
  <si>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</si>
  <si>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</si>
  <si>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</si>
  <si>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</si>
  <si>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</si>
  <si>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</si>
  <si>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</si>
  <si>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</si>
  <si>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</si>
  <si>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</si>
  <si>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</si>
  <si>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</si>
  <si>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</si>
  <si>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</si>
  <si>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</si>
  <si>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</si>
  <si>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</si>
  <si>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</si>
  <si>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</si>
  <si>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</si>
  <si>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</si>
  <si>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</si>
  <si>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</si>
  <si>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</si>
  <si>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</si>
  <si>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</si>
  <si>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</si>
  <si>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</si>
  <si>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</si>
  <si>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</si>
  <si>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</si>
  <si>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</si>
  <si>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</si>
  <si>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</si>
  <si>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</si>
  <si>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</si>
  <si>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</si>
  <si>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</si>
  <si>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</si>
  <si>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</si>
  <si>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</si>
  <si>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</si>
  <si>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</si>
  <si>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</si>
  <si>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{"reverseRelated": ["Acererak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</si>
  <si>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</si>
  <si>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72</t>
  </si>
  <si>
    <t>51</t>
  </si>
  <si>
    <t>35</t>
  </si>
  <si>
    <t>April Prime</t>
  </si>
  <si>
    <t>266f773b-5c80-4803-9b95-5a985af90548</t>
  </si>
  <si>
    <t>Cat</t>
  </si>
  <si>
    <t>5</t>
  </si>
  <si>
    <t>{"reverseRelated": ["Ajani's Chosen", "Ajani, Caller of the Pride", "Kemba, Kha Enduring", "Kemba, Kha Regent", "White Sun's Zenith"]}</t>
  </si>
  <si>
    <t>Ajani's Chosen, Ajani, Caller of the Pride, Kemba, Kha Enduring, Kemba, Kha Regent, White Sun's Zenith</t>
  </si>
  <si>
    <t>TWOC</t>
  </si>
  <si>
    <t>Token Creature — Cat</t>
  </si>
  <si>
    <t>16d88c3b-e766-50ba-8086-917159167368</t>
  </si>
  <si>
    <t>59</t>
  </si>
  <si>
    <t>25</t>
  </si>
  <si>
    <t>1</t>
  </si>
  <si>
    <t>{"reverseRelated": ["Dog Walker", "Hunted Bonebrute", "Krovod Haunch", "Release the Dogs", "Rin and Seri, Inseparable // Rin and Seri, Inseparable"]}</t>
  </si>
  <si>
    <t>Dog Walker, Hunted Bonebrute, Krovod Haunch, Release the Dogs, Rin and Seri, Inseparable // Rin and Seri, Inseparable</t>
  </si>
  <si>
    <t>32</t>
  </si>
  <si>
    <t>Season of Weaving</t>
  </si>
  <si>
    <t>Season of Weaving // Season of Weaving</t>
  </si>
  <si>
    <t>12</t>
  </si>
  <si>
    <t>135a9490-d909-58cf-b069-fda758ec14ea</t>
  </si>
  <si>
    <t>ABLB</t>
  </si>
  <si>
    <t>b3f7e41e-3606-56d0-88c5-82360063aecd</t>
  </si>
  <si>
    <t>10</t>
  </si>
  <si>
    <t>{"reverseRelated": ["A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</si>
  <si>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</si>
  <si>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Island</t>
  </si>
  <si>
    <t>Island // Island</t>
  </si>
  <si>
    <t>22</t>
  </si>
  <si>
    <t>5105c4cc-3589-555b-8e96-645e6744a7a5</t>
  </si>
  <si>
    <t>AFDN</t>
  </si>
  <si>
    <t>f565a88d-d448-5c12-90b3-23922d47b9f9</t>
  </si>
  <si>
    <t>66</t>
  </si>
  <si>
    <t>31</t>
  </si>
  <si>
    <t>id</t>
  </si>
  <si>
    <t>Setcode</t>
  </si>
  <si>
    <t>Path</t>
  </si>
  <si>
    <t>Keywords</t>
  </si>
  <si>
    <t>baseSetSize</t>
  </si>
  <si>
    <t>block</t>
  </si>
  <si>
    <t>cardsphereSetId</t>
  </si>
  <si>
    <t>code</t>
  </si>
  <si>
    <t>isFoilOnly</t>
  </si>
  <si>
    <t>isForeignOnly</t>
  </si>
  <si>
    <t>isNonFoilOnly</t>
  </si>
  <si>
    <t>isPartialPreview</t>
  </si>
  <si>
    <t>keyruneCode</t>
  </si>
  <si>
    <t>languages</t>
  </si>
  <si>
    <t>mcmId</t>
  </si>
  <si>
    <t>mcmIdExtras</t>
  </si>
  <si>
    <t>mcmName</t>
  </si>
  <si>
    <t>mtgoCode</t>
  </si>
  <si>
    <t>parentCode</t>
  </si>
  <si>
    <t>releaseDate</t>
  </si>
  <si>
    <t>tcgplayerGroupId</t>
  </si>
  <si>
    <t>tokenSetCode</t>
  </si>
  <si>
    <t>totalSetSize</t>
  </si>
  <si>
    <t>Core Set</t>
  </si>
  <si>
    <t>English, French, German, Italian</t>
  </si>
  <si>
    <t>Revised Edition</t>
  </si>
  <si>
    <t>core</t>
  </si>
  <si>
    <t>Mirrodin</t>
  </si>
  <si>
    <t>Chinese Simplified, English, French, German, Italian, Japanese, Portuguese (Brazil), Spanish</t>
  </si>
  <si>
    <t>Fifth Dawn</t>
  </si>
  <si>
    <t>expansion</t>
  </si>
  <si>
    <t>BLB</t>
  </si>
  <si>
    <t>Bloomburrow Art Series</t>
  </si>
  <si>
    <t>memorabilia</t>
  </si>
  <si>
    <t>CLB</t>
  </si>
  <si>
    <t>Battle for Baldur's Gate Art Series</t>
  </si>
  <si>
    <t>FDN</t>
  </si>
  <si>
    <t>Foundations Art Series</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</si>
  <si>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</si>
  <si>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</si>
  <si>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</si>
  <si>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</si>
  <si>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</si>
  <si>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</si>
  <si>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</si>
  <si>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</si>
  <si>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</si>
  <si>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</si>
  <si>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</si>
  <si>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</si>
  <si>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</si>
  <si>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</si>
  <si>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</si>
  <si>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</si>
  <si>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Chinese Simplified, Chinese Traditional, English, French, German, Italian, Japanese, Korean, Portuguese (Brazil), Russian, Spanish</t>
  </si>
  <si>
    <t>TBFZ</t>
  </si>
  <si>
    <t>English, French, German, Italian, Japanese, Spanish</t>
  </si>
  <si>
    <t>Bloomburrow</t>
  </si>
  <si>
    <t>DOM</t>
  </si>
  <si>
    <t>Dominaria</t>
  </si>
  <si>
    <t>DAR</t>
  </si>
  <si>
    <t>Commander</t>
  </si>
  <si>
    <t>DSC</t>
  </si>
  <si>
    <t>Duskmourn: House of Horror Commander</t>
  </si>
  <si>
    <t>DSK</t>
  </si>
  <si>
    <t>commander</t>
  </si>
  <si>
    <t>Throne of Eldraine</t>
  </si>
  <si>
    <t>TELD</t>
  </si>
  <si>
    <t>Fallen Empires</t>
  </si>
  <si>
    <t>Foundations Jumpstart Front Cards</t>
  </si>
  <si>
    <t>Guilds of Ravnica</t>
  </si>
  <si>
    <t>TGRN</t>
  </si>
  <si>
    <t>English, French, German, Italian, Portuguese (Brazil), Spanish</t>
  </si>
  <si>
    <t>Homelands</t>
  </si>
  <si>
    <t>Ice Age</t>
  </si>
  <si>
    <t>Chinese Simplified, English, Japanese</t>
  </si>
  <si>
    <t>Iconic Masters</t>
  </si>
  <si>
    <t>TIMA</t>
  </si>
  <si>
    <t>Invasion</t>
  </si>
  <si>
    <t>Chinese Simplified, Chinese Traditional, English, French, German, Italian, Japanese, Portuguese (Brazil), Spanish</t>
  </si>
  <si>
    <t>IN</t>
  </si>
  <si>
    <t>Foundations Jumpstart</t>
  </si>
  <si>
    <t>draft_innovation</t>
  </si>
  <si>
    <t>Theros</t>
  </si>
  <si>
    <t>Journey into Nyx</t>
  </si>
  <si>
    <t>TJOU</t>
  </si>
  <si>
    <t>Lorwyn</t>
  </si>
  <si>
    <t>Chinese Simplified, English, French, German, Italian, Japanese, Portuguese (Brazil), Russian, Spanish</t>
  </si>
  <si>
    <t>TLRW</t>
  </si>
  <si>
    <t>M11</t>
  </si>
  <si>
    <t>Chinese Simplified, Chinese Traditional, English, French, German, Italian, Japanese, Portuguese (Brazil), Russian, Spanish</t>
  </si>
  <si>
    <t>Magic 2011</t>
  </si>
  <si>
    <t>M3C</t>
  </si>
  <si>
    <t>English, French, German, Japanese</t>
  </si>
  <si>
    <t>Modern Horizons 3 Commander</t>
  </si>
  <si>
    <t>Masters Edition III</t>
  </si>
  <si>
    <t>Modern Horizons 2</t>
  </si>
  <si>
    <t>TMH2</t>
  </si>
  <si>
    <t>Innistrad: Midnight Hunt</t>
  </si>
  <si>
    <t>TMID</t>
  </si>
  <si>
    <t>MKM</t>
  </si>
  <si>
    <t>Murders at Karlov Manor</t>
  </si>
  <si>
    <t>Masques</t>
  </si>
  <si>
    <t>Chinese Traditional, English, French, German, Italian, Japanese, Portuguese (Brazil), Spanish</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</si>
  <si>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</si>
  <si>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</si>
  <si>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</si>
  <si>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</si>
  <si>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</si>
  <si>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</si>
  <si>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</si>
  <si>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</si>
  <si>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</si>
  <si>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</si>
  <si>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</si>
  <si>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</si>
  <si>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</si>
  <si>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</si>
  <si>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</si>
  <si>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</si>
  <si>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</si>
  <si>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</si>
  <si>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</si>
  <si>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</si>
  <si>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</si>
  <si>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</si>
  <si>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</si>
  <si>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</si>
  <si>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</si>
  <si>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</si>
  <si>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</si>
  <si>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</si>
  <si>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Chinese Simplified, Chinese Traditional, English, French, German, Italian, Japanese, Korean, Portuguese (Brazil), Spanish</t>
  </si>
  <si>
    <t>Urza's Saga</t>
  </si>
  <si>
    <t>UZ</t>
  </si>
  <si>
    <t>Doctor Who</t>
  </si>
  <si>
    <t>TWHO</t>
  </si>
  <si>
    <t>WOC</t>
  </si>
  <si>
    <t>English, German, Italian, Japanese, Portuguese (Brazil), Spanish</t>
  </si>
  <si>
    <t>Wilds of Eldraine Commander</t>
  </si>
  <si>
    <t>WOE</t>
  </si>
  <si>
    <t>Zendikar</t>
  </si>
  <si>
    <t>TZEN</t>
  </si>
  <si>
    <t>Chinese Simplified, English, French, German, Italian, Japanese, Spanish</t>
  </si>
  <si>
    <t>Assassin's Creed</t>
  </si>
  <si>
    <t>TACR</t>
  </si>
  <si>
    <t>Shadows over Innistrad</t>
  </si>
  <si>
    <t>Eldritch Moon</t>
  </si>
  <si>
    <t>TEMN</t>
  </si>
  <si>
    <t>SetName</t>
  </si>
  <si>
    <t>isGameChanger</t>
  </si>
  <si>
    <t>printedName</t>
  </si>
  <si>
    <t>printedText</t>
  </si>
  <si>
    <t>printedType</t>
  </si>
  <si>
    <t>J25, OTC, PRM, PZNR, SLD, ZNR</t>
  </si>
  <si>
    <t>Reach (This creature can block creatures with flying.)\nYou may play lands from your graveyard.\nIf a land entering causes a triggered ability of a permanent you control to trigger, that ability triggers an additional time.</t>
  </si>
  <si>
    <t>Flying\nWhen this creature enters, exile all Zombies, then return all Human creature cards from your graveyard to the battlefield.</t>
  </si>
  <si>
    <t>15</t>
  </si>
  <si>
    <t>(Walls can't attack.)\nocT: Target creature gets +0/+4 until end of turn.</t>
  </si>
  <si>
    <t>Devoid (This card has no color.)Ingest (Whenever this creature deals combat damage to a player, that player exiles the top card of his or her library.)</t>
  </si>
  <si>
    <t>{"foil": ["37e28375-f5ba-51e8-8e11-b6830a33b669", "508def12-08d0-5800-bc48-3615e04bed1e"], "nonfoil": ["37e28375-f5ba-51e8-8e11-b6830a33b669", "d0533d35-75aa-5764-8bd0-3f2c76d805ce", "df4abe32-43a3-5e35-8809-3b9be9a54825"]}</t>
  </si>
  <si>
    <t>{"foil": ["b00f5117-4990-5b66-88fc-da76dabf5293", "dbecee60-807c-5627-9090-d2114a897fcd"], "nonfoil": ["236711ef-2574-5a52-ada8-9b1f7f80c9a7", "378dd83c-121e-5b5a-b303-2bd7ad263313", "b5495422-e733-5142-8e84-902bc81e62ca", "ceb9dc37-df20-5ea6-884d-c41ecf4b7a4d", "d3421e33-7b17-58a9-b6d4-acc3b077a93f", "dbecee60-807c-5627-9090-d2114a897fcd"]}</t>
  </si>
  <si>
    <t>Provoke (Whenever this creature attacks, you may have target creature defending player controls untap and block it if able.)\n{1}{W}: Prevent all combat damage that would be dealt to and dealt by this creature this turn.</t>
  </si>
  <si>
    <t>{"foil": ["089080a6-6828-50c3-9101-7dde35781608", "ef9b5f95-e25a-5a7f-ade5-a78df463ebe6", "fa9fd548-d5b0-5d79-adbe-8682cb96384d"], "nonfoil": ["089080a6-6828-50c3-9101-7dde35781608", "38c6c6f8-2cbe-566e-85b5-6caba302d843", "4ab6ae94-f60e-54f2-a482-cf2c70105f6b"]}</t>
  </si>
  <si>
    <t>{"foil": ["ef8281b6-54ab-578a-baec-62f5c79977c0", "fc41a40e-dc96-5a40-b5f5-29e993d1a5e1"], "nonfoil": ["20f4e2ee-2cf9-5248-b78b-067e2f8cdc03", "8f1fcc1c-d6aa-5e8e-989d-0db882750641", "ef8281b6-54ab-578a-baec-62f5c79977c0"]}</t>
  </si>
  <si>
    <t>{3}{R}, Sacrifice this enchantment: It deals 5 damage to target player or planeswalker.</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</si>
  <si>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ELD, EOE, EVG, FBB, FDN,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SNC, SOI, SOM, SPM, STX, SUM, TD0, TD2, TDM, THB, THS, TLA, TMP, TPR, TSP, UGL, UND, UNF, UNH, USG, UST, VOW, WAR, WC00, WC01, WC02, WC03, WC04, WC97, WC98, WC99, WHO, WOE, XANA, XLN, ZEN, ZNR</t>
  </si>
  <si>
    <t>Whenever you draw your second card each turn, each opponent loses 2 life and you gain 2 life.\nWhen this creature dies, return another target creature card with mana value 3 or less from your graveyard to the battlefield.</t>
  </si>
  <si>
    <t>Haste\nWhen Glarewielder comes into play, up to two target creatures can't block this turn.\nEvoke {1R} (You may play this spell for its evoke cost. If you do, it's sacrificed when it comes into play.)</t>
  </si>
  <si>
    <t>{"foil": ["17d7dd33-f196-53f9-aa62-f12b5a5a32b4", "8e0fd374-3d5a-509d-b778-919c9cbec9f1"], "nonfoil": ["17d7dd33-f196-53f9-aa62-f12b5a5a32b4", "220a5e02-5213-5d46-a9d1-d322b74f05a6", "e6b1e5bf-a329-54f7-ac5e-8fe8898458ae"]}</t>
  </si>
  <si>
    <t>Haste\nWhen this creature enters, up to two target creatures can't block this turn.\nEvoke {1}{R} (You may cast this spell for its evoke cost. If you do, it's sacrificed when it enters.)</t>
  </si>
  <si>
    <t>{"foil": ["303528b0-8f1d-5ee0-bae1-55147d9510da", "a2630e5d-f1ae-53b8-b5e2-938d77123f73"], "nonfoil": ["337ea5f6-8a3f-5259-ba21-76ac4104459a", "5cd87b3b-e80e-5d49-83ba-96435fe9df2e", "a2630e5d-f1ae-53b8-b5e2-938d77123f73", "ab50bceb-299c-5cdb-a01d-d66bdf9a2b7c", "ca3b78cc-456e-5e0b-846a-1b5b4f297aea"]}</t>
  </si>
  <si>
    <t>{"foil": ["1772b60a-f041-51d9-b86b-dc79d6b65070", "c1fe2d1a-a7d0-5eb8-94dc-7379ad4414ee"], "nonfoil": ["054a8581-a827-5b8b-a29b-eea32ad0f6a7", "08053503-4a37-5707-ab7c-3e0984c6e749", "0e8bd314-6d5b-53cb-a988-6e71a69a9a31", "1772b60a-f041-51d9-b86b-dc79d6b65070", "28298b47-d511-5582-81d2-e457561a8049", "301a90fe-bd76-5fa7-910c-7cbe20c104c8", "354609f4-fd88-541d-9399-0f08605a4600", "9e700fb5-3cfd-5816-ba24-62d1b6ba40de", "aa125eaf-d21d-5f1e-ad97-ae27f50e49d3", "be3c045b-5ca3-56d5-a38a-c5f24b517ea6", "d9885085-299e-5105-8a78-913d6a270c88", "e6b67874-ea3e-5ff3-a415-fcef29455c2e"]}</t>
  </si>
  <si>
    <t>During your upkeep, pay {G}{G} or bury Hungry Mist.</t>
  </si>
  <si>
    <t>At the beginning of your upkeep, sacrifice this creature unless you pay {G}{G}.</t>
  </si>
  <si>
    <t>Kicker {4} (You may pay an additional {4} as you play this spell.)\nTarget player discards a card from his or her hand. If you paid the kicker cost, that player discards three cards from his or her hand instead.</t>
  </si>
  <si>
    <t>{"foil": ["1ada4ff0-f518-5da4-83b8-db322b012329", "61b01e8e-f458-52b1-8df5-347b0da6066e", "e634446e-4111-5781-ba46-1161cb3abb5a"], "nonfoil": ["1971eacc-6305-5c8c-914d-663ae422c379", "2ddcf37e-b144-5a39-851e-edceb19ff129", "308d01d7-d39a-5165-a13f-46721cf60b29", "e634446e-4111-5781-ba46-1161cb3abb5a"]}</t>
  </si>
  <si>
    <t>{"foil": ["a72ed909-5fc3-5043-85f1-eae7f784c33b", "fb684793-38fa-5e34-bc75-34cff075443c"], "nonfoil": ["303d70f4-790d-5ccf-af92-fb6fe17c2311", "5609ba02-6888-54e1-8413-12c338e96afb", "fb684793-38fa-5e34-bc75-34cff075443c"]}</t>
  </si>
  <si>
    <t>[+2]: Scry 2.\n[0]: Look at the top card of your library. If it's a land card or a creature card with mana value less than or equal to the number of loyalty counters on Nissa, you may put that card onto the battlefield.\n[−6]: Untap up to two target lands you control. They become 5/5 Elemental creatures with flying and haste until end of turn. They're still lands.</t>
  </si>
  <si>
    <t>{"foil": ["21d471fb-dfea-5778-99ff-65a3e2264501", "61cb35b0-215b-5d52-bcd9-6f55e1769ab2", "f280c608-84ef-5371-bae2-801205b8f795"], "nonfoil": ["21d471fb-dfea-5778-99ff-65a3e2264501", "3d97f089-a37a-595c-9bfd-8ac368019c88", "f9e6cfe6-1676-52ea-b127-c1c8e20e890d"]}</t>
  </si>
  <si>
    <t>{"foil": ["62896f1f-8363-56ca-9453-5e71327a3f43", "ff372bd0-1e42-53ef-aa53-46498eeb9248"], "nonfoil": ["cf8e2e65-c19b-5af7-9f54-491020bd28ba", "ff372bd0-1e42-53ef-aa53-46498eeb9248"]}</t>
  </si>
  <si>
    <t>{G}, Sacrifice this creature: Counter target activated ability from an artifact source and destroy that artifact if it's on the battlefield. (Mana abilities can't be targeted.)</t>
  </si>
  <si>
    <t>10E, 2ED, 2XM, 30A, 3ED, 40K, 4BB, 4ED, 5ED, 6ED, 7ED, 8ED, 9ED, ACR, AFR, AKH, AKR, ALA, ANA, ANB, ARC, ATH, AVR, BBD, BFZ, BLB, BRB, BRC, BRO, C13, C14, C15, C16, C17, C18, C19, CED, CEI, CHK, CLB, CLU, CM2, CMA, CMD, CMM, CMR, CST, DDC, DDE, DDF, DDG, DDH, DDI, DDK, DDL, DDN, DDO, DDP, DDQ, DFT, DMR, DMU, DOM, DSK, DTK, DVD, E01, ELD, EOE, FBB, FDN,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PLST, PMPS, PMPS06, PMPS07, PMPS08, PMPS09, PMPS10, PMPS11, POR, PPP1, PRM, PRW2, PRWK, PS11, PSAL, PSS2, PSS3, PSS4, PTC, PTK, PZ2, RAV, REX, RIX, RNA, ROE, RQS, RTR, S99, SCD, SHM, SIR, SLD, SLP, SNC, SOI, SOM, SPM, STX, SUM, TD0, TD2, TDM, THB, THS, TLA, TLE, TMP, TPR, TSP, UGL, UND, UNF, UNH, USG, UST, VOW, WAR, WC00, WC02, WC03, WC04, WC97, WC98, WHO, WOE, XANA, XLN, ZEN, ZNR</t>
  </si>
  <si>
    <t>{"foil": ["37e28375-f5ba-51e8-8e11-b6830a33b669", "508def12-08d0-5800-bc48-3615e04bed1e"], "nonfoil": ["1f60d907-1bfa-5efa-b288-72b523570628", "37e28375-f5ba-51e8-8e11-b6830a33b669", "c53b5e9c-0403-5679-b896-27c1f5615c25", "df4abe32-43a3-5e35-8809-3b9be9a54825"]}</t>
  </si>
  <si>
    <t>MB2, MH2, SLD, SPG</t>
  </si>
  <si>
    <t>{"foil": ["16d143d9-e957-54bc-8344-87a7ed85666d", "1fc1a634-d083-59eb-8194-2e6da14e912e", "ad26d972-c187-5109-ba88-301a89762c34"], "nonfoil": ["1fc1a634-d083-59eb-8194-2e6da14e912e", "ad26d972-c187-5109-ba88-301a89762c34"]}</t>
  </si>
  <si>
    <t>{T}, Pay 1 life, Sacrifice this land: Search your library for a basic land card, put it onto the battlefield, then shuffle.</t>
  </si>
  <si>
    <t>CMM, KHM, LCC, PKHM, PLST, PRM, SLD</t>
  </si>
  <si>
    <t>Changeling (This card is every creature type.)\nAs this creature enters, choose a creature type.\nYou may look at the top card of your library any time.\nYou may cast creature spells of the chosen type from the top of your library.</t>
  </si>
  <si>
    <t>Flash\nEnrage — Whenever this creature is dealt damage, put a +1/+1 counter on it. (It must survive the damage to get the counter.)</t>
  </si>
  <si>
    <t>Σωκράτης, Ἀθηναῖος διδάσκαλος</t>
  </si>
  <si>
    <t>Προστάτης\nΣωκράτης, Ἀθηναῖος διδάσκαλος οὐ μαγείαις διωκτός, ὅσονπερ δύναμις αὕτη ἄθικτός ἐστι.\nΣωκρατικός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</si>
  <si>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Μυθικὸν ὄν — Ἄνθρωπος Σύμβουλος</t>
  </si>
  <si>
    <t>Defender\nSokrates has hexproof as long as it's untapped.\nSokratic Dialogue — {T}: Until end of turn, target creature gains "If this creature would deal combat damage to a player, prevent that damage. This creature's controller and that player each draw half that many cards, rounded down."</t>
  </si>
  <si>
    <t>{"foil": ["04f90aad-76b6-5bc6-a732-45d06c1dad37", "b5bdb4c3-f3f8-59d9-b11c-f09b23a80d97", "da796ce7-43ec-5fba-9705-77a79758eedb"], "nonfoil": ["04f90aad-76b6-5bc6-a732-45d06c1dad37", "9f950613-93bc-5206-bf36-17889e54081e", "de0877c3-6604-50cc-a2e5-50d47d05fa29"]}</t>
  </si>
  <si>
    <t>During your upkeep, put a spore counter on Thallid Devourer.\n{0}: Remove three spore counters from Thallid Devourer to put a Saproling token into play. Treat this token as a 1/1 green creature.\n{0}: Sacrifice a Saproling to give Thallid Devourer +1/+2 until end of turn.</t>
  </si>
  <si>
    <t>At the beginning of your upkeep, put a spore counter on this creature.\nRemove three spore counters from this creature: Create a 1/1 green Saproling creature token.\nSacrifice a Saproling: This creature gets +1/+2 until end of turn.</t>
  </si>
  <si>
    <t>{"foil": ["3714b02d-5b71-5a90-a296-e8f7c0280cf1", "a80b98ae-3781-5077-83a9-31907bd528e4"], "nonfoil": ["63480c0e-589d-51e0-a872-628092af872d", "a80b98ae-3781-5077-83a9-31907bd528e4", "cfbe8229-9ba6-525a-b96d-74c46a60f018"]}</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</si>
  <si>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</si>
  <si>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</si>
  <si>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</si>
  <si>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</si>
  <si>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</si>
  <si>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{"foil": ["c5cd29de-5ec9-5e13-b8eb-40e3a9f79f9a", "c690e178-661d-5e17-9b29-a5bf6319a844"], "nonfoil": ["4831adbb-c0af-5d27-b407-19f2f7805949", "c690e178-661d-5e17-9b29-a5bf6319a844"]}</t>
  </si>
  <si>
    <t>f7aa8817-24f8-5dbb-a726-353611565ffe</t>
  </si>
  <si>
    <t>Tenth Edition</t>
  </si>
  <si>
    <t>T10E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</si>
</sst>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133">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23">
    <queryTableFields count="22">
      <queryTableField id="1" name="baseSetSize" tableColumnId="1"/>
      <queryTableField id="2" name="block" tableColumnId="2"/>
      <queryTableField id="3" name="cardsphereSetId" tableColumnId="3"/>
      <queryTableField id="4" name="code" tableColumnId="4"/>
      <queryTableField id="5" name="isFoilOnly" tableColumnId="5"/>
      <queryTableField id="6" name="isForeignOnly" tableColumnId="6"/>
      <queryTableField id="7" name="isNonFoilOnly" tableColumnId="7"/>
      <queryTableField id="8" name="isOnlineOnly" tableColumnId="8"/>
      <queryTableField id="9" name="isPartialPreview" tableColumnId="9"/>
      <queryTableField id="10" name="keyruneCode" tableColumnId="10"/>
      <queryTableField id="11" name="languages" tableColumnId="11"/>
      <queryTableField id="12" name="mcmId" tableColumnId="12"/>
      <queryTableField id="13" name="mcmIdExtras" tableColumnId="13"/>
      <queryTableField id="14" name="mcmName" tableColumnId="14"/>
      <queryTableField id="15" name="mtgoCode" tableColumnId="15"/>
      <queryTableField id="16" name="name" tableColumnId="16"/>
      <queryTableField id="17" name="parentCode" tableColumnId="17"/>
      <queryTableField id="18" name="releaseDate" tableColumnId="18"/>
      <queryTableField id="19" name="tcgplayerGroupId" tableColumnId="19"/>
      <queryTableField id="20" name="tokenSetCode" tableColumnId="20"/>
      <queryTableField id="21" name="totalSetSize" tableColumnId="21"/>
      <queryTableField id="22" name="type"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79">
    <queryTableFields count="49">
      <queryTableField id="1" name="artist" tableColumnId="1"/>
      <queryTableField id="2" name="artistIds" tableColumnId="2"/>
      <queryTableField id="3" name="asciiName" tableColumnId="3"/>
      <queryTableField id="4" name="availability" tableColumnId="4"/>
      <queryTableField id="5" name="boosterTypes" tableColumnId="5"/>
      <queryTableField id="6" name="borderColor" tableColumnId="6"/>
      <queryTableField id="7" name="colorIdentity" tableColumnId="7"/>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6" name="hasFoil" tableColumnId="16"/>
      <queryTableField id="17" name="hasNonFoil" tableColumnId="17"/>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2" name="originalType" tableColumnId="32"/>
      <queryTableField id="33" name="otherFaceIds" tableColumnId="33"/>
      <queryTableField id="34" name="power" tableColumnId="34"/>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E93FCECD-0EAB-4D45-B45B-BAC4D622898B}" autoFormatId="16" applyNumberFormats="0" applyBorderFormats="0" applyFontFormats="0" applyPatternFormats="0" applyAlignmentFormats="0" applyWidthHeightFormats="0">
  <queryTableRefresh nextId="243">
    <queryTableFields count="79">
      <queryTableField id="157" name="artist" tableColumnId="79"/>
      <queryTableField id="158" name="artistIds" tableColumnId="80"/>
      <queryTableField id="159" name="asciiName" tableColumnId="81"/>
      <queryTableField id="160" name="attractionLights" tableColumnId="82"/>
      <queryTableField id="161" name="availability" tableColumnId="83"/>
      <queryTableField id="162" name="boosterTypes" tableColumnId="84"/>
      <queryTableField id="163" name="borderColor" tableColumnId="85"/>
      <queryTableField id="164" name="cardParts" tableColumnId="86"/>
      <queryTableField id="165" name="colorIdentity" tableColumnId="87"/>
      <queryTableField id="166" name="colorIndicator" tableColumnId="88"/>
      <queryTableField id="167" name="colors" tableColumnId="89"/>
      <queryTableField id="168" name="defense" tableColumnId="90"/>
      <queryTableField id="169" name="duelDeck" tableColumnId="91"/>
      <queryTableField id="170" name="edhrecRank" tableColumnId="92"/>
      <queryTableField id="171" name="edhrecSaltiness" tableColumnId="93"/>
      <queryTableField id="172" name="faceConvertedManaCost" tableColumnId="94"/>
      <queryTableField id="173" name="faceFlavorName" tableColumnId="95"/>
      <queryTableField id="174" name="faceManaValue" tableColumnId="96"/>
      <queryTableField id="175" name="faceName" tableColumnId="97"/>
      <queryTableField id="176" name="finishes" tableColumnId="98"/>
      <queryTableField id="177" name="flavorName" tableColumnId="99"/>
      <queryTableField id="178" name="flavorText" tableColumnId="100"/>
      <queryTableField id="179" name="frameEffects" tableColumnId="101"/>
      <queryTableField id="180" name="frameVersion" tableColumnId="102"/>
      <queryTableField id="181" name="hand" tableColumnId="103"/>
      <queryTableField id="182" name="hasAlternativeDeckLimit" tableColumnId="104"/>
      <queryTableField id="183" name="hasContentWarning" tableColumnId="105"/>
      <queryTableField id="184" name="hasFoil" tableColumnId="106"/>
      <queryTableField id="185" name="hasNonFoil" tableColumnId="107"/>
      <queryTableField id="186" name="isAlternative" tableColumnId="108"/>
      <queryTableField id="187" name="isFullArt" tableColumnId="109"/>
      <queryTableField id="188" name="isFunny" tableColumnId="110"/>
      <queryTableField id="235" name="isGameChanger" tableColumnId="1"/>
      <queryTableField id="189" name="isOnlineOnly" tableColumnId="111"/>
      <queryTableField id="190" name="isOversized" tableColumnId="112"/>
      <queryTableField id="191" name="isPromo" tableColumnId="113"/>
      <queryTableField id="192" name="isRebalanced" tableColumnId="114"/>
      <queryTableField id="193" name="isReprint" tableColumnId="115"/>
      <queryTableField id="194" name="isReserved" tableColumnId="116"/>
      <queryTableField id="195" name="isStarter" tableColumnId="117"/>
      <queryTableField id="196" name="isStorySpotlight" tableColumnId="118"/>
      <queryTableField id="197" name="isTextless" tableColumnId="119"/>
      <queryTableField id="198" name="isTimeshifted" tableColumnId="120"/>
      <queryTableField id="199" name="keywords" tableColumnId="121"/>
      <queryTableField id="200" name="language" tableColumnId="122"/>
      <queryTableField id="201" name="layout" tableColumnId="123"/>
      <queryTableField id="202" name="leadershipSkills" tableColumnId="124"/>
      <queryTableField id="203" name="life" tableColumnId="125"/>
      <queryTableField id="204" name="loyalty" tableColumnId="126"/>
      <queryTableField id="205" name="manaCost" tableColumnId="127"/>
      <queryTableField id="206" name="manaValue" tableColumnId="128"/>
      <queryTableField id="207" name="name" tableColumnId="129"/>
      <queryTableField id="208" name="number" tableColumnId="130"/>
      <queryTableField id="209" name="originalPrintings" tableColumnId="131"/>
      <queryTableField id="210" name="originalReleaseDate" tableColumnId="132"/>
      <queryTableField id="211" name="originalText" tableColumnId="133"/>
      <queryTableField id="213" name="otherFaceIds" tableColumnId="135"/>
      <queryTableField id="214" name="power" tableColumnId="136"/>
      <queryTableField id="236" name="printedName" tableColumnId="2"/>
      <queryTableField id="237" name="printedText" tableColumnId="3"/>
      <queryTableField id="238" name="printedType" tableColumnId="4"/>
      <queryTableField id="215" name="printings" tableColumnId="137"/>
      <queryTableField id="216" name="promoTypes" tableColumnId="138"/>
      <queryTableField id="217" name="rarity" tableColumnId="139"/>
      <queryTableField id="218" name="rebalancedPrintings" tableColumnId="140"/>
      <queryTableField id="219" name="relatedCards" tableColumnId="141"/>
      <queryTableField id="220" name="securityStamp" tableColumnId="142"/>
      <queryTableField id="221" name="setCode" tableColumnId="143"/>
      <queryTableField id="222" name="side" tableColumnId="144"/>
      <queryTableField id="223" name="signature" tableColumnId="145"/>
      <queryTableField id="224" name="sourceProducts" tableColumnId="146"/>
      <queryTableField id="225" name="subsets" tableColumnId="147"/>
      <queryTableField id="226" name="subtypes" tableColumnId="148"/>
      <queryTableField id="227" name="supertypes" tableColumnId="149"/>
      <queryTableField id="228" name="text" tableColumnId="150"/>
      <queryTableField id="229" name="toughness" tableColumnId="151"/>
      <queryTableField id="230" name="type" tableColumnId="152"/>
      <queryTableField id="231" name="types" tableColumnId="153"/>
      <queryTableField id="232" name="uuid" tableColumnId="154"/>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G78" totalsRowShown="0">
  <autoFilter ref="A1:G78" xr:uid="{34E68243-92F7-4315-8CD9-553D01FEA78C}"/>
  <sortState xmlns:xlrd2="http://schemas.microsoft.com/office/spreadsheetml/2017/richdata2" ref="A2:F78">
    <sortCondition ref="B1:B78"/>
  </sortState>
  <tableColumns count="7">
    <tableColumn id="1" xr3:uid="{D874ACCE-E71D-44C2-896A-0FCD5525A1F7}" name="uuid" dataDxfId="132">
      <calculatedColumnFormula array="1">IFERROR(INDEX(_xlfn.VSTACK(cards[uuid],tokens[uuid]), ROW()-ROW($A$1)),"")</calculatedColumnFormula>
    </tableColumn>
    <tableColumn id="2" xr3:uid="{3637D0FD-EFA9-4458-BFC9-D22D62072579}" name="Name" dataDxfId="131">
      <calculatedColumnFormula>IFERROR(_xlfn.IFNA(INDEX(cards[],MATCH(AllCardsViz[[#This Row],[uuid]],cards[uuid],0),52),INDEX(tokens[],MATCH(AllCardsViz[[#This Row],[uuid]],tokens[uuid],0),28)),"")</calculatedColumnFormula>
    </tableColumn>
    <tableColumn id="3" xr3:uid="{C22D6FB1-C75A-4465-AEB6-7FCFFBC05E67}" name="Rarity" dataDxfId="130">
      <calculatedColumnFormula>IFERROR(_xlfn.IFNA(INDEX(cards[],MATCH(AllCardsViz[[#This Row],[uuid]],cards[uuid],0),64),""),"")</calculatedColumnFormula>
    </tableColumn>
    <tableColumn id="4" xr3:uid="{D01260F6-5F67-4745-BA62-3D1455486838}" name="Setcode" dataDxfId="129">
      <calculatedColumnFormula>IFERROR(_xlfn.IFNA(INDEX(cards[],MATCH(AllCardsViz[[#This Row],[uuid]],cards[uuid],0),68),INDEX(tokens[],MATCH(AllCardsViz[[#This Row],[uuid]],tokens[uuid],0),39)),"")</calculatedColumnFormula>
    </tableColumn>
    <tableColumn id="5" xr3:uid="{7A2F5F33-97AC-440B-9321-969380360320}" name="Side" dataDxfId="128">
      <calculatedColumnFormula>IFERROR(_xlfn.IFNA(INDEX(cards[],MATCH(AllCardsViz[[#This Row],[uuid]],cards[uuid],0),69),INDEX(tokens[],MATCH(AllCardsViz[[#This Row],[uuid]],tokens[uuid],0),40)),"")</calculatedColumnFormula>
    </tableColumn>
    <tableColumn id="6" xr3:uid="{B8E90193-3CDD-4863-92EA-93E1E6FACF88}" name="Keywords" dataDxfId="127">
      <calculatedColumnFormula>IFERROR(_xlfn.IFNA(INDEX(cards[],MATCH(AllCardsViz[[#This Row],[uuid]],cards[uuid],0),44),INDEX(tokens[],MATCH(AllCardsViz[[#This Row],[uuid]],tokens[uuid],0),24)),"")</calculatedColumnFormula>
    </tableColumn>
    <tableColumn id="7" xr3:uid="{0997C9D2-AFEC-4B37-8827-325414B5B292}" name="SetName" dataDxfId="126">
      <calculatedColumnFormula>IFERROR(INDEX(sets[],MATCH(AllCardsViz[[#This Row],[Setcode]],sets[code],0),16),INDEX(sets[],MATCH(AllCardsViz[[#This Row],[Setcode]],sets[tokenSetCode],0),16))</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V55" tableType="queryTable" totalsRowShown="0">
  <autoFilter ref="A1:V55" xr:uid="{D4DA6500-7D57-4E10-9B66-DD6AB67080AD}"/>
  <tableColumns count="22">
    <tableColumn id="1" xr3:uid="{4CE4A2FB-359D-4F10-B207-4C301E225425}" uniqueName="1" name="baseSetSize" queryTableFieldId="1"/>
    <tableColumn id="2" xr3:uid="{22952BF9-72EE-4560-B681-941A554A8463}" uniqueName="2" name="block" queryTableFieldId="2" dataDxfId="125"/>
    <tableColumn id="3" xr3:uid="{86150C87-5460-470E-BBEE-769B4826D72B}" uniqueName="3" name="cardsphereSetId" queryTableFieldId="3"/>
    <tableColumn id="4" xr3:uid="{C29BD973-1499-45FA-872A-AAD8CEFF6948}" uniqueName="4" name="code" queryTableFieldId="4" dataDxfId="124"/>
    <tableColumn id="5" xr3:uid="{9D26E69C-A843-427F-A095-383959306F85}" uniqueName="5" name="isFoilOnly" queryTableFieldId="5"/>
    <tableColumn id="6" xr3:uid="{0E5981B6-8CC7-4680-9F76-1A5A9420773F}" uniqueName="6" name="isForeignOnly" queryTableFieldId="6" dataDxfId="123"/>
    <tableColumn id="7" xr3:uid="{9B4B288A-7072-4F9C-84F4-EF629F85B910}" uniqueName="7" name="isNonFoilOnly" queryTableFieldId="7"/>
    <tableColumn id="8" xr3:uid="{996AEDBE-876D-4089-B554-07DC9A921D00}" uniqueName="8" name="isOnlineOnly" queryTableFieldId="8"/>
    <tableColumn id="9" xr3:uid="{701160A9-C80E-4C88-B5D6-B38ED86B9AF5}" uniqueName="9" name="isPartialPreview" queryTableFieldId="9" dataDxfId="122"/>
    <tableColumn id="10" xr3:uid="{EB47B4D2-864B-4D34-875D-81DF408DB28D}" uniqueName="10" name="keyruneCode" queryTableFieldId="10" dataDxfId="121"/>
    <tableColumn id="11" xr3:uid="{3DFF353F-26A2-49E4-9F34-E0C2CB906D97}" uniqueName="11" name="languages" queryTableFieldId="11" dataDxfId="120"/>
    <tableColumn id="12" xr3:uid="{10FCC983-373D-40E7-ADCD-CA76F6B66405}" uniqueName="12" name="mcmId" queryTableFieldId="12"/>
    <tableColumn id="13" xr3:uid="{3DD73EAB-BBEA-4D0A-B6D2-D381F4553694}" uniqueName="13" name="mcmIdExtras" queryTableFieldId="13"/>
    <tableColumn id="14" xr3:uid="{44E1FE09-FFA4-4472-A97B-D3FE91720C13}" uniqueName="14" name="mcmName" queryTableFieldId="14" dataDxfId="119"/>
    <tableColumn id="15" xr3:uid="{A17D01D8-1951-447B-89F4-477272864256}" uniqueName="15" name="mtgoCode" queryTableFieldId="15" dataDxfId="118"/>
    <tableColumn id="16" xr3:uid="{16FED02B-E90F-406B-ADD8-05CE036568F4}" uniqueName="16" name="name" queryTableFieldId="16" dataDxfId="117"/>
    <tableColumn id="17" xr3:uid="{42FBF08F-9E7D-4A96-966E-067ABFB632B5}" uniqueName="17" name="parentCode" queryTableFieldId="17" dataDxfId="116"/>
    <tableColumn id="18" xr3:uid="{C67C482A-3654-4CA0-B2A6-6659D0F0C00F}" uniqueName="18" name="releaseDate" queryTableFieldId="18" dataDxfId="0"/>
    <tableColumn id="19" xr3:uid="{30643FD5-18FB-497B-BB8D-5F4C93CC333E}" uniqueName="19" name="tcgplayerGroupId" queryTableFieldId="19"/>
    <tableColumn id="20" xr3:uid="{B1F7DA75-A64B-4D1A-BE48-5CA2A5C506CB}" uniqueName="20" name="tokenSetCode" queryTableFieldId="20" dataDxfId="115"/>
    <tableColumn id="21" xr3:uid="{64F117EF-7F0C-4582-9EAB-5E0D13FCD4FD}" uniqueName="21" name="totalSetSize" queryTableFieldId="21"/>
    <tableColumn id="22" xr3:uid="{547CD8F3-D2B8-491F-80B8-49449127AD84}" uniqueName="22" name="type" queryTableFieldId="22" dataDxfId="1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13">
      <calculatedColumnFormula>myCollection[[#This Row],[uuid]]</calculatedColumnFormula>
    </tableColumn>
    <tableColumn id="2" xr3:uid="{0A36ED79-41DA-4933-B893-CA7152913021}" name="name" dataDxfId="112">
      <calculatedColumnFormula>_xlfn.IFNA(INDEX(cards[],MATCH(MyCollectionViz[[#This Row],[uuid]],cards[uuid],0),52),INDEX(tokens[],MATCH(MyCollectionViz[[#This Row],[uuid]],tokens[uuid],0),28))</calculatedColumnFormula>
    </tableColumn>
    <tableColumn id="3" xr3:uid="{D175F054-B06E-4D5E-A2CC-1FF5C2DB0A3D}" name="cardsOwned"/>
    <tableColumn id="4" xr3:uid="{A07BAC82-BD20-4655-BE67-BABCF02B85AE}" name="cardsForTrade" dataDxfId="111">
      <calculatedColumnFormula>INDEX(myCollection[],MATCH(MyCollectionViz[[#This Row],[uuid]],myCollection[uuid],0),4)</calculatedColumnFormula>
    </tableColumn>
    <tableColumn id="5" xr3:uid="{A745DA14-952E-404B-B34F-72F527477D94}" name="condition" dataDxfId="110">
      <calculatedColumnFormula>INDEX(myCollection[],MATCH(MyCollectionViz[[#This Row],[uuid]],myCollection[uuid],0),5)</calculatedColumnFormula>
    </tableColumn>
    <tableColumn id="6" xr3:uid="{E2715A45-2EE9-4AF3-8DAA-32CF1C7028DC}" name="language" dataDxfId="109">
      <calculatedColumnFormula>INDEX(myCollection[],MATCH(MyCollectionViz[[#This Row],[uuid]],myCollection[uuid],0),6)</calculatedColumnFormula>
    </tableColumn>
    <tableColumn id="7" xr3:uid="{A6133949-1219-4B62-93DD-77F74A917FF8}" name="finish" dataDxfId="108">
      <calculatedColumnFormula>INDEX(myCollection[],MATCH(MyCollectionViz[[#This Row],[uuid]],myCollection[uuid],0),7)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07"/>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06"/>
    <tableColumn id="6" xr3:uid="{3A0CBC4A-5A4C-4081-ADDF-3AD6FC495271}" uniqueName="6" name="language" queryTableFieldId="6" dataDxfId="105"/>
    <tableColumn id="7" xr3:uid="{8CE2EB5F-A72C-4216-A87B-3123B19551E1}" uniqueName="7" name="finish" queryTableFieldId="7" dataDxfId="10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AW22" tableType="queryTable" totalsRowShown="0">
  <autoFilter ref="A1:AW22" xr:uid="{46E89A8D-DE6A-4D64-A0D1-758DAA8A7A6B}"/>
  <sortState xmlns:xlrd2="http://schemas.microsoft.com/office/spreadsheetml/2017/richdata2" ref="A2:AW22">
    <sortCondition ref="AT1:AT22"/>
  </sortState>
  <tableColumns count="49">
    <tableColumn id="1" xr3:uid="{9FDBE1BB-5716-4308-8031-E654F66121F3}" uniqueName="1" name="artist" queryTableFieldId="1" dataDxfId="103"/>
    <tableColumn id="2" xr3:uid="{47DA5F3E-AEBB-4260-BB13-1862BDFFBC9B}" uniqueName="2" name="artistIds" queryTableFieldId="2" dataDxfId="102"/>
    <tableColumn id="3" xr3:uid="{D883DD7C-9C07-4B23-A19B-918A7269928A}" uniqueName="3" name="asciiName" queryTableFieldId="3" dataDxfId="101"/>
    <tableColumn id="4" xr3:uid="{4542CA81-B210-40B3-9061-348025E9DDF5}" uniqueName="4" name="availability" queryTableFieldId="4" dataDxfId="100"/>
    <tableColumn id="5" xr3:uid="{CBEC3D83-3F08-424D-90D0-7F20DA89E0E7}" uniqueName="5" name="boosterTypes" queryTableFieldId="5" dataDxfId="99"/>
    <tableColumn id="6" xr3:uid="{90AC7B9E-0424-4E23-86AA-CD33DE678F97}" uniqueName="6" name="borderColor" queryTableFieldId="6" dataDxfId="98"/>
    <tableColumn id="7" xr3:uid="{7EA65532-FE10-4A94-84A6-1D723AFEC0BF}" uniqueName="7" name="colorIdentity" queryTableFieldId="7" dataDxfId="97"/>
    <tableColumn id="8" xr3:uid="{02D6D49B-68F3-45E0-B272-08D1E05793C5}" uniqueName="8" name="colors" queryTableFieldId="8" dataDxfId="96"/>
    <tableColumn id="9" xr3:uid="{16AC1D14-99D9-42F8-8AB6-D81CE8C8E208}" uniqueName="9" name="edhrecSaltiness" queryTableFieldId="9"/>
    <tableColumn id="10" xr3:uid="{2E017FE1-290B-4C2B-83F2-FC4867D1FD49}" uniqueName="10" name="faceName" queryTableFieldId="10" dataDxfId="95"/>
    <tableColumn id="11" xr3:uid="{01B29614-D259-401B-85BF-A15B429E1C84}" uniqueName="11" name="finishes" queryTableFieldId="11" dataDxfId="94"/>
    <tableColumn id="12" xr3:uid="{5EB36437-7DD1-4108-9003-7A960C938956}" uniqueName="12" name="flavorName" queryTableFieldId="12" dataDxfId="93"/>
    <tableColumn id="13" xr3:uid="{780CD95E-DD47-45FF-8F81-F5E8E3C34279}" uniqueName="13" name="flavorText" queryTableFieldId="13" dataDxfId="92"/>
    <tableColumn id="14" xr3:uid="{13A31031-155D-40D3-807B-8BCAEC9C75E4}" uniqueName="14" name="frameEffects" queryTableFieldId="14" dataDxfId="91"/>
    <tableColumn id="15" xr3:uid="{1C3BA062-E6DF-4944-9EC7-483C2037D46E}" uniqueName="15" name="frameVersion" queryTableFieldId="15"/>
    <tableColumn id="16" xr3:uid="{808EBA24-4B1D-48B2-B5F1-39C50160BA7C}" uniqueName="16" name="hasFoil" queryTableFieldId="16"/>
    <tableColumn id="17" xr3:uid="{D79AA3E6-BC78-4FFD-99BB-18F0C53EB92B}" uniqueName="17" name="hasNonFoil" queryTableFieldId="17"/>
    <tableColumn id="18" xr3:uid="{0A2BF770-1408-4748-8194-6E256A5C4D07}" uniqueName="18" name="isFullArt" queryTableFieldId="18"/>
    <tableColumn id="19" xr3:uid="{4292E15B-6AB3-473B-9470-68DBAFC1F6FE}" uniqueName="19" name="isFunny" queryTableFieldId="19" dataDxfId="90"/>
    <tableColumn id="20" xr3:uid="{6B980ED7-BB18-43E8-BA76-FD4455FCA2CA}" uniqueName="20" name="isOversized" queryTableFieldId="20" dataDxfId="89"/>
    <tableColumn id="21" xr3:uid="{F71DB861-96BA-485A-AB77-14D3F9A56953}" uniqueName="21" name="isPromo" queryTableFieldId="21" dataDxfId="88"/>
    <tableColumn id="22" xr3:uid="{D92B34A5-6742-4DB2-A08E-FAB751A93EC3}" uniqueName="22" name="isReprint" queryTableFieldId="22"/>
    <tableColumn id="23" xr3:uid="{9B721F9C-A24F-4764-9520-CB33299DC315}" uniqueName="23" name="isTextless" queryTableFieldId="23" dataDxfId="87"/>
    <tableColumn id="24" xr3:uid="{2DC9AF4C-D805-46E4-B354-0902F26BBD83}" uniqueName="24" name="keywords" queryTableFieldId="24" dataDxfId="86"/>
    <tableColumn id="25" xr3:uid="{D62B4B65-9725-4BF6-9B45-4D3A22A893B3}" uniqueName="25" name="language" queryTableFieldId="25" dataDxfId="85"/>
    <tableColumn id="26" xr3:uid="{E81E2D68-FE2C-4159-AF0E-CAA90B2F3848}" uniqueName="26" name="layout" queryTableFieldId="26" dataDxfId="84"/>
    <tableColumn id="27" xr3:uid="{A5803AB2-267A-4225-B84B-55AD6DC8CCCC}" uniqueName="27" name="manaCost" queryTableFieldId="27" dataDxfId="83"/>
    <tableColumn id="28" xr3:uid="{86E52E9F-3EFE-4F3C-8045-262C7E13CA2F}" uniqueName="28" name="name" queryTableFieldId="28" dataDxfId="82"/>
    <tableColumn id="29" xr3:uid="{46BFA774-C0D3-48E3-B727-6B139E8A4A6F}" uniqueName="29" name="number" queryTableFieldId="29" dataDxfId="81"/>
    <tableColumn id="30" xr3:uid="{942B9AB1-7E5A-4EEC-9D76-34FA65A329F7}" uniqueName="30" name="orientation" queryTableFieldId="30" dataDxfId="80"/>
    <tableColumn id="31" xr3:uid="{E1373947-4D6E-4354-8F6A-04E771D97348}" uniqueName="31" name="originalText" queryTableFieldId="31" dataDxfId="79"/>
    <tableColumn id="32" xr3:uid="{9E6715AF-ECC0-4F72-8495-430E6CD3730C}" uniqueName="32" name="originalType" queryTableFieldId="32" dataDxfId="78"/>
    <tableColumn id="33" xr3:uid="{BC0AE42D-E463-4584-B873-16A82993E3A3}" uniqueName="33" name="otherFaceIds" queryTableFieldId="33" dataDxfId="77"/>
    <tableColumn id="34" xr3:uid="{704F0E48-0A7E-4709-9AA7-56955B978DF6}" uniqueName="34" name="power" queryTableFieldId="34"/>
    <tableColumn id="35" xr3:uid="{0785F994-2B56-40D5-862A-E5FE0BA11FD1}" uniqueName="35" name="promoTypes" queryTableFieldId="35" dataDxfId="76"/>
    <tableColumn id="36" xr3:uid="{826B9AF0-E568-491F-AA4B-D8A8A84E9B30}" uniqueName="36" name="relatedCards" queryTableFieldId="36" dataDxfId="75"/>
    <tableColumn id="37" xr3:uid="{DCC99F1E-5972-4EF0-91DC-73AAD4E2B005}" uniqueName="37" name="reverseRelated" queryTableFieldId="37" dataDxfId="74"/>
    <tableColumn id="38" xr3:uid="{07262835-759D-4E8B-A5D7-89EB9FFA6856}" uniqueName="38" name="securityStamp" queryTableFieldId="38" dataDxfId="73"/>
    <tableColumn id="39" xr3:uid="{79922C86-2891-4155-8329-EEFD7356B915}" uniqueName="39" name="setCode" queryTableFieldId="39" dataDxfId="72"/>
    <tableColumn id="40" xr3:uid="{081E02CD-2A2F-4FFF-8F98-835F6C0022FC}" uniqueName="40" name="side" queryTableFieldId="40" dataDxfId="71"/>
    <tableColumn id="41" xr3:uid="{B634F464-1356-4C2A-A559-FF3B95A9FA68}" uniqueName="41" name="signature" queryTableFieldId="41" dataDxfId="70"/>
    <tableColumn id="42" xr3:uid="{EF813C5E-D8A2-4B30-80A8-C6628D326D3D}" uniqueName="42" name="subtypes" queryTableFieldId="42" dataDxfId="69"/>
    <tableColumn id="43" xr3:uid="{1338E26F-B73F-4D61-889B-67EA33E9D1C8}" uniqueName="43" name="supertypes" queryTableFieldId="43" dataDxfId="68"/>
    <tableColumn id="44" xr3:uid="{A54F55DD-7D5B-4E51-A2C8-F182630C5DD4}" uniqueName="44" name="text" queryTableFieldId="44" dataDxfId="67"/>
    <tableColumn id="45" xr3:uid="{9496B4A1-737D-474A-84FC-042C801F81A1}" uniqueName="45" name="toughness" queryTableFieldId="45"/>
    <tableColumn id="46" xr3:uid="{ED27E85F-6E01-4D15-80B4-19F77C131197}" uniqueName="46" name="type" queryTableFieldId="46" dataDxfId="66"/>
    <tableColumn id="47" xr3:uid="{66C15199-88CD-4AF4-81EE-E94A276D1E4E}" uniqueName="47" name="types" queryTableFieldId="47" dataDxfId="65"/>
    <tableColumn id="48" xr3:uid="{DA768EE6-21F5-45FD-A324-D8E320C62F2A}" uniqueName="48" name="uuid" queryTableFieldId="48" dataDxfId="64"/>
    <tableColumn id="49" xr3:uid="{0DC3487E-F9A5-4BD7-BC3C-57D9A0B2C85E}" uniqueName="49" name="watermark" queryTableFieldId="49" dataDxfId="6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DB9453-FB7C-483A-B746-90ED5B58A999}" name="cards" displayName="cards" ref="A1:CA45" tableType="queryTable" totalsRowShown="0">
  <autoFilter ref="A1:CA45" xr:uid="{7CDB9453-FB7C-483A-B746-90ED5B58A999}"/>
  <tableColumns count="79">
    <tableColumn id="79" xr3:uid="{166095A7-9F19-44BF-8CE9-04C32E335E28}" uniqueName="79" name="artist" queryTableFieldId="157" dataDxfId="62"/>
    <tableColumn id="80" xr3:uid="{049D00D5-5AB0-42E1-99D8-83AEA30B3A61}" uniqueName="80" name="artistIds" queryTableFieldId="158" dataDxfId="61"/>
    <tableColumn id="81" xr3:uid="{2311BDB2-DC84-483D-8559-1D7C22D89F6C}" uniqueName="81" name="asciiName" queryTableFieldId="159" dataDxfId="60"/>
    <tableColumn id="82" xr3:uid="{BE561D9C-4D72-4D02-A2EE-7984581A2685}" uniqueName="82" name="attractionLights" queryTableFieldId="160" dataDxfId="59"/>
    <tableColumn id="83" xr3:uid="{21FDCBFA-0D44-4DC6-9E50-852B3EF204A5}" uniqueName="83" name="availability" queryTableFieldId="161" dataDxfId="58"/>
    <tableColumn id="84" xr3:uid="{B70F7863-51E5-4041-A83C-9AF16462CBD6}" uniqueName="84" name="boosterTypes" queryTableFieldId="162" dataDxfId="57"/>
    <tableColumn id="85" xr3:uid="{0AF5B613-8261-462A-BA64-E93AC770FF26}" uniqueName="85" name="borderColor" queryTableFieldId="163" dataDxfId="56"/>
    <tableColumn id="86" xr3:uid="{1CDA3894-6E51-4334-92C3-EADAFEBF88B1}" uniqueName="86" name="cardParts" queryTableFieldId="164" dataDxfId="55"/>
    <tableColumn id="87" xr3:uid="{0D96F187-602C-4CEC-9E17-96695BE65F54}" uniqueName="87" name="colorIdentity" queryTableFieldId="165" dataDxfId="54"/>
    <tableColumn id="88" xr3:uid="{63B6B9F2-6DA9-490F-A005-0EEF5963935D}" uniqueName="88" name="colorIndicator" queryTableFieldId="166" dataDxfId="53"/>
    <tableColumn id="89" xr3:uid="{9C8374FA-4856-4131-915E-D6E73FA1473D}" uniqueName="89" name="colors" queryTableFieldId="167" dataDxfId="52"/>
    <tableColumn id="90" xr3:uid="{33AAB37F-F56A-4621-B40F-3DF9FA230D69}" uniqueName="90" name="defense" queryTableFieldId="168" dataDxfId="51"/>
    <tableColumn id="91" xr3:uid="{CAE86331-B905-42A7-B24D-77C3E62C9B79}" uniqueName="91" name="duelDeck" queryTableFieldId="169" dataDxfId="50"/>
    <tableColumn id="92" xr3:uid="{754465B8-636B-4394-BE91-83B8A9C65E62}" uniqueName="92" name="edhrecRank" queryTableFieldId="170"/>
    <tableColumn id="93" xr3:uid="{A6B481DB-77C7-4600-BD99-8628D6B51F4C}" uniqueName="93" name="edhrecSaltiness" queryTableFieldId="171"/>
    <tableColumn id="94" xr3:uid="{0069D866-8E62-420E-8C0A-EFF7510693FB}" uniqueName="94" name="faceConvertedManaCost" queryTableFieldId="172"/>
    <tableColumn id="95" xr3:uid="{EE85716A-E482-4DFF-823C-8D46B399D631}" uniqueName="95" name="faceFlavorName" queryTableFieldId="173" dataDxfId="49"/>
    <tableColumn id="96" xr3:uid="{6D396E92-2E30-44ED-A3F2-36FFD116E68B}" uniqueName="96" name="faceManaValue" queryTableFieldId="174"/>
    <tableColumn id="97" xr3:uid="{1327E24C-3FB4-4E94-BFBC-B21868C973A8}" uniqueName="97" name="faceName" queryTableFieldId="175" dataDxfId="48"/>
    <tableColumn id="98" xr3:uid="{F2FD9F47-BE12-4298-9DEB-8BB713939679}" uniqueName="98" name="finishes" queryTableFieldId="176" dataDxfId="47"/>
    <tableColumn id="99" xr3:uid="{5DDB8935-0BA8-4C25-88D2-4C5BB42C21DA}" uniqueName="99" name="flavorName" queryTableFieldId="177" dataDxfId="46"/>
    <tableColumn id="100" xr3:uid="{AF5170B0-9B52-43CF-AEF6-75218205CF70}" uniqueName="100" name="flavorText" queryTableFieldId="178" dataDxfId="45"/>
    <tableColumn id="101" xr3:uid="{0B44373D-2E45-44EF-87C0-57949F28DBD1}" uniqueName="101" name="frameEffects" queryTableFieldId="179" dataDxfId="44"/>
    <tableColumn id="102" xr3:uid="{AE61EA4C-6624-4738-95EF-CAE6AA8EC8FD}" uniqueName="102" name="frameVersion" queryTableFieldId="180"/>
    <tableColumn id="103" xr3:uid="{DF354283-C49E-4014-85E0-3BFD1CB44904}" uniqueName="103" name="hand" queryTableFieldId="181" dataDxfId="43"/>
    <tableColumn id="104" xr3:uid="{B05215A3-5BD7-4A82-A2E4-2FAE35AC31FA}" uniqueName="104" name="hasAlternativeDeckLimit" queryTableFieldId="182" dataDxfId="42"/>
    <tableColumn id="105" xr3:uid="{D362A846-044F-4924-A78B-DB0942189E09}" uniqueName="105" name="hasContentWarning" queryTableFieldId="183" dataDxfId="41"/>
    <tableColumn id="106" xr3:uid="{82B77C6E-16C5-43C5-AC8A-5E4B8BFB1409}" uniqueName="106" name="hasFoil" queryTableFieldId="184"/>
    <tableColumn id="107" xr3:uid="{F9FE44A7-BD4F-45F0-BB75-C005A4A5E1E0}" uniqueName="107" name="hasNonFoil" queryTableFieldId="185"/>
    <tableColumn id="108" xr3:uid="{4D1E2DCE-0833-4239-B653-9563DA1627D3}" uniqueName="108" name="isAlternative" queryTableFieldId="186"/>
    <tableColumn id="109" xr3:uid="{EA931BB2-79F1-431E-AE0B-664304950ABA}" uniqueName="109" name="isFullArt" queryTableFieldId="187"/>
    <tableColumn id="110" xr3:uid="{AC98CA80-71EF-4176-A590-F17100A15AA5}" uniqueName="110" name="isFunny" queryTableFieldId="188"/>
    <tableColumn id="1" xr3:uid="{2A93300A-B165-4985-A975-DFFBDD131CC4}" uniqueName="1" name="isGameChanger" queryTableFieldId="235" dataDxfId="40"/>
    <tableColumn id="111" xr3:uid="{29164784-384F-40C2-B5B3-99580696A519}" uniqueName="111" name="isOnlineOnly" queryTableFieldId="189"/>
    <tableColumn id="112" xr3:uid="{98413CF0-B8DD-4E73-BA1D-40D5F80FEAF5}" uniqueName="112" name="isOversized" queryTableFieldId="190" dataDxfId="39"/>
    <tableColumn id="113" xr3:uid="{B73CCF64-CFE8-4647-845E-B06A52593CD0}" uniqueName="113" name="isPromo" queryTableFieldId="191"/>
    <tableColumn id="114" xr3:uid="{FD11A991-2A77-499B-8C5F-1F6A61CAF57A}" uniqueName="114" name="isRebalanced" queryTableFieldId="192" dataDxfId="38"/>
    <tableColumn id="115" xr3:uid="{DFEB8685-B3EA-479A-905B-D703642C133F}" uniqueName="115" name="isReprint" queryTableFieldId="193"/>
    <tableColumn id="116" xr3:uid="{688F895A-15B4-4D29-B8AA-78B0AD145502}" uniqueName="116" name="isReserved" queryTableFieldId="194" dataDxfId="37"/>
    <tableColumn id="117" xr3:uid="{85F585EC-0C85-449F-8B7D-70D2CA0F675C}" uniqueName="117" name="isStarter" queryTableFieldId="195"/>
    <tableColumn id="118" xr3:uid="{BB022890-8E9D-4889-93ED-BF0E3D57E4B0}" uniqueName="118" name="isStorySpotlight" queryTableFieldId="196" dataDxfId="36"/>
    <tableColumn id="119" xr3:uid="{96E50297-D897-47C5-9F9F-440BA7DD7272}" uniqueName="119" name="isTextless" queryTableFieldId="197" dataDxfId="35"/>
    <tableColumn id="120" xr3:uid="{2F3778E9-5B7D-4633-85E0-64133CABC2BA}" uniqueName="120" name="isTimeshifted" queryTableFieldId="198" dataDxfId="34"/>
    <tableColumn id="121" xr3:uid="{95516A4C-DDFE-4E00-B7B6-D69C7FFF9D6B}" uniqueName="121" name="keywords" queryTableFieldId="199" dataDxfId="33"/>
    <tableColumn id="122" xr3:uid="{0C5C32FD-9FFA-4A79-A922-04437851E8BF}" uniqueName="122" name="language" queryTableFieldId="200" dataDxfId="32"/>
    <tableColumn id="123" xr3:uid="{3DC2E2AC-53C4-40AA-A895-68BDC2B63761}" uniqueName="123" name="layout" queryTableFieldId="201" dataDxfId="31"/>
    <tableColumn id="124" xr3:uid="{E1F226B3-7F62-4467-BBF7-4F706E271973}" uniqueName="124" name="leadershipSkills" queryTableFieldId="202" dataDxfId="30"/>
    <tableColumn id="125" xr3:uid="{903E1F41-436A-4213-8027-5B1A2FAF1514}" uniqueName="125" name="life" queryTableFieldId="203" dataDxfId="29"/>
    <tableColumn id="126" xr3:uid="{0E4DFC09-701C-4497-BC55-53113EADF1BF}" uniqueName="126" name="loyalty" queryTableFieldId="204" dataDxfId="28"/>
    <tableColumn id="127" xr3:uid="{6B2EB389-4D36-464F-95B0-EC5A380AC0BB}" uniqueName="127" name="manaCost" queryTableFieldId="205" dataDxfId="27"/>
    <tableColumn id="128" xr3:uid="{EBF17516-3708-4504-BB0D-583E6788C99B}" uniqueName="128" name="manaValue" queryTableFieldId="206"/>
    <tableColumn id="129" xr3:uid="{BA2754A1-E8CF-43AF-B386-1C021A822076}" uniqueName="129" name="name" queryTableFieldId="207" dataDxfId="26"/>
    <tableColumn id="130" xr3:uid="{7FB6121D-16A6-4B25-9053-81CDD077DE68}" uniqueName="130" name="number" queryTableFieldId="208" dataDxfId="25"/>
    <tableColumn id="131" xr3:uid="{DA352C07-E861-4108-BB7D-782E1CF34636}" uniqueName="131" name="originalPrintings" queryTableFieldId="209" dataDxfId="24"/>
    <tableColumn id="132" xr3:uid="{6BDC7AD9-1A18-4D4F-9D0F-FF0057C421B3}" uniqueName="132" name="originalReleaseDate" queryTableFieldId="210" dataDxfId="23"/>
    <tableColumn id="133" xr3:uid="{12C7EF48-F4B4-4C32-BCAB-51113E54E0E7}" uniqueName="133" name="originalText" queryTableFieldId="211" dataDxfId="22"/>
    <tableColumn id="135" xr3:uid="{C77F8EBF-555B-4EFE-976D-740AE1DA0DE3}" uniqueName="135" name="otherFaceIds" queryTableFieldId="213" dataDxfId="21"/>
    <tableColumn id="136" xr3:uid="{75D7B2EE-3AEB-4F8A-A223-EA0AA16CD534}" uniqueName="136" name="power" queryTableFieldId="214"/>
    <tableColumn id="2" xr3:uid="{C765485F-EE44-4748-8E9A-27288DF15DD5}" uniqueName="2" name="printedName" queryTableFieldId="236" dataDxfId="20"/>
    <tableColumn id="3" xr3:uid="{47F01982-5EF1-47AB-BA1F-FFEC1B6DAC54}" uniqueName="3" name="printedText" queryTableFieldId="237" dataDxfId="19"/>
    <tableColumn id="4" xr3:uid="{E5E31154-9658-42D9-8E88-DCEFC88AEB5C}" uniqueName="4" name="printedType" queryTableFieldId="238" dataDxfId="18"/>
    <tableColumn id="137" xr3:uid="{F923D774-F096-461F-AA46-E1DE52C38EE0}" uniqueName="137" name="printings" queryTableFieldId="215" dataDxfId="17"/>
    <tableColumn id="138" xr3:uid="{DC3F0136-F866-4A21-8D29-E8F7C8724273}" uniqueName="138" name="promoTypes" queryTableFieldId="216" dataDxfId="16"/>
    <tableColumn id="139" xr3:uid="{4F75228F-E314-4C16-A508-504A3498F8A2}" uniqueName="139" name="rarity" queryTableFieldId="217" dataDxfId="15"/>
    <tableColumn id="140" xr3:uid="{24D57BEB-5931-411F-9831-A66460198C04}" uniqueName="140" name="rebalancedPrintings" queryTableFieldId="218" dataDxfId="14"/>
    <tableColumn id="141" xr3:uid="{8A9A0B0C-56E2-45BB-9D84-6B1A3748C24E}" uniqueName="141" name="relatedCards" queryTableFieldId="219" dataDxfId="13"/>
    <tableColumn id="142" xr3:uid="{4B9DC134-6A53-4113-9275-A0E4817FF332}" uniqueName="142" name="securityStamp" queryTableFieldId="220" dataDxfId="12"/>
    <tableColumn id="143" xr3:uid="{08BC8DCC-FBCC-4C5F-8EC7-A1119192A6D0}" uniqueName="143" name="setCode" queryTableFieldId="221" dataDxfId="11"/>
    <tableColumn id="144" xr3:uid="{0ABEB395-67E0-43FD-AB13-166314B861BB}" uniqueName="144" name="side" queryTableFieldId="222" dataDxfId="10"/>
    <tableColumn id="145" xr3:uid="{159BC6CE-7E52-4ABB-BD57-14FF17A5F30B}" uniqueName="145" name="signature" queryTableFieldId="223" dataDxfId="9"/>
    <tableColumn id="146" xr3:uid="{1F953678-A0EC-4B10-B036-66A79A237457}" uniqueName="146" name="sourceProducts" queryTableFieldId="224" dataDxfId="8"/>
    <tableColumn id="147" xr3:uid="{6FAC02E8-A10C-4C39-B6EB-ADF9D66BA03F}" uniqueName="147" name="subsets" queryTableFieldId="225" dataDxfId="7"/>
    <tableColumn id="148" xr3:uid="{9E9A7ED3-EFC4-4363-8317-2C65148A5B1F}" uniqueName="148" name="subtypes" queryTableFieldId="226" dataDxfId="6"/>
    <tableColumn id="149" xr3:uid="{AADF3CFA-E17B-4504-A7DE-1D570DBD3C36}" uniqueName="149" name="supertypes" queryTableFieldId="227" dataDxfId="5"/>
    <tableColumn id="150" xr3:uid="{1F9C90B4-7982-4779-973A-9FA0ACB0DCC9}" uniqueName="150" name="text" queryTableFieldId="228" dataDxfId="4"/>
    <tableColumn id="151" xr3:uid="{2CF64FEA-2294-417C-8B18-1EBCEDBFFF73}" uniqueName="151" name="toughness" queryTableFieldId="229"/>
    <tableColumn id="152" xr3:uid="{E16DA901-C362-43AA-9012-06EBDB7A27D6}" uniqueName="152" name="type" queryTableFieldId="230" dataDxfId="3"/>
    <tableColumn id="153" xr3:uid="{C7AFA157-7741-41DA-AD45-72E3F024CDD0}" uniqueName="153" name="types" queryTableFieldId="231" dataDxfId="2"/>
    <tableColumn id="154" xr3:uid="{55A447FB-671A-481C-BF37-0888E8FEDEA8}" uniqueName="154" name="uuid" queryTableFieldId="232" dataDxfId="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LEFT(CELL("filename",A2),FIND("[",CELL("filename",A2))-1)&amp;"CsvSeedTables\"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G78"/>
  <sheetViews>
    <sheetView workbookViewId="0">
      <selection activeCell="A43" sqref="A43"/>
    </sheetView>
  </sheetViews>
  <sheetFormatPr defaultRowHeight="15" x14ac:dyDescent="0.25"/>
  <cols>
    <col min="1" max="2" width="50.85546875" bestFit="1" customWidth="1"/>
    <col min="3" max="3" width="11.42578125" bestFit="1" customWidth="1"/>
    <col min="4" max="4" width="10.7109375" bestFit="1" customWidth="1"/>
    <col min="6" max="6" width="33.42578125" bestFit="1" customWidth="1"/>
    <col min="7" max="7" width="32.5703125" bestFit="1" customWidth="1"/>
  </cols>
  <sheetData>
    <row r="1" spans="1:7" x14ac:dyDescent="0.25">
      <c r="A1" t="s">
        <v>339</v>
      </c>
      <c r="B1" t="s">
        <v>0</v>
      </c>
      <c r="C1" t="s">
        <v>2</v>
      </c>
      <c r="D1" t="s">
        <v>770</v>
      </c>
      <c r="E1" t="s">
        <v>1</v>
      </c>
      <c r="F1" t="s">
        <v>772</v>
      </c>
      <c r="G1" t="s">
        <v>918</v>
      </c>
    </row>
    <row r="2" spans="1:7" x14ac:dyDescent="0.25">
      <c r="A2" t="str" cm="1">
        <f t="array" ref="A2">IFERROR(INDEX(_xlfn.VSTACK(cards[uuid],tokens[uuid]), ROW()-ROW($A$1)),"")</f>
        <v>83ff4169-cecd-5fe5-9fe0-721f276c6f2c</v>
      </c>
      <c r="B2" t="str">
        <f>IFERROR(_xlfn.IFNA(INDEX(cards[],MATCH(AllCardsViz[[#This Row],[uuid]],cards[uuid],0),52),INDEX(tokens[],MATCH(AllCardsViz[[#This Row],[uuid]],tokens[uuid],0),28)),"")</f>
        <v>Ancient Greenwarden</v>
      </c>
      <c r="C2" t="str">
        <f>IFERROR(_xlfn.IFNA(INDEX(cards[],MATCH(AllCardsViz[[#This Row],[uuid]],cards[uuid],0),64),""),"")</f>
        <v>mythic</v>
      </c>
      <c r="D2" t="str">
        <f>IFERROR(_xlfn.IFNA(INDEX(cards[],MATCH(AllCardsViz[[#This Row],[uuid]],cards[uuid],0),68),INDEX(tokens[],MATCH(AllCardsViz[[#This Row],[uuid]],tokens[uuid],0),39)),"")</f>
        <v>J25</v>
      </c>
      <c r="E2" t="str">
        <f>IFERROR(_xlfn.IFNA(INDEX(cards[],MATCH(AllCardsViz[[#This Row],[uuid]],cards[uuid],0),69),INDEX(tokens[],MATCH(AllCardsViz[[#This Row],[uuid]],tokens[uuid],0),40)),"")</f>
        <v/>
      </c>
      <c r="F2" t="str">
        <f>IFERROR(_xlfn.IFNA(INDEX(cards[],MATCH(AllCardsViz[[#This Row],[uuid]],cards[uuid],0),44),INDEX(tokens[],MATCH(AllCardsViz[[#This Row],[uuid]],tokens[uuid],0),24)),"")</f>
        <v>Reach</v>
      </c>
      <c r="G2" t="str">
        <f>IFERROR(INDEX(sets[],MATCH(AllCardsViz[[#This Row],[Setcode]],sets[code],0),16),INDEX(sets[],MATCH(AllCardsViz[[#This Row],[Setcode]],sets[tokenSetCode],0),16))</f>
        <v>Foundations Jumpstart</v>
      </c>
    </row>
    <row r="3" spans="1:7" x14ac:dyDescent="0.25">
      <c r="A3" t="str" cm="1">
        <f t="array" ref="A3">IFERROR(INDEX(_xlfn.VSTACK(cards[uuid],tokens[uuid]), ROW()-ROW($A$1)),"")</f>
        <v>aff7557c-2e85-5bda-8231-d8f1e46b43c8</v>
      </c>
      <c r="B3" t="str">
        <f>IFERROR(_xlfn.IFNA(INDEX(cards[],MATCH(AllCardsViz[[#This Row],[uuid]],cards[uuid],0),52),INDEX(tokens[],MATCH(AllCardsViz[[#This Row],[uuid]],tokens[uuid],0),28)),"")</f>
        <v>Angel of Glory's Rise</v>
      </c>
      <c r="C3" t="str">
        <f>IFERROR(_xlfn.IFNA(INDEX(cards[],MATCH(AllCardsViz[[#This Row],[uuid]],cards[uuid],0),64),""),"")</f>
        <v>rare</v>
      </c>
      <c r="D3" t="str">
        <f>IFERROR(_xlfn.IFNA(INDEX(cards[],MATCH(AllCardsViz[[#This Row],[uuid]],cards[uuid],0),68),INDEX(tokens[],MATCH(AllCardsViz[[#This Row],[uuid]],tokens[uuid],0),39)),"")</f>
        <v>PAVR</v>
      </c>
      <c r="E3" t="str">
        <f>IFERROR(_xlfn.IFNA(INDEX(cards[],MATCH(AllCardsViz[[#This Row],[uuid]],cards[uuid],0),69),INDEX(tokens[],MATCH(AllCardsViz[[#This Row],[uuid]],tokens[uuid],0),40)),"")</f>
        <v/>
      </c>
      <c r="F3" t="str">
        <f>IFERROR(_xlfn.IFNA(INDEX(cards[],MATCH(AllCardsViz[[#This Row],[uuid]],cards[uuid],0),44),INDEX(tokens[],MATCH(AllCardsViz[[#This Row],[uuid]],tokens[uuid],0),24)),"")</f>
        <v>Flying</v>
      </c>
      <c r="G3" t="str">
        <f>IFERROR(INDEX(sets[],MATCH(AllCardsViz[[#This Row],[Setcode]],sets[code],0),16),INDEX(sets[],MATCH(AllCardsViz[[#This Row],[Setcode]],sets[tokenSetCode],0),16))</f>
        <v>Avacyn Restored Promos</v>
      </c>
    </row>
    <row r="4" spans="1:7" x14ac:dyDescent="0.25">
      <c r="A4" t="str" cm="1">
        <f t="array" ref="A4">IFERROR(INDEX(_xlfn.VSTACK(cards[uuid],tokens[uuid]), ROW()-ROW($A$1)),"")</f>
        <v>bf2540bd-5984-569c-b6ab-c5d77db981bd</v>
      </c>
      <c r="B4" t="str">
        <f>IFERROR(_xlfn.IFNA(INDEX(cards[],MATCH(AllCardsViz[[#This Row],[uuid]],cards[uuid],0),52),INDEX(tokens[],MATCH(AllCardsViz[[#This Row],[uuid]],tokens[uuid],0),28)),"")</f>
        <v>Boundary Lands Ranger</v>
      </c>
      <c r="C4" t="str">
        <f>IFERROR(_xlfn.IFNA(INDEX(cards[],MATCH(AllCardsViz[[#This Row],[uuid]],cards[uuid],0),64),""),"")</f>
        <v>common</v>
      </c>
      <c r="D4" t="str">
        <f>IFERROR(_xlfn.IFNA(INDEX(cards[],MATCH(AllCardsViz[[#This Row],[uuid]],cards[uuid],0),68),INDEX(tokens[],MATCH(AllCardsViz[[#This Row],[uuid]],tokens[uuid],0),39)),"")</f>
        <v>PIO</v>
      </c>
      <c r="E4" t="str">
        <f>IFERROR(_xlfn.IFNA(INDEX(cards[],MATCH(AllCardsViz[[#This Row],[uuid]],cards[uuid],0),69),INDEX(tokens[],MATCH(AllCardsViz[[#This Row],[uuid]],tokens[uuid],0),40)),"")</f>
        <v/>
      </c>
      <c r="F4" t="str">
        <f>IFERROR(_xlfn.IFNA(INDEX(cards[],MATCH(AllCardsViz[[#This Row],[uuid]],cards[uuid],0),44),INDEX(tokens[],MATCH(AllCardsViz[[#This Row],[uuid]],tokens[uuid],0),24)),"")</f>
        <v/>
      </c>
      <c r="G4" t="str">
        <f>IFERROR(INDEX(sets[],MATCH(AllCardsViz[[#This Row],[Setcode]],sets[code],0),16),INDEX(sets[],MATCH(AllCardsViz[[#This Row],[Setcode]],sets[tokenSetCode],0),16))</f>
        <v>Pioneer Masters</v>
      </c>
    </row>
    <row r="5" spans="1:7" x14ac:dyDescent="0.25">
      <c r="A5" t="str" cm="1">
        <f t="array" ref="A5">IFERROR(INDEX(_xlfn.VSTACK(cards[uuid],tokens[uuid]), ROW()-ROW($A$1)),"")</f>
        <v>1b18ca2b-4e5e-54c1-bf43-1f32afa75f78</v>
      </c>
      <c r="B5" t="str">
        <f>IFERROR(_xlfn.IFNA(INDEX(cards[],MATCH(AllCardsViz[[#This Row],[uuid]],cards[uuid],0),52),INDEX(tokens[],MATCH(AllCardsViz[[#This Row],[uuid]],tokens[uuid],0),28)),"")</f>
        <v>Brisela, Voice of Nightmares</v>
      </c>
      <c r="C5" t="str">
        <f>IFERROR(_xlfn.IFNA(INDEX(cards[],MATCH(AllCardsViz[[#This Row],[uuid]],cards[uuid],0),64),""),"")</f>
        <v>mythic</v>
      </c>
      <c r="D5" t="str">
        <f>IFERROR(_xlfn.IFNA(INDEX(cards[],MATCH(AllCardsViz[[#This Row],[uuid]],cards[uuid],0),68),INDEX(tokens[],MATCH(AllCardsViz[[#This Row],[uuid]],tokens[uuid],0),39)),"")</f>
        <v>EMN</v>
      </c>
      <c r="E5" t="str">
        <f>IFERROR(_xlfn.IFNA(INDEX(cards[],MATCH(AllCardsViz[[#This Row],[uuid]],cards[uuid],0),69),INDEX(tokens[],MATCH(AllCardsViz[[#This Row],[uuid]],tokens[uuid],0),40)),"")</f>
        <v>b</v>
      </c>
      <c r="F5" t="str">
        <f>IFERROR(_xlfn.IFNA(INDEX(cards[],MATCH(AllCardsViz[[#This Row],[uuid]],cards[uuid],0),44),INDEX(tokens[],MATCH(AllCardsViz[[#This Row],[uuid]],tokens[uuid],0),24)),"")</f>
        <v>First strike, Flying, Lifelink, Vigilance</v>
      </c>
      <c r="G5" t="str">
        <f>IFERROR(INDEX(sets[],MATCH(AllCardsViz[[#This Row],[Setcode]],sets[code],0),16),INDEX(sets[],MATCH(AllCardsViz[[#This Row],[Setcode]],sets[tokenSetCode],0),16))</f>
        <v>Eldritch Moon</v>
      </c>
    </row>
    <row r="6" spans="1:7" x14ac:dyDescent="0.25">
      <c r="A6" t="str" cm="1">
        <f t="array" ref="A6">IFERROR(INDEX(_xlfn.VSTACK(cards[uuid],tokens[uuid]), ROW()-ROW($A$1)),"")</f>
        <v>6081d8fd-26e1-5e6a-9c98-417d03214856</v>
      </c>
      <c r="B6" t="str">
        <f>IFERROR(_xlfn.IFNA(INDEX(cards[],MATCH(AllCardsViz[[#This Row],[uuid]],cards[uuid],0),52),INDEX(tokens[],MATCH(AllCardsViz[[#This Row],[uuid]],tokens[uuid],0),28)),"")</f>
        <v>Bruna, the Fading Light // Brisela, Voice of Nightmares</v>
      </c>
      <c r="C6" t="str">
        <f>IFERROR(_xlfn.IFNA(INDEX(cards[],MATCH(AllCardsViz[[#This Row],[uuid]],cards[uuid],0),64),""),"")</f>
        <v>rare</v>
      </c>
      <c r="D6" t="str">
        <f>IFERROR(_xlfn.IFNA(INDEX(cards[],MATCH(AllCardsViz[[#This Row],[uuid]],cards[uuid],0),68),INDEX(tokens[],MATCH(AllCardsViz[[#This Row],[uuid]],tokens[uuid],0),39)),"")</f>
        <v>EMN</v>
      </c>
      <c r="E6" t="str">
        <f>IFERROR(_xlfn.IFNA(INDEX(cards[],MATCH(AllCardsViz[[#This Row],[uuid]],cards[uuid],0),69),INDEX(tokens[],MATCH(AllCardsViz[[#This Row],[uuid]],tokens[uuid],0),40)),"")</f>
        <v>a</v>
      </c>
      <c r="F6" t="str">
        <f>IFERROR(_xlfn.IFNA(INDEX(cards[],MATCH(AllCardsViz[[#This Row],[uuid]],cards[uuid],0),44),INDEX(tokens[],MATCH(AllCardsViz[[#This Row],[uuid]],tokens[uuid],0),24)),"")</f>
        <v>Flying, Vigilance</v>
      </c>
      <c r="G6" t="str">
        <f>IFERROR(INDEX(sets[],MATCH(AllCardsViz[[#This Row],[Setcode]],sets[code],0),16),INDEX(sets[],MATCH(AllCardsViz[[#This Row],[Setcode]],sets[tokenSetCode],0),16))</f>
        <v>Eldritch Moon</v>
      </c>
    </row>
    <row r="7" spans="1:7" x14ac:dyDescent="0.25">
      <c r="A7" t="str" cm="1">
        <f t="array" ref="A7">IFERROR(INDEX(_xlfn.VSTACK(cards[uuid],tokens[uuid]), ROW()-ROW($A$1)),"")</f>
        <v>9ce99de8-bbd0-5043-9670-7f69ec41c1eb</v>
      </c>
      <c r="B7" t="str">
        <f>IFERROR(_xlfn.IFNA(INDEX(cards[],MATCH(AllCardsViz[[#This Row],[uuid]],cards[uuid],0),52),INDEX(tokens[],MATCH(AllCardsViz[[#This Row],[uuid]],tokens[uuid],0),28)),"")</f>
        <v>Bubbling Cauldron</v>
      </c>
      <c r="C7" t="str">
        <f>IFERROR(_xlfn.IFNA(INDEX(cards[],MATCH(AllCardsViz[[#This Row],[uuid]],cards[uuid],0),64),""),"")</f>
        <v>uncommon</v>
      </c>
      <c r="D7" t="str">
        <f>IFERROR(_xlfn.IFNA(INDEX(cards[],MATCH(AllCardsViz[[#This Row],[uuid]],cards[uuid],0),68),INDEX(tokens[],MATCH(AllCardsViz[[#This Row],[uuid]],tokens[uuid],0),39)),"")</f>
        <v>IMA</v>
      </c>
      <c r="E7" t="str">
        <f>IFERROR(_xlfn.IFNA(INDEX(cards[],MATCH(AllCardsViz[[#This Row],[uuid]],cards[uuid],0),69),INDEX(tokens[],MATCH(AllCardsViz[[#This Row],[uuid]],tokens[uuid],0),40)),"")</f>
        <v/>
      </c>
      <c r="F7" t="str">
        <f>IFERROR(_xlfn.IFNA(INDEX(cards[],MATCH(AllCardsViz[[#This Row],[uuid]],cards[uuid],0),44),INDEX(tokens[],MATCH(AllCardsViz[[#This Row],[uuid]],tokens[uuid],0),24)),"")</f>
        <v/>
      </c>
      <c r="G7" t="str">
        <f>IFERROR(INDEX(sets[],MATCH(AllCardsViz[[#This Row],[Setcode]],sets[code],0),16),INDEX(sets[],MATCH(AllCardsViz[[#This Row],[Setcode]],sets[tokenSetCode],0),16))</f>
        <v>Iconic Masters</v>
      </c>
    </row>
    <row r="8" spans="1:7" x14ac:dyDescent="0.25">
      <c r="A8" t="str" cm="1">
        <f t="array" ref="A8">IFERROR(INDEX(_xlfn.VSTACK(cards[uuid],tokens[uuid]), ROW()-ROW($A$1)),"")</f>
        <v>f1e4acc1-1bb7-57ea-9d61-edb3e803ab5c</v>
      </c>
      <c r="B8" t="str">
        <f>IFERROR(_xlfn.IFNA(INDEX(cards[],MATCH(AllCardsViz[[#This Row],[uuid]],cards[uuid],0),52),INDEX(tokens[],MATCH(AllCardsViz[[#This Row],[uuid]],tokens[uuid],0),28)),"")</f>
        <v>Crenellated Wall</v>
      </c>
      <c r="C8" t="str">
        <f>IFERROR(_xlfn.IFNA(INDEX(cards[],MATCH(AllCardsViz[[#This Row],[uuid]],cards[uuid],0),64),""),"")</f>
        <v>uncommon</v>
      </c>
      <c r="D8" t="str">
        <f>IFERROR(_xlfn.IFNA(INDEX(cards[],MATCH(AllCardsViz[[#This Row],[uuid]],cards[uuid],0),68),INDEX(tokens[],MATCH(AllCardsViz[[#This Row],[uuid]],tokens[uuid],0),39)),"")</f>
        <v>MMQ</v>
      </c>
      <c r="E8" t="str">
        <f>IFERROR(_xlfn.IFNA(INDEX(cards[],MATCH(AllCardsViz[[#This Row],[uuid]],cards[uuid],0),69),INDEX(tokens[],MATCH(AllCardsViz[[#This Row],[uuid]],tokens[uuid],0),40)),"")</f>
        <v/>
      </c>
      <c r="F8" t="str">
        <f>IFERROR(_xlfn.IFNA(INDEX(cards[],MATCH(AllCardsViz[[#This Row],[uuid]],cards[uuid],0),44),INDEX(tokens[],MATCH(AllCardsViz[[#This Row],[uuid]],tokens[uuid],0),24)),"")</f>
        <v>Defender</v>
      </c>
      <c r="G8" t="str">
        <f>IFERROR(INDEX(sets[],MATCH(AllCardsViz[[#This Row],[Setcode]],sets[code],0),16),INDEX(sets[],MATCH(AllCardsViz[[#This Row],[Setcode]],sets[tokenSetCode],0),16))</f>
        <v>Mercadian Masques</v>
      </c>
    </row>
    <row r="9" spans="1:7" x14ac:dyDescent="0.25">
      <c r="A9" t="str" cm="1">
        <f t="array" ref="A9">IFERROR(INDEX(_xlfn.VSTACK(cards[uuid],tokens[uuid]), ROW()-ROW($A$1)),"")</f>
        <v>fd1183ad-ae98-5c4b-b93d-97d32b74d999</v>
      </c>
      <c r="B9" t="str">
        <f>IFERROR(_xlfn.IFNA(INDEX(cards[],MATCH(AllCardsViz[[#This Row],[uuid]],cards[uuid],0),52),INDEX(tokens[],MATCH(AllCardsViz[[#This Row],[uuid]],tokens[uuid],0),28)),"")</f>
        <v>Culling Drone</v>
      </c>
      <c r="C9" t="str">
        <f>IFERROR(_xlfn.IFNA(INDEX(cards[],MATCH(AllCardsViz[[#This Row],[uuid]],cards[uuid],0),64),""),"")</f>
        <v>common</v>
      </c>
      <c r="D9" t="str">
        <f>IFERROR(_xlfn.IFNA(INDEX(cards[],MATCH(AllCardsViz[[#This Row],[uuid]],cards[uuid],0),68),INDEX(tokens[],MATCH(AllCardsViz[[#This Row],[uuid]],tokens[uuid],0),39)),"")</f>
        <v>BFZ</v>
      </c>
      <c r="E9" t="str">
        <f>IFERROR(_xlfn.IFNA(INDEX(cards[],MATCH(AllCardsViz[[#This Row],[uuid]],cards[uuid],0),69),INDEX(tokens[],MATCH(AllCardsViz[[#This Row],[uuid]],tokens[uuid],0),40)),"")</f>
        <v/>
      </c>
      <c r="F9" t="str">
        <f>IFERROR(_xlfn.IFNA(INDEX(cards[],MATCH(AllCardsViz[[#This Row],[uuid]],cards[uuid],0),44),INDEX(tokens[],MATCH(AllCardsViz[[#This Row],[uuid]],tokens[uuid],0),24)),"")</f>
        <v>Devoid, Ingest</v>
      </c>
      <c r="G9" t="str">
        <f>IFERROR(INDEX(sets[],MATCH(AllCardsViz[[#This Row],[Setcode]],sets[code],0),16),INDEX(sets[],MATCH(AllCardsViz[[#This Row],[Setcode]],sets[tokenSetCode],0),16))</f>
        <v>Battle for Zendikar</v>
      </c>
    </row>
    <row r="10" spans="1:7" x14ac:dyDescent="0.25">
      <c r="A10" t="str" cm="1">
        <f t="array" ref="A10">IFERROR(INDEX(_xlfn.VSTACK(cards[uuid],tokens[uuid]), ROW()-ROW($A$1)),"")</f>
        <v>43b41a9c-56c7-5aa9-80bf-dc90211351ab</v>
      </c>
      <c r="B10" t="str">
        <f>IFERROR(_xlfn.IFNA(INDEX(cards[],MATCH(AllCardsViz[[#This Row],[uuid]],cards[uuid],0),52),INDEX(tokens[],MATCH(AllCardsViz[[#This Row],[uuid]],tokens[uuid],0),28)),"")</f>
        <v>Dead Weight</v>
      </c>
      <c r="C10" t="str">
        <f>IFERROR(_xlfn.IFNA(INDEX(cards[],MATCH(AllCardsViz[[#This Row],[uuid]],cards[uuid],0),64),""),"")</f>
        <v>common</v>
      </c>
      <c r="D10" t="str">
        <f>IFERROR(_xlfn.IFNA(INDEX(cards[],MATCH(AllCardsViz[[#This Row],[uuid]],cards[uuid],0),68),INDEX(tokens[],MATCH(AllCardsViz[[#This Row],[uuid]],tokens[uuid],0),39)),"")</f>
        <v>GRN</v>
      </c>
      <c r="E10" t="str">
        <f>IFERROR(_xlfn.IFNA(INDEX(cards[],MATCH(AllCardsViz[[#This Row],[uuid]],cards[uuid],0),69),INDEX(tokens[],MATCH(AllCardsViz[[#This Row],[uuid]],tokens[uuid],0),40)),"")</f>
        <v/>
      </c>
      <c r="F10" t="str">
        <f>IFERROR(_xlfn.IFNA(INDEX(cards[],MATCH(AllCardsViz[[#This Row],[uuid]],cards[uuid],0),44),INDEX(tokens[],MATCH(AllCardsViz[[#This Row],[uuid]],tokens[uuid],0),24)),"")</f>
        <v>Enchant</v>
      </c>
      <c r="G10" t="str">
        <f>IFERROR(INDEX(sets[],MATCH(AllCardsViz[[#This Row],[Setcode]],sets[code],0),16),INDEX(sets[],MATCH(AllCardsViz[[#This Row],[Setcode]],sets[tokenSetCode],0),16))</f>
        <v>Guilds of Ravnica</v>
      </c>
    </row>
    <row r="11" spans="1:7" x14ac:dyDescent="0.25">
      <c r="A11" t="str" cm="1">
        <f t="array" ref="A11">IFERROR(INDEX(_xlfn.VSTACK(cards[uuid],tokens[uuid]), ROW()-ROW($A$1)),"")</f>
        <v>a8b3fc41-5f35-5fe2-bc74-7e015a836fd3</v>
      </c>
      <c r="B11" t="str">
        <f>IFERROR(_xlfn.IFNA(INDEX(cards[],MATCH(AllCardsViz[[#This Row],[uuid]],cards[uuid],0),52),INDEX(tokens[],MATCH(AllCardsViz[[#This Row],[uuid]],tokens[uuid],0),28)),"")</f>
        <v>Deftblade Elite</v>
      </c>
      <c r="C11" t="str">
        <f>IFERROR(_xlfn.IFNA(INDEX(cards[],MATCH(AllCardsViz[[#This Row],[uuid]],cards[uuid],0),64),""),"")</f>
        <v>common</v>
      </c>
      <c r="D11" t="str">
        <f>IFERROR(_xlfn.IFNA(INDEX(cards[],MATCH(AllCardsViz[[#This Row],[uuid]],cards[uuid],0),68),INDEX(tokens[],MATCH(AllCardsViz[[#This Row],[uuid]],tokens[uuid],0),39)),"")</f>
        <v>PLST</v>
      </c>
      <c r="E11" t="str">
        <f>IFERROR(_xlfn.IFNA(INDEX(cards[],MATCH(AllCardsViz[[#This Row],[uuid]],cards[uuid],0),69),INDEX(tokens[],MATCH(AllCardsViz[[#This Row],[uuid]],tokens[uuid],0),40)),"")</f>
        <v/>
      </c>
      <c r="F11" t="str">
        <f>IFERROR(_xlfn.IFNA(INDEX(cards[],MATCH(AllCardsViz[[#This Row],[uuid]],cards[uuid],0),44),INDEX(tokens[],MATCH(AllCardsViz[[#This Row],[uuid]],tokens[uuid],0),24)),"")</f>
        <v>Provoke</v>
      </c>
      <c r="G11" t="str">
        <f>IFERROR(INDEX(sets[],MATCH(AllCardsViz[[#This Row],[Setcode]],sets[code],0),16),INDEX(sets[],MATCH(AllCardsViz[[#This Row],[Setcode]],sets[tokenSetCode],0),16))</f>
        <v>The List</v>
      </c>
    </row>
    <row r="12" spans="1:7" x14ac:dyDescent="0.25">
      <c r="A12" t="str" cm="1">
        <f t="array" ref="A12">IFERROR(INDEX(_xlfn.VSTACK(cards[uuid],tokens[uuid]), ROW()-ROW($A$1)),"")</f>
        <v>6955a085-32f8-5582-9533-c506ef88213b</v>
      </c>
      <c r="B12" t="str">
        <f>IFERROR(_xlfn.IFNA(INDEX(cards[],MATCH(AllCardsViz[[#This Row],[uuid]],cards[uuid],0),52),INDEX(tokens[],MATCH(AllCardsViz[[#This Row],[uuid]],tokens[uuid],0),28)),"")</f>
        <v>Deny the Divine</v>
      </c>
      <c r="C12" t="str">
        <f>IFERROR(_xlfn.IFNA(INDEX(cards[],MATCH(AllCardsViz[[#This Row],[uuid]],cards[uuid],0),64),""),"")</f>
        <v>common</v>
      </c>
      <c r="D12" t="str">
        <f>IFERROR(_xlfn.IFNA(INDEX(cards[],MATCH(AllCardsViz[[#This Row],[uuid]],cards[uuid],0),68),INDEX(tokens[],MATCH(AllCardsViz[[#This Row],[uuid]],tokens[uuid],0),39)),"")</f>
        <v>THB</v>
      </c>
      <c r="E12" t="str">
        <f>IFERROR(_xlfn.IFNA(INDEX(cards[],MATCH(AllCardsViz[[#This Row],[uuid]],cards[uuid],0),69),INDEX(tokens[],MATCH(AllCardsViz[[#This Row],[uuid]],tokens[uuid],0),40)),"")</f>
        <v/>
      </c>
      <c r="F12" t="str">
        <f>IFERROR(_xlfn.IFNA(INDEX(cards[],MATCH(AllCardsViz[[#This Row],[uuid]],cards[uuid],0),44),INDEX(tokens[],MATCH(AllCardsViz[[#This Row],[uuid]],tokens[uuid],0),24)),"")</f>
        <v/>
      </c>
      <c r="G12" t="str">
        <f>IFERROR(INDEX(sets[],MATCH(AllCardsViz[[#This Row],[Setcode]],sets[code],0),16),INDEX(sets[],MATCH(AllCardsViz[[#This Row],[Setcode]],sets[tokenSetCode],0),16))</f>
        <v>Theros Beyond Death</v>
      </c>
    </row>
    <row r="13" spans="1:7" x14ac:dyDescent="0.25">
      <c r="A13" t="str" cm="1">
        <f t="array" ref="A13">IFERROR(INDEX(_xlfn.VSTACK(cards[uuid],tokens[uuid]), ROW()-ROW($A$1)),"")</f>
        <v>16f1c97a-b896-59d0-80ab-6f00a6ea1d28</v>
      </c>
      <c r="B13" t="str">
        <f>IFERROR(_xlfn.IFNA(INDEX(cards[],MATCH(AllCardsViz[[#This Row],[uuid]],cards[uuid],0),52),INDEX(tokens[],MATCH(AllCardsViz[[#This Row],[uuid]],tokens[uuid],0),28)),"")</f>
        <v>Dragonscale Boon</v>
      </c>
      <c r="C13" t="str">
        <f>IFERROR(_xlfn.IFNA(INDEX(cards[],MATCH(AllCardsViz[[#This Row],[uuid]],cards[uuid],0),64),""),"")</f>
        <v>common</v>
      </c>
      <c r="D13" t="str">
        <f>IFERROR(_xlfn.IFNA(INDEX(cards[],MATCH(AllCardsViz[[#This Row],[uuid]],cards[uuid],0),68),INDEX(tokens[],MATCH(AllCardsViz[[#This Row],[uuid]],tokens[uuid],0),39)),"")</f>
        <v>PLST</v>
      </c>
      <c r="E13" t="str">
        <f>IFERROR(_xlfn.IFNA(INDEX(cards[],MATCH(AllCardsViz[[#This Row],[uuid]],cards[uuid],0),69),INDEX(tokens[],MATCH(AllCardsViz[[#This Row],[uuid]],tokens[uuid],0),40)),"")</f>
        <v/>
      </c>
      <c r="F13" t="str">
        <f>IFERROR(_xlfn.IFNA(INDEX(cards[],MATCH(AllCardsViz[[#This Row],[uuid]],cards[uuid],0),44),INDEX(tokens[],MATCH(AllCardsViz[[#This Row],[uuid]],tokens[uuid],0),24)),"")</f>
        <v/>
      </c>
      <c r="G13" t="str">
        <f>IFERROR(INDEX(sets[],MATCH(AllCardsViz[[#This Row],[Setcode]],sets[code],0),16),INDEX(sets[],MATCH(AllCardsViz[[#This Row],[Setcode]],sets[tokenSetCode],0),16))</f>
        <v>The List</v>
      </c>
    </row>
    <row r="14" spans="1:7" x14ac:dyDescent="0.25">
      <c r="A14" t="str" cm="1">
        <f t="array" ref="A14">IFERROR(INDEX(_xlfn.VSTACK(cards[uuid],tokens[uuid]), ROW()-ROW($A$1)),"")</f>
        <v>b473e6ca-2c93-5244-b821-a8bc41061ddb</v>
      </c>
      <c r="B14" t="str">
        <f>IFERROR(_xlfn.IFNA(INDEX(cards[],MATCH(AllCardsViz[[#This Row],[uuid]],cards[uuid],0),52),INDEX(tokens[],MATCH(AllCardsViz[[#This Row],[uuid]],tokens[uuid],0),28)),"")</f>
        <v>Flameshot</v>
      </c>
      <c r="C14" t="str">
        <f>IFERROR(_xlfn.IFNA(INDEX(cards[],MATCH(AllCardsViz[[#This Row],[uuid]],cards[uuid],0),64),""),"")</f>
        <v>uncommon</v>
      </c>
      <c r="D14" t="str">
        <f>IFERROR(_xlfn.IFNA(INDEX(cards[],MATCH(AllCardsViz[[#This Row],[uuid]],cards[uuid],0),68),INDEX(tokens[],MATCH(AllCardsViz[[#This Row],[uuid]],tokens[uuid],0),39)),"")</f>
        <v>PLST</v>
      </c>
      <c r="E14" t="str">
        <f>IFERROR(_xlfn.IFNA(INDEX(cards[],MATCH(AllCardsViz[[#This Row],[uuid]],cards[uuid],0),69),INDEX(tokens[],MATCH(AllCardsViz[[#This Row],[uuid]],tokens[uuid],0),40)),"")</f>
        <v/>
      </c>
      <c r="F14" t="str">
        <f>IFERROR(_xlfn.IFNA(INDEX(cards[],MATCH(AllCardsViz[[#This Row],[uuid]],cards[uuid],0),44),INDEX(tokens[],MATCH(AllCardsViz[[#This Row],[uuid]],tokens[uuid],0),24)),"")</f>
        <v/>
      </c>
      <c r="G14" t="str">
        <f>IFERROR(INDEX(sets[],MATCH(AllCardsViz[[#This Row],[Setcode]],sets[code],0),16),INDEX(sets[],MATCH(AllCardsViz[[#This Row],[Setcode]],sets[tokenSetCode],0),16))</f>
        <v>The List</v>
      </c>
    </row>
    <row r="15" spans="1:7" x14ac:dyDescent="0.25">
      <c r="A15" t="str" cm="1">
        <f t="array" ref="A15">IFERROR(INDEX(_xlfn.VSTACK(cards[uuid],tokens[uuid]), ROW()-ROW($A$1)),"")</f>
        <v>e7613acb-a554-5a49-aa38-88fff17503fe</v>
      </c>
      <c r="B15" t="str">
        <f>IFERROR(_xlfn.IFNA(INDEX(cards[],MATCH(AllCardsViz[[#This Row],[uuid]],cards[uuid],0),52),INDEX(tokens[],MATCH(AllCardsViz[[#This Row],[uuid]],tokens[uuid],0),28)),"")</f>
        <v>Font of Ire</v>
      </c>
      <c r="C15" t="str">
        <f>IFERROR(_xlfn.IFNA(INDEX(cards[],MATCH(AllCardsViz[[#This Row],[uuid]],cards[uuid],0),64),""),"")</f>
        <v>common</v>
      </c>
      <c r="D15" t="str">
        <f>IFERROR(_xlfn.IFNA(INDEX(cards[],MATCH(AllCardsViz[[#This Row],[uuid]],cards[uuid],0),68),INDEX(tokens[],MATCH(AllCardsViz[[#This Row],[uuid]],tokens[uuid],0),39)),"")</f>
        <v>JOU</v>
      </c>
      <c r="E15" t="str">
        <f>IFERROR(_xlfn.IFNA(INDEX(cards[],MATCH(AllCardsViz[[#This Row],[uuid]],cards[uuid],0),69),INDEX(tokens[],MATCH(AllCardsViz[[#This Row],[uuid]],tokens[uuid],0),40)),"")</f>
        <v/>
      </c>
      <c r="F15" t="str">
        <f>IFERROR(_xlfn.IFNA(INDEX(cards[],MATCH(AllCardsViz[[#This Row],[uuid]],cards[uuid],0),44),INDEX(tokens[],MATCH(AllCardsViz[[#This Row],[uuid]],tokens[uuid],0),24)),"")</f>
        <v/>
      </c>
      <c r="G15" t="str">
        <f>IFERROR(INDEX(sets[],MATCH(AllCardsViz[[#This Row],[Setcode]],sets[code],0),16),INDEX(sets[],MATCH(AllCardsViz[[#This Row],[Setcode]],sets[tokenSetCode],0),16))</f>
        <v>Journey into Nyx</v>
      </c>
    </row>
    <row r="16" spans="1:7" x14ac:dyDescent="0.25">
      <c r="A16" t="str" cm="1">
        <f t="array" ref="A16">IFERROR(INDEX(_xlfn.VSTACK(cards[uuid],tokens[uuid]), ROW()-ROW($A$1)),"")</f>
        <v>a499b95b-8f0f-56e2-ba4e-077e5bc6979e</v>
      </c>
      <c r="B16" t="str">
        <f>IFERROR(_xlfn.IFNA(INDEX(cards[],MATCH(AllCardsViz[[#This Row],[uuid]],cards[uuid],0),52),INDEX(tokens[],MATCH(AllCardsViz[[#This Row],[uuid]],tokens[uuid],0),28)),"")</f>
        <v>Forest</v>
      </c>
      <c r="C16" t="str">
        <f>IFERROR(_xlfn.IFNA(INDEX(cards[],MATCH(AllCardsViz[[#This Row],[uuid]],cards[uuid],0),64),""),"")</f>
        <v>common</v>
      </c>
      <c r="D16" t="str">
        <f>IFERROR(_xlfn.IFNA(INDEX(cards[],MATCH(AllCardsViz[[#This Row],[uuid]],cards[uuid],0),68),INDEX(tokens[],MATCH(AllCardsViz[[#This Row],[uuid]],tokens[uuid],0),39)),"")</f>
        <v>MID</v>
      </c>
      <c r="E16" t="str">
        <f>IFERROR(_xlfn.IFNA(INDEX(cards[],MATCH(AllCardsViz[[#This Row],[uuid]],cards[uuid],0),69),INDEX(tokens[],MATCH(AllCardsViz[[#This Row],[uuid]],tokens[uuid],0),40)),"")</f>
        <v/>
      </c>
      <c r="F16" t="str">
        <f>IFERROR(_xlfn.IFNA(INDEX(cards[],MATCH(AllCardsViz[[#This Row],[uuid]],cards[uuid],0),44),INDEX(tokens[],MATCH(AllCardsViz[[#This Row],[uuid]],tokens[uuid],0),24)),"")</f>
        <v/>
      </c>
      <c r="G16" t="str">
        <f>IFERROR(INDEX(sets[],MATCH(AllCardsViz[[#This Row],[Setcode]],sets[code],0),16),INDEX(sets[],MATCH(AllCardsViz[[#This Row],[Setcode]],sets[tokenSetCode],0),16))</f>
        <v>Innistrad: Midnight Hunt</v>
      </c>
    </row>
    <row r="17" spans="1:7" x14ac:dyDescent="0.25">
      <c r="A17" t="str" cm="1">
        <f t="array" ref="A17">IFERROR(INDEX(_xlfn.VSTACK(cards[uuid],tokens[uuid]), ROW()-ROW($A$1)),"")</f>
        <v>5bb79a0f-ad7d-5383-8c9d-04bc757bcb4f</v>
      </c>
      <c r="B17" t="str">
        <f>IFERROR(_xlfn.IFNA(INDEX(cards[],MATCH(AllCardsViz[[#This Row],[uuid]],cards[uuid],0),52),INDEX(tokens[],MATCH(AllCardsViz[[#This Row],[uuid]],tokens[uuid],0),28)),"")</f>
        <v>Gisela, the Broken Blade // Brisela, Voice of Nightmares</v>
      </c>
      <c r="C17" t="str">
        <f>IFERROR(_xlfn.IFNA(INDEX(cards[],MATCH(AllCardsViz[[#This Row],[uuid]],cards[uuid],0),64),""),"")</f>
        <v>mythic</v>
      </c>
      <c r="D17" t="str">
        <f>IFERROR(_xlfn.IFNA(INDEX(cards[],MATCH(AllCardsViz[[#This Row],[uuid]],cards[uuid],0),68),INDEX(tokens[],MATCH(AllCardsViz[[#This Row],[uuid]],tokens[uuid],0),39)),"")</f>
        <v>EMN</v>
      </c>
      <c r="E17" t="str">
        <f>IFERROR(_xlfn.IFNA(INDEX(cards[],MATCH(AllCardsViz[[#This Row],[uuid]],cards[uuid],0),69),INDEX(tokens[],MATCH(AllCardsViz[[#This Row],[uuid]],tokens[uuid],0),40)),"")</f>
        <v>a</v>
      </c>
      <c r="F17" t="str">
        <f>IFERROR(_xlfn.IFNA(INDEX(cards[],MATCH(AllCardsViz[[#This Row],[uuid]],cards[uuid],0),44),INDEX(tokens[],MATCH(AllCardsViz[[#This Row],[uuid]],tokens[uuid],0),24)),"")</f>
        <v>First strike, Flying, Lifelink, Meld</v>
      </c>
      <c r="G17" t="str">
        <f>IFERROR(INDEX(sets[],MATCH(AllCardsViz[[#This Row],[Setcode]],sets[code],0),16),INDEX(sets[],MATCH(AllCardsViz[[#This Row],[Setcode]],sets[tokenSetCode],0),16))</f>
        <v>Eldritch Moon</v>
      </c>
    </row>
    <row r="18" spans="1:7" x14ac:dyDescent="0.25">
      <c r="A18" t="str" cm="1">
        <f t="array" ref="A18">IFERROR(INDEX(_xlfn.VSTACK(cards[uuid],tokens[uuid]), ROW()-ROW($A$1)),"")</f>
        <v>1c1aafc6-e078-5951-a22e-4d386aef8140</v>
      </c>
      <c r="B18" t="str">
        <f>IFERROR(_xlfn.IFNA(INDEX(cards[],MATCH(AllCardsViz[[#This Row],[uuid]],cards[uuid],0),52),INDEX(tokens[],MATCH(AllCardsViz[[#This Row],[uuid]],tokens[uuid],0),28)),"")</f>
        <v>Gixian Puppeteer</v>
      </c>
      <c r="C18" t="str">
        <f>IFERROR(_xlfn.IFNA(INDEX(cards[],MATCH(AllCardsViz[[#This Row],[uuid]],cards[uuid],0),64),""),"")</f>
        <v>rare</v>
      </c>
      <c r="D18" t="str">
        <f>IFERROR(_xlfn.IFNA(INDEX(cards[],MATCH(AllCardsViz[[#This Row],[uuid]],cards[uuid],0),68),INDEX(tokens[],MATCH(AllCardsViz[[#This Row],[uuid]],tokens[uuid],0),39)),"")</f>
        <v>PRM</v>
      </c>
      <c r="E18" t="str">
        <f>IFERROR(_xlfn.IFNA(INDEX(cards[],MATCH(AllCardsViz[[#This Row],[uuid]],cards[uuid],0),69),INDEX(tokens[],MATCH(AllCardsViz[[#This Row],[uuid]],tokens[uuid],0),40)),"")</f>
        <v/>
      </c>
      <c r="F18" t="str">
        <f>IFERROR(_xlfn.IFNA(INDEX(cards[],MATCH(AllCardsViz[[#This Row],[uuid]],cards[uuid],0),44),INDEX(tokens[],MATCH(AllCardsViz[[#This Row],[uuid]],tokens[uuid],0),24)),"")</f>
        <v/>
      </c>
      <c r="G18" t="str">
        <f>IFERROR(INDEX(sets[],MATCH(AllCardsViz[[#This Row],[Setcode]],sets[code],0),16),INDEX(sets[],MATCH(AllCardsViz[[#This Row],[Setcode]],sets[tokenSetCode],0),16))</f>
        <v>Magic Online Promos</v>
      </c>
    </row>
    <row r="19" spans="1:7" x14ac:dyDescent="0.25">
      <c r="A19" t="str" cm="1">
        <f t="array" ref="A19">IFERROR(INDEX(_xlfn.VSTACK(cards[uuid],tokens[uuid]), ROW()-ROW($A$1)),"")</f>
        <v>28a21701-487e-5d54-9bb2-22f862734499</v>
      </c>
      <c r="B19" t="str">
        <f>IFERROR(_xlfn.IFNA(INDEX(cards[],MATCH(AllCardsViz[[#This Row],[uuid]],cards[uuid],0),52),INDEX(tokens[],MATCH(AllCardsViz[[#This Row],[uuid]],tokens[uuid],0),28)),"")</f>
        <v>Glarewielder</v>
      </c>
      <c r="C19" t="str">
        <f>IFERROR(_xlfn.IFNA(INDEX(cards[],MATCH(AllCardsViz[[#This Row],[uuid]],cards[uuid],0),64),""),"")</f>
        <v>uncommon</v>
      </c>
      <c r="D19" t="str">
        <f>IFERROR(_xlfn.IFNA(INDEX(cards[],MATCH(AllCardsViz[[#This Row],[uuid]],cards[uuid],0),68),INDEX(tokens[],MATCH(AllCardsViz[[#This Row],[uuid]],tokens[uuid],0),39)),"")</f>
        <v>LRW</v>
      </c>
      <c r="E19" t="str">
        <f>IFERROR(_xlfn.IFNA(INDEX(cards[],MATCH(AllCardsViz[[#This Row],[uuid]],cards[uuid],0),69),INDEX(tokens[],MATCH(AllCardsViz[[#This Row],[uuid]],tokens[uuid],0),40)),"")</f>
        <v/>
      </c>
      <c r="F19" t="str">
        <f>IFERROR(_xlfn.IFNA(INDEX(cards[],MATCH(AllCardsViz[[#This Row],[uuid]],cards[uuid],0),44),INDEX(tokens[],MATCH(AllCardsViz[[#This Row],[uuid]],tokens[uuid],0),24)),"")</f>
        <v>Evoke, Haste</v>
      </c>
      <c r="G19" t="str">
        <f>IFERROR(INDEX(sets[],MATCH(AllCardsViz[[#This Row],[Setcode]],sets[code],0),16),INDEX(sets[],MATCH(AllCardsViz[[#This Row],[Setcode]],sets[tokenSetCode],0),16))</f>
        <v>Lorwyn</v>
      </c>
    </row>
    <row r="20" spans="1:7" x14ac:dyDescent="0.25">
      <c r="A20" t="str" cm="1">
        <f t="array" ref="A20">IFERROR(INDEX(_xlfn.VSTACK(cards[uuid],tokens[uuid]), ROW()-ROW($A$1)),"")</f>
        <v>5ce32715-8dee-5c47-986a-88d00e87c506</v>
      </c>
      <c r="B20" t="str">
        <f>IFERROR(_xlfn.IFNA(INDEX(cards[],MATCH(AllCardsViz[[#This Row],[uuid]],cards[uuid],0),52),INDEX(tokens[],MATCH(AllCardsViz[[#This Row],[uuid]],tokens[uuid],0),28)),"")</f>
        <v>Grazing Gladehart</v>
      </c>
      <c r="C20" t="str">
        <f>IFERROR(_xlfn.IFNA(INDEX(cards[],MATCH(AllCardsViz[[#This Row],[uuid]],cards[uuid],0),64),""),"")</f>
        <v>common</v>
      </c>
      <c r="D20" t="str">
        <f>IFERROR(_xlfn.IFNA(INDEX(cards[],MATCH(AllCardsViz[[#This Row],[uuid]],cards[uuid],0),68),INDEX(tokens[],MATCH(AllCardsViz[[#This Row],[uuid]],tokens[uuid],0),39)),"")</f>
        <v>ZEN</v>
      </c>
      <c r="E20" t="str">
        <f>IFERROR(_xlfn.IFNA(INDEX(cards[],MATCH(AllCardsViz[[#This Row],[uuid]],cards[uuid],0),69),INDEX(tokens[],MATCH(AllCardsViz[[#This Row],[uuid]],tokens[uuid],0),40)),"")</f>
        <v/>
      </c>
      <c r="F20" t="str">
        <f>IFERROR(_xlfn.IFNA(INDEX(cards[],MATCH(AllCardsViz[[#This Row],[uuid]],cards[uuid],0),44),INDEX(tokens[],MATCH(AllCardsViz[[#This Row],[uuid]],tokens[uuid],0),24)),"")</f>
        <v>Landfall</v>
      </c>
      <c r="G20" t="str">
        <f>IFERROR(INDEX(sets[],MATCH(AllCardsViz[[#This Row],[Setcode]],sets[code],0),16),INDEX(sets[],MATCH(AllCardsViz[[#This Row],[Setcode]],sets[tokenSetCode],0),16))</f>
        <v>Zendikar</v>
      </c>
    </row>
    <row r="21" spans="1:7" x14ac:dyDescent="0.25">
      <c r="A21" t="str" cm="1">
        <f t="array" ref="A21">IFERROR(INDEX(_xlfn.VSTACK(cards[uuid],tokens[uuid]), ROW()-ROW($A$1)),"")</f>
        <v>d0bcc932-d1f2-509c-90de-42512b6fef75</v>
      </c>
      <c r="B21" t="str">
        <f>IFERROR(_xlfn.IFNA(INDEX(cards[],MATCH(AllCardsViz[[#This Row],[uuid]],cards[uuid],0),52),INDEX(tokens[],MATCH(AllCardsViz[[#This Row],[uuid]],tokens[uuid],0),28)),"")</f>
        <v>Guild Feud</v>
      </c>
      <c r="C21" t="str">
        <f>IFERROR(_xlfn.IFNA(INDEX(cards[],MATCH(AllCardsViz[[#This Row],[uuid]],cards[uuid],0),64),""),"")</f>
        <v>rare</v>
      </c>
      <c r="D21" t="str">
        <f>IFERROR(_xlfn.IFNA(INDEX(cards[],MATCH(AllCardsViz[[#This Row],[uuid]],cards[uuid],0),68),INDEX(tokens[],MATCH(AllCardsViz[[#This Row],[uuid]],tokens[uuid],0),39)),"")</f>
        <v>RTR</v>
      </c>
      <c r="E21" t="str">
        <f>IFERROR(_xlfn.IFNA(INDEX(cards[],MATCH(AllCardsViz[[#This Row],[uuid]],cards[uuid],0),69),INDEX(tokens[],MATCH(AllCardsViz[[#This Row],[uuid]],tokens[uuid],0),40)),"")</f>
        <v/>
      </c>
      <c r="F21" t="str">
        <f>IFERROR(_xlfn.IFNA(INDEX(cards[],MATCH(AllCardsViz[[#This Row],[uuid]],cards[uuid],0),44),INDEX(tokens[],MATCH(AllCardsViz[[#This Row],[uuid]],tokens[uuid],0),24)),"")</f>
        <v>Fight</v>
      </c>
      <c r="G21" t="str">
        <f>IFERROR(INDEX(sets[],MATCH(AllCardsViz[[#This Row],[Setcode]],sets[code],0),16),INDEX(sets[],MATCH(AllCardsViz[[#This Row],[Setcode]],sets[tokenSetCode],0),16))</f>
        <v>Return to Ravnica</v>
      </c>
    </row>
    <row r="22" spans="1:7" x14ac:dyDescent="0.25">
      <c r="A22" t="str" cm="1">
        <f t="array" ref="A22">IFERROR(INDEX(_xlfn.VSTACK(cards[uuid],tokens[uuid]), ROW()-ROW($A$1)),"")</f>
        <v>91556c5f-b11e-573d-a3bb-627dfa6c2926</v>
      </c>
      <c r="B22" t="str">
        <f>IFERROR(_xlfn.IFNA(INDEX(cards[],MATCH(AllCardsViz[[#This Row],[uuid]],cards[uuid],0),52),INDEX(tokens[],MATCH(AllCardsViz[[#This Row],[uuid]],tokens[uuid],0),28)),"")</f>
        <v>Hungry Mist</v>
      </c>
      <c r="C22" t="str">
        <f>IFERROR(_xlfn.IFNA(INDEX(cards[],MATCH(AllCardsViz[[#This Row],[uuid]],cards[uuid],0),64),""),"")</f>
        <v>common</v>
      </c>
      <c r="D22" t="str">
        <f>IFERROR(_xlfn.IFNA(INDEX(cards[],MATCH(AllCardsViz[[#This Row],[uuid]],cards[uuid],0),68),INDEX(tokens[],MATCH(AllCardsViz[[#This Row],[uuid]],tokens[uuid],0),39)),"")</f>
        <v>HML</v>
      </c>
      <c r="E22" t="str">
        <f>IFERROR(_xlfn.IFNA(INDEX(cards[],MATCH(AllCardsViz[[#This Row],[uuid]],cards[uuid],0),69),INDEX(tokens[],MATCH(AllCardsViz[[#This Row],[uuid]],tokens[uuid],0),40)),"")</f>
        <v/>
      </c>
      <c r="F22" t="str">
        <f>IFERROR(_xlfn.IFNA(INDEX(cards[],MATCH(AllCardsViz[[#This Row],[uuid]],cards[uuid],0),44),INDEX(tokens[],MATCH(AllCardsViz[[#This Row],[uuid]],tokens[uuid],0),24)),"")</f>
        <v/>
      </c>
      <c r="G22" t="str">
        <f>IFERROR(INDEX(sets[],MATCH(AllCardsViz[[#This Row],[Setcode]],sets[code],0),16),INDEX(sets[],MATCH(AllCardsViz[[#This Row],[Setcode]],sets[tokenSetCode],0),16))</f>
        <v>Homelands</v>
      </c>
    </row>
    <row r="23" spans="1:7" x14ac:dyDescent="0.25">
      <c r="A23" t="str" cm="1">
        <f t="array" ref="A23">IFERROR(INDEX(_xlfn.VSTACK(cards[uuid],tokens[uuid]), ROW()-ROW($A$1)),"")</f>
        <v>413e11a5-35a1-51c7-928b-219b4453a094</v>
      </c>
      <c r="B23" t="str">
        <f>IFERROR(_xlfn.IFNA(INDEX(cards[],MATCH(AllCardsViz[[#This Row],[uuid]],cards[uuid],0),52),INDEX(tokens[],MATCH(AllCardsViz[[#This Row],[uuid]],tokens[uuid],0),28)),"")</f>
        <v>Hypnotic Cloud</v>
      </c>
      <c r="C23" t="str">
        <f>IFERROR(_xlfn.IFNA(INDEX(cards[],MATCH(AllCardsViz[[#This Row],[uuid]],cards[uuid],0),64),""),"")</f>
        <v>common</v>
      </c>
      <c r="D23" t="str">
        <f>IFERROR(_xlfn.IFNA(INDEX(cards[],MATCH(AllCardsViz[[#This Row],[uuid]],cards[uuid],0),68),INDEX(tokens[],MATCH(AllCardsViz[[#This Row],[uuid]],tokens[uuid],0),39)),"")</f>
        <v>INV</v>
      </c>
      <c r="E23" t="str">
        <f>IFERROR(_xlfn.IFNA(INDEX(cards[],MATCH(AllCardsViz[[#This Row],[uuid]],cards[uuid],0),69),INDEX(tokens[],MATCH(AllCardsViz[[#This Row],[uuid]],tokens[uuid],0),40)),"")</f>
        <v/>
      </c>
      <c r="F23" t="str">
        <f>IFERROR(_xlfn.IFNA(INDEX(cards[],MATCH(AllCardsViz[[#This Row],[uuid]],cards[uuid],0),44),INDEX(tokens[],MATCH(AllCardsViz[[#This Row],[uuid]],tokens[uuid],0),24)),"")</f>
        <v>Kicker</v>
      </c>
      <c r="G23" t="str">
        <f>IFERROR(INDEX(sets[],MATCH(AllCardsViz[[#This Row],[Setcode]],sets[code],0),16),INDEX(sets[],MATCH(AllCardsViz[[#This Row],[Setcode]],sets[tokenSetCode],0),16))</f>
        <v>Invasion</v>
      </c>
    </row>
    <row r="24" spans="1:7" x14ac:dyDescent="0.25">
      <c r="A24" t="str" cm="1">
        <f t="array" ref="A24">IFERROR(INDEX(_xlfn.VSTACK(cards[uuid],tokens[uuid]), ROW()-ROW($A$1)),"")</f>
        <v>5e6a3099-2597-5755-8a6f-67f1569a3b8a</v>
      </c>
      <c r="B24" t="str">
        <f>IFERROR(_xlfn.IFNA(INDEX(cards[],MATCH(AllCardsViz[[#This Row],[uuid]],cards[uuid],0),52),INDEX(tokens[],MATCH(AllCardsViz[[#This Row],[uuid]],tokens[uuid],0),28)),"")</f>
        <v>Leave No Trace</v>
      </c>
      <c r="C24" t="str">
        <f>IFERROR(_xlfn.IFNA(INDEX(cards[],MATCH(AllCardsViz[[#This Row],[uuid]],cards[uuid],0),64),""),"")</f>
        <v>common</v>
      </c>
      <c r="D24" t="str">
        <f>IFERROR(_xlfn.IFNA(INDEX(cards[],MATCH(AllCardsViz[[#This Row],[uuid]],cards[uuid],0),68),INDEX(tokens[],MATCH(AllCardsViz[[#This Row],[uuid]],tokens[uuid],0),39)),"")</f>
        <v>RAV</v>
      </c>
      <c r="E24" t="str">
        <f>IFERROR(_xlfn.IFNA(INDEX(cards[],MATCH(AllCardsViz[[#This Row],[uuid]],cards[uuid],0),69),INDEX(tokens[],MATCH(AllCardsViz[[#This Row],[uuid]],tokens[uuid],0),40)),"")</f>
        <v/>
      </c>
      <c r="F24" t="str">
        <f>IFERROR(_xlfn.IFNA(INDEX(cards[],MATCH(AllCardsViz[[#This Row],[uuid]],cards[uuid],0),44),INDEX(tokens[],MATCH(AllCardsViz[[#This Row],[uuid]],tokens[uuid],0),24)),"")</f>
        <v>Radiance</v>
      </c>
      <c r="G24" t="str">
        <f>IFERROR(INDEX(sets[],MATCH(AllCardsViz[[#This Row],[Setcode]],sets[code],0),16),INDEX(sets[],MATCH(AllCardsViz[[#This Row],[Setcode]],sets[tokenSetCode],0),16))</f>
        <v>Ravnica: City of Guilds</v>
      </c>
    </row>
    <row r="25" spans="1:7" x14ac:dyDescent="0.25">
      <c r="A25" t="str" cm="1">
        <f t="array" ref="A25">IFERROR(INDEX(_xlfn.VSTACK(cards[uuid],tokens[uuid]), ROW()-ROW($A$1)),"")</f>
        <v>fcdd9620-9c54-5a56-adc4-13a277babc20</v>
      </c>
      <c r="B25" t="str">
        <f>IFERROR(_xlfn.IFNA(INDEX(cards[],MATCH(AllCardsViz[[#This Row],[uuid]],cards[uuid],0),52),INDEX(tokens[],MATCH(AllCardsViz[[#This Row],[uuid]],tokens[uuid],0),28)),"")</f>
        <v>Nissa, Steward of Elements</v>
      </c>
      <c r="C25" t="str">
        <f>IFERROR(_xlfn.IFNA(INDEX(cards[],MATCH(AllCardsViz[[#This Row],[uuid]],cards[uuid],0),64),""),"")</f>
        <v>mythic</v>
      </c>
      <c r="D25" t="str">
        <f>IFERROR(_xlfn.IFNA(INDEX(cards[],MATCH(AllCardsViz[[#This Row],[uuid]],cards[uuid],0),68),INDEX(tokens[],MATCH(AllCardsViz[[#This Row],[uuid]],tokens[uuid],0),39)),"")</f>
        <v>AKR</v>
      </c>
      <c r="E25" t="str">
        <f>IFERROR(_xlfn.IFNA(INDEX(cards[],MATCH(AllCardsViz[[#This Row],[uuid]],cards[uuid],0),69),INDEX(tokens[],MATCH(AllCardsViz[[#This Row],[uuid]],tokens[uuid],0),40)),"")</f>
        <v/>
      </c>
      <c r="F25" t="str">
        <f>IFERROR(_xlfn.IFNA(INDEX(cards[],MATCH(AllCardsViz[[#This Row],[uuid]],cards[uuid],0),44),INDEX(tokens[],MATCH(AllCardsViz[[#This Row],[uuid]],tokens[uuid],0),24)),"")</f>
        <v>Scry</v>
      </c>
      <c r="G25" t="str">
        <f>IFERROR(INDEX(sets[],MATCH(AllCardsViz[[#This Row],[Setcode]],sets[code],0),16),INDEX(sets[],MATCH(AllCardsViz[[#This Row],[Setcode]],sets[tokenSetCode],0),16))</f>
        <v>Amonkhet Remastered</v>
      </c>
    </row>
    <row r="26" spans="1:7" x14ac:dyDescent="0.25">
      <c r="A26" t="str" cm="1">
        <f t="array" ref="A26">IFERROR(INDEX(_xlfn.VSTACK(cards[uuid],tokens[uuid]), ROW()-ROW($A$1)),"")</f>
        <v>0add0930-720f-5bf5-bcf5-ee208eeb9040</v>
      </c>
      <c r="B26" t="str">
        <f>IFERROR(_xlfn.IFNA(INDEX(cards[],MATCH(AllCardsViz[[#This Row],[uuid]],cards[uuid],0),52),INDEX(tokens[],MATCH(AllCardsViz[[#This Row],[uuid]],tokens[uuid],0),28)),"")</f>
        <v>Once Upon a Time</v>
      </c>
      <c r="C26" t="str">
        <f>IFERROR(_xlfn.IFNA(INDEX(cards[],MATCH(AllCardsViz[[#This Row],[uuid]],cards[uuid],0),64),""),"")</f>
        <v>rare</v>
      </c>
      <c r="D26" t="str">
        <f>IFERROR(_xlfn.IFNA(INDEX(cards[],MATCH(AllCardsViz[[#This Row],[uuid]],cards[uuid],0),68),INDEX(tokens[],MATCH(AllCardsViz[[#This Row],[uuid]],tokens[uuid],0),39)),"")</f>
        <v>ELD</v>
      </c>
      <c r="E26" t="str">
        <f>IFERROR(_xlfn.IFNA(INDEX(cards[],MATCH(AllCardsViz[[#This Row],[uuid]],cards[uuid],0),69),INDEX(tokens[],MATCH(AllCardsViz[[#This Row],[uuid]],tokens[uuid],0),40)),"")</f>
        <v/>
      </c>
      <c r="F26" t="str">
        <f>IFERROR(_xlfn.IFNA(INDEX(cards[],MATCH(AllCardsViz[[#This Row],[uuid]],cards[uuid],0),44),INDEX(tokens[],MATCH(AllCardsViz[[#This Row],[uuid]],tokens[uuid],0),24)),"")</f>
        <v/>
      </c>
      <c r="G26" t="str">
        <f>IFERROR(INDEX(sets[],MATCH(AllCardsViz[[#This Row],[Setcode]],sets[code],0),16),INDEX(sets[],MATCH(AllCardsViz[[#This Row],[Setcode]],sets[tokenSetCode],0),16))</f>
        <v>Throne of Eldraine</v>
      </c>
    </row>
    <row r="27" spans="1:7" x14ac:dyDescent="0.25">
      <c r="A27" t="str" cm="1">
        <f t="array" ref="A27">IFERROR(INDEX(_xlfn.VSTACK(cards[uuid],tokens[uuid]), ROW()-ROW($A$1)),"")</f>
        <v>cc6ce5a2-49d0-59de-a17e-362f47b67773</v>
      </c>
      <c r="B27" t="str">
        <f>IFERROR(_xlfn.IFNA(INDEX(cards[],MATCH(AllCardsViz[[#This Row],[uuid]],cards[uuid],0),52),INDEX(tokens[],MATCH(AllCardsViz[[#This Row],[uuid]],tokens[uuid],0),28)),"")</f>
        <v>Ouphe Vandals</v>
      </c>
      <c r="C27" t="str">
        <f>IFERROR(_xlfn.IFNA(INDEX(cards[],MATCH(AllCardsViz[[#This Row],[uuid]],cards[uuid],0),64),""),"")</f>
        <v>uncommon</v>
      </c>
      <c r="D27" t="str">
        <f>IFERROR(_xlfn.IFNA(INDEX(cards[],MATCH(AllCardsViz[[#This Row],[uuid]],cards[uuid],0),68),INDEX(tokens[],MATCH(AllCardsViz[[#This Row],[uuid]],tokens[uuid],0),39)),"")</f>
        <v>5DN</v>
      </c>
      <c r="E27" t="str">
        <f>IFERROR(_xlfn.IFNA(INDEX(cards[],MATCH(AllCardsViz[[#This Row],[uuid]],cards[uuid],0),69),INDEX(tokens[],MATCH(AllCardsViz[[#This Row],[uuid]],tokens[uuid],0),40)),"")</f>
        <v/>
      </c>
      <c r="F27" t="str">
        <f>IFERROR(_xlfn.IFNA(INDEX(cards[],MATCH(AllCardsViz[[#This Row],[uuid]],cards[uuid],0),44),INDEX(tokens[],MATCH(AllCardsViz[[#This Row],[uuid]],tokens[uuid],0),24)),"")</f>
        <v/>
      </c>
      <c r="G27" t="str">
        <f>IFERROR(INDEX(sets[],MATCH(AllCardsViz[[#This Row],[Setcode]],sets[code],0),16),INDEX(sets[],MATCH(AllCardsViz[[#This Row],[Setcode]],sets[tokenSetCode],0),16))</f>
        <v>Fifth Dawn</v>
      </c>
    </row>
    <row r="28" spans="1:7" x14ac:dyDescent="0.25">
      <c r="A28" t="str" cm="1">
        <f t="array" ref="A28">IFERROR(INDEX(_xlfn.VSTACK(cards[uuid],tokens[uuid]), ROW()-ROW($A$1)),"")</f>
        <v>d54b922f-006e-59ff-bfeb-f96f3278fc7b</v>
      </c>
      <c r="B28" t="str">
        <f>IFERROR(_xlfn.IFNA(INDEX(cards[],MATCH(AllCardsViz[[#This Row],[uuid]],cards[uuid],0),52),INDEX(tokens[],MATCH(AllCardsViz[[#This Row],[uuid]],tokens[uuid],0),28)),"")</f>
        <v>Plains</v>
      </c>
      <c r="C28" t="str">
        <f>IFERROR(_xlfn.IFNA(INDEX(cards[],MATCH(AllCardsViz[[#This Row],[uuid]],cards[uuid],0),64),""),"")</f>
        <v>common</v>
      </c>
      <c r="D28" t="str">
        <f>IFERROR(_xlfn.IFNA(INDEX(cards[],MATCH(AllCardsViz[[#This Row],[uuid]],cards[uuid],0),68),INDEX(tokens[],MATCH(AllCardsViz[[#This Row],[uuid]],tokens[uuid],0),39)),"")</f>
        <v>ME3</v>
      </c>
      <c r="E28" t="str">
        <f>IFERROR(_xlfn.IFNA(INDEX(cards[],MATCH(AllCardsViz[[#This Row],[uuid]],cards[uuid],0),69),INDEX(tokens[],MATCH(AllCardsViz[[#This Row],[uuid]],tokens[uuid],0),40)),"")</f>
        <v/>
      </c>
      <c r="F28" t="str">
        <f>IFERROR(_xlfn.IFNA(INDEX(cards[],MATCH(AllCardsViz[[#This Row],[uuid]],cards[uuid],0),44),INDEX(tokens[],MATCH(AllCardsViz[[#This Row],[uuid]],tokens[uuid],0),24)),"")</f>
        <v/>
      </c>
      <c r="G28" t="str">
        <f>IFERROR(INDEX(sets[],MATCH(AllCardsViz[[#This Row],[Setcode]],sets[code],0),16),INDEX(sets[],MATCH(AllCardsViz[[#This Row],[Setcode]],sets[tokenSetCode],0),16))</f>
        <v>Masters Edition III</v>
      </c>
    </row>
    <row r="29" spans="1:7" x14ac:dyDescent="0.25">
      <c r="A29" t="str" cm="1">
        <f t="array" ref="A29">IFERROR(INDEX(_xlfn.VSTACK(cards[uuid],tokens[uuid]), ROW()-ROW($A$1)),"")</f>
        <v>358c5647-9f47-5f5d-9497-36336d8c7bb9</v>
      </c>
      <c r="B29" t="str">
        <f>IFERROR(_xlfn.IFNA(INDEX(cards[],MATCH(AllCardsViz[[#This Row],[uuid]],cards[uuid],0),52),INDEX(tokens[],MATCH(AllCardsViz[[#This Row],[uuid]],tokens[uuid],0),28)),"")</f>
        <v>Plummet</v>
      </c>
      <c r="C29" t="str">
        <f>IFERROR(_xlfn.IFNA(INDEX(cards[],MATCH(AllCardsViz[[#This Row],[uuid]],cards[uuid],0),64),""),"")</f>
        <v>common</v>
      </c>
      <c r="D29" t="str">
        <f>IFERROR(_xlfn.IFNA(INDEX(cards[],MATCH(AllCardsViz[[#This Row],[uuid]],cards[uuid],0),68),INDEX(tokens[],MATCH(AllCardsViz[[#This Row],[uuid]],tokens[uuid],0),39)),"")</f>
        <v>BFZ</v>
      </c>
      <c r="E29" t="str">
        <f>IFERROR(_xlfn.IFNA(INDEX(cards[],MATCH(AllCardsViz[[#This Row],[uuid]],cards[uuid],0),69),INDEX(tokens[],MATCH(AllCardsViz[[#This Row],[uuid]],tokens[uuid],0),40)),"")</f>
        <v/>
      </c>
      <c r="F29" t="str">
        <f>IFERROR(_xlfn.IFNA(INDEX(cards[],MATCH(AllCardsViz[[#This Row],[uuid]],cards[uuid],0),44),INDEX(tokens[],MATCH(AllCardsViz[[#This Row],[uuid]],tokens[uuid],0),24)),"")</f>
        <v/>
      </c>
      <c r="G29" t="str">
        <f>IFERROR(INDEX(sets[],MATCH(AllCardsViz[[#This Row],[Setcode]],sets[code],0),16),INDEX(sets[],MATCH(AllCardsViz[[#This Row],[Setcode]],sets[tokenSetCode],0),16))</f>
        <v>Battle for Zendikar</v>
      </c>
    </row>
    <row r="30" spans="1:7" x14ac:dyDescent="0.25">
      <c r="A30" t="str" cm="1">
        <f t="array" ref="A30">IFERROR(INDEX(_xlfn.VSTACK(cards[uuid],tokens[uuid]), ROW()-ROW($A$1)),"")</f>
        <v>bafac74c-f4f8-5c71-8a6b-0bd02c536c47</v>
      </c>
      <c r="B30" t="str">
        <f>IFERROR(_xlfn.IFNA(INDEX(cards[],MATCH(AllCardsViz[[#This Row],[uuid]],cards[uuid],0),52),INDEX(tokens[],MATCH(AllCardsViz[[#This Row],[uuid]],tokens[uuid],0),28)),"")</f>
        <v>Prismatic Ending</v>
      </c>
      <c r="C30" t="str">
        <f>IFERROR(_xlfn.IFNA(INDEX(cards[],MATCH(AllCardsViz[[#This Row],[uuid]],cards[uuid],0),64),""),"")</f>
        <v>uncommon</v>
      </c>
      <c r="D30" t="str">
        <f>IFERROR(_xlfn.IFNA(INDEX(cards[],MATCH(AllCardsViz[[#This Row],[uuid]],cards[uuid],0),68),INDEX(tokens[],MATCH(AllCardsViz[[#This Row],[uuid]],tokens[uuid],0),39)),"")</f>
        <v>MH2</v>
      </c>
      <c r="E30" t="str">
        <f>IFERROR(_xlfn.IFNA(INDEX(cards[],MATCH(AllCardsViz[[#This Row],[uuid]],cards[uuid],0),69),INDEX(tokens[],MATCH(AllCardsViz[[#This Row],[uuid]],tokens[uuid],0),40)),"")</f>
        <v/>
      </c>
      <c r="F30" t="str">
        <f>IFERROR(_xlfn.IFNA(INDEX(cards[],MATCH(AllCardsViz[[#This Row],[uuid]],cards[uuid],0),44),INDEX(tokens[],MATCH(AllCardsViz[[#This Row],[uuid]],tokens[uuid],0),24)),"")</f>
        <v>Converge</v>
      </c>
      <c r="G30" t="str">
        <f>IFERROR(INDEX(sets[],MATCH(AllCardsViz[[#This Row],[Setcode]],sets[code],0),16),INDEX(sets[],MATCH(AllCardsViz[[#This Row],[Setcode]],sets[tokenSetCode],0),16))</f>
        <v>Modern Horizons 2</v>
      </c>
    </row>
    <row r="31" spans="1:7" x14ac:dyDescent="0.25">
      <c r="A31" t="str" cm="1">
        <f t="array" ref="A31">IFERROR(INDEX(_xlfn.VSTACK(cards[uuid],tokens[uuid]), ROW()-ROW($A$1)),"")</f>
        <v>efdbf638-dbe6-5813-ba0b-dafbac1e1468</v>
      </c>
      <c r="B31" t="str">
        <f>IFERROR(_xlfn.IFNA(INDEX(cards[],MATCH(AllCardsViz[[#This Row],[uuid]],cards[uuid],0),52),INDEX(tokens[],MATCH(AllCardsViz[[#This Row],[uuid]],tokens[uuid],0),28)),"")</f>
        <v>Prismatic Ending</v>
      </c>
      <c r="C31" t="str">
        <f>IFERROR(_xlfn.IFNA(INDEX(cards[],MATCH(AllCardsViz[[#This Row],[uuid]],cards[uuid],0),64),""),"")</f>
        <v>uncommon</v>
      </c>
      <c r="D31" t="str">
        <f>IFERROR(_xlfn.IFNA(INDEX(cards[],MATCH(AllCardsViz[[#This Row],[uuid]],cards[uuid],0),68),INDEX(tokens[],MATCH(AllCardsViz[[#This Row],[uuid]],tokens[uuid],0),39)),"")</f>
        <v>MH2</v>
      </c>
      <c r="E31" t="str">
        <f>IFERROR(_xlfn.IFNA(INDEX(cards[],MATCH(AllCardsViz[[#This Row],[uuid]],cards[uuid],0),69),INDEX(tokens[],MATCH(AllCardsViz[[#This Row],[uuid]],tokens[uuid],0),40)),"")</f>
        <v/>
      </c>
      <c r="F31" t="str">
        <f>IFERROR(_xlfn.IFNA(INDEX(cards[],MATCH(AllCardsViz[[#This Row],[uuid]],cards[uuid],0),44),INDEX(tokens[],MATCH(AllCardsViz[[#This Row],[uuid]],tokens[uuid],0),24)),"")</f>
        <v>Converge</v>
      </c>
      <c r="G31" t="str">
        <f>IFERROR(INDEX(sets[],MATCH(AllCardsViz[[#This Row],[Setcode]],sets[code],0),16),INDEX(sets[],MATCH(AllCardsViz[[#This Row],[Setcode]],sets[tokenSetCode],0),16))</f>
        <v>Modern Horizons 2</v>
      </c>
    </row>
    <row r="32" spans="1:7" x14ac:dyDescent="0.25">
      <c r="A32" t="str" cm="1">
        <f t="array" ref="A32">IFERROR(INDEX(_xlfn.VSTACK(cards[uuid],tokens[uuid]), ROW()-ROW($A$1)),"")</f>
        <v>e9325157-a5ff-5ee4-a392-28829db53b10</v>
      </c>
      <c r="B32" t="str">
        <f>IFERROR(_xlfn.IFNA(INDEX(cards[],MATCH(AllCardsViz[[#This Row],[uuid]],cards[uuid],0),52),INDEX(tokens[],MATCH(AllCardsViz[[#This Row],[uuid]],tokens[uuid],0),28)),"")</f>
        <v>Prismatic Vista</v>
      </c>
      <c r="C32" t="str">
        <f>IFERROR(_xlfn.IFNA(INDEX(cards[],MATCH(AllCardsViz[[#This Row],[uuid]],cards[uuid],0),64),""),"")</f>
        <v>mythic</v>
      </c>
      <c r="D32" t="str">
        <f>IFERROR(_xlfn.IFNA(INDEX(cards[],MATCH(AllCardsViz[[#This Row],[uuid]],cards[uuid],0),68),INDEX(tokens[],MATCH(AllCardsViz[[#This Row],[uuid]],tokens[uuid],0),39)),"")</f>
        <v>SPG</v>
      </c>
      <c r="E32" t="str">
        <f>IFERROR(_xlfn.IFNA(INDEX(cards[],MATCH(AllCardsViz[[#This Row],[uuid]],cards[uuid],0),69),INDEX(tokens[],MATCH(AllCardsViz[[#This Row],[uuid]],tokens[uuid],0),40)),"")</f>
        <v/>
      </c>
      <c r="F32" t="str">
        <f>IFERROR(_xlfn.IFNA(INDEX(cards[],MATCH(AllCardsViz[[#This Row],[uuid]],cards[uuid],0),44),INDEX(tokens[],MATCH(AllCardsViz[[#This Row],[uuid]],tokens[uuid],0),24)),"")</f>
        <v/>
      </c>
      <c r="G32" t="str">
        <f>IFERROR(INDEX(sets[],MATCH(AllCardsViz[[#This Row],[Setcode]],sets[code],0),16),INDEX(sets[],MATCH(AllCardsViz[[#This Row],[Setcode]],sets[tokenSetCode],0),16))</f>
        <v>Special Guests</v>
      </c>
    </row>
    <row r="33" spans="1:7" x14ac:dyDescent="0.25">
      <c r="A33" t="str" cm="1">
        <f t="array" ref="A33">IFERROR(INDEX(_xlfn.VSTACK(cards[uuid],tokens[uuid]), ROW()-ROW($A$1)),"")</f>
        <v>66124810-2a79-5c4f-a43f-181400aa8c4f</v>
      </c>
      <c r="B33" t="str">
        <f>IFERROR(_xlfn.IFNA(INDEX(cards[],MATCH(AllCardsViz[[#This Row],[uuid]],cards[uuid],0),52),INDEX(tokens[],MATCH(AllCardsViz[[#This Row],[uuid]],tokens[uuid],0),28)),"")</f>
        <v>Realmwalker</v>
      </c>
      <c r="C33" t="str">
        <f>IFERROR(_xlfn.IFNA(INDEX(cards[],MATCH(AllCardsViz[[#This Row],[uuid]],cards[uuid],0),64),""),"")</f>
        <v>rare</v>
      </c>
      <c r="D33" t="str">
        <f>IFERROR(_xlfn.IFNA(INDEX(cards[],MATCH(AllCardsViz[[#This Row],[uuid]],cards[uuid],0),68),INDEX(tokens[],MATCH(AllCardsViz[[#This Row],[uuid]],tokens[uuid],0),39)),"")</f>
        <v>PKHM</v>
      </c>
      <c r="E33" t="str">
        <f>IFERROR(_xlfn.IFNA(INDEX(cards[],MATCH(AllCardsViz[[#This Row],[uuid]],cards[uuid],0),69),INDEX(tokens[],MATCH(AllCardsViz[[#This Row],[uuid]],tokens[uuid],0),40)),"")</f>
        <v/>
      </c>
      <c r="F33" t="str">
        <f>IFERROR(_xlfn.IFNA(INDEX(cards[],MATCH(AllCardsViz[[#This Row],[uuid]],cards[uuid],0),44),INDEX(tokens[],MATCH(AllCardsViz[[#This Row],[uuid]],tokens[uuid],0),24)),"")</f>
        <v>Changeling</v>
      </c>
      <c r="G33" t="str">
        <f>IFERROR(INDEX(sets[],MATCH(AllCardsViz[[#This Row],[Setcode]],sets[code],0),16),INDEX(sets[],MATCH(AllCardsViz[[#This Row],[Setcode]],sets[tokenSetCode],0),16))</f>
        <v>Kaldheim Promos</v>
      </c>
    </row>
    <row r="34" spans="1:7" x14ac:dyDescent="0.25">
      <c r="A34" t="str" cm="1">
        <f t="array" ref="A34">IFERROR(INDEX(_xlfn.VSTACK(cards[uuid],tokens[uuid]), ROW()-ROW($A$1)),"")</f>
        <v>f4198239-6754-5db7-9229-4cc9e264151e</v>
      </c>
      <c r="B34" t="str">
        <f>IFERROR(_xlfn.IFNA(INDEX(cards[],MATCH(AllCardsViz[[#This Row],[uuid]],cards[uuid],0),52),INDEX(tokens[],MATCH(AllCardsViz[[#This Row],[uuid]],tokens[uuid],0),28)),"")</f>
        <v>Renounce</v>
      </c>
      <c r="C34" t="str">
        <f>IFERROR(_xlfn.IFNA(INDEX(cards[],MATCH(AllCardsViz[[#This Row],[uuid]],cards[uuid],0),64),""),"")</f>
        <v>uncommon</v>
      </c>
      <c r="D34" t="str">
        <f>IFERROR(_xlfn.IFNA(INDEX(cards[],MATCH(AllCardsViz[[#This Row],[uuid]],cards[uuid],0),68),INDEX(tokens[],MATCH(AllCardsViz[[#This Row],[uuid]],tokens[uuid],0),39)),"")</f>
        <v>MMQ</v>
      </c>
      <c r="E34" t="str">
        <f>IFERROR(_xlfn.IFNA(INDEX(cards[],MATCH(AllCardsViz[[#This Row],[uuid]],cards[uuid],0),69),INDEX(tokens[],MATCH(AllCardsViz[[#This Row],[uuid]],tokens[uuid],0),40)),"")</f>
        <v/>
      </c>
      <c r="F34" t="str">
        <f>IFERROR(_xlfn.IFNA(INDEX(cards[],MATCH(AllCardsViz[[#This Row],[uuid]],cards[uuid],0),44),INDEX(tokens[],MATCH(AllCardsViz[[#This Row],[uuid]],tokens[uuid],0),24)),"")</f>
        <v/>
      </c>
      <c r="G34" t="str">
        <f>IFERROR(INDEX(sets[],MATCH(AllCardsViz[[#This Row],[Setcode]],sets[code],0),16),INDEX(sets[],MATCH(AllCardsViz[[#This Row],[Setcode]],sets[tokenSetCode],0),16))</f>
        <v>Mercadian Masques</v>
      </c>
    </row>
    <row r="35" spans="1:7" x14ac:dyDescent="0.25">
      <c r="A35" t="str" cm="1">
        <f t="array" ref="A35">IFERROR(INDEX(_xlfn.VSTACK(cards[uuid],tokens[uuid]), ROW()-ROW($A$1)),"")</f>
        <v>7be5b8a9-0d68-5125-b729-ff1063dd3ed0</v>
      </c>
      <c r="B35" t="str">
        <f>IFERROR(_xlfn.IFNA(INDEX(cards[],MATCH(AllCardsViz[[#This Row],[uuid]],cards[uuid],0),52),INDEX(tokens[],MATCH(AllCardsViz[[#This Row],[uuid]],tokens[uuid],0),28)),"")</f>
        <v>Resurrection</v>
      </c>
      <c r="C35" t="str">
        <f>IFERROR(_xlfn.IFNA(INDEX(cards[],MATCH(AllCardsViz[[#This Row],[uuid]],cards[uuid],0),64),""),"")</f>
        <v>uncommon</v>
      </c>
      <c r="D35" t="str">
        <f>IFERROR(_xlfn.IFNA(INDEX(cards[],MATCH(AllCardsViz[[#This Row],[uuid]],cards[uuid],0),68),INDEX(tokens[],MATCH(AllCardsViz[[#This Row],[uuid]],tokens[uuid],0),39)),"")</f>
        <v>3ED</v>
      </c>
      <c r="E35" t="str">
        <f>IFERROR(_xlfn.IFNA(INDEX(cards[],MATCH(AllCardsViz[[#This Row],[uuid]],cards[uuid],0),69),INDEX(tokens[],MATCH(AllCardsViz[[#This Row],[uuid]],tokens[uuid],0),40)),"")</f>
        <v/>
      </c>
      <c r="F35" t="str">
        <f>IFERROR(_xlfn.IFNA(INDEX(cards[],MATCH(AllCardsViz[[#This Row],[uuid]],cards[uuid],0),44),INDEX(tokens[],MATCH(AllCardsViz[[#This Row],[uuid]],tokens[uuid],0),24)),"")</f>
        <v/>
      </c>
      <c r="G35" t="str">
        <f>IFERROR(INDEX(sets[],MATCH(AllCardsViz[[#This Row],[Setcode]],sets[code],0),16),INDEX(sets[],MATCH(AllCardsViz[[#This Row],[Setcode]],sets[tokenSetCode],0),16))</f>
        <v>Revised Edition</v>
      </c>
    </row>
    <row r="36" spans="1:7" x14ac:dyDescent="0.25">
      <c r="A36" t="str" cm="1">
        <f t="array" ref="A36">IFERROR(INDEX(_xlfn.VSTACK(cards[uuid],tokens[uuid]), ROW()-ROW($A$1)),"")</f>
        <v>154a09f3-65e3-5821-bc02-bd972b3be676</v>
      </c>
      <c r="B36" t="str">
        <f>IFERROR(_xlfn.IFNA(INDEX(cards[],MATCH(AllCardsViz[[#This Row],[uuid]],cards[uuid],0),52),INDEX(tokens[],MATCH(AllCardsViz[[#This Row],[uuid]],tokens[uuid],0),28)),"")</f>
        <v>Snapping Sailback</v>
      </c>
      <c r="C36" t="str">
        <f>IFERROR(_xlfn.IFNA(INDEX(cards[],MATCH(AllCardsViz[[#This Row],[uuid]],cards[uuid],0),64),""),"")</f>
        <v>uncommon</v>
      </c>
      <c r="D36" t="str">
        <f>IFERROR(_xlfn.IFNA(INDEX(cards[],MATCH(AllCardsViz[[#This Row],[uuid]],cards[uuid],0),68),INDEX(tokens[],MATCH(AllCardsViz[[#This Row],[uuid]],tokens[uuid],0),39)),"")</f>
        <v>PLST</v>
      </c>
      <c r="E36" t="str">
        <f>IFERROR(_xlfn.IFNA(INDEX(cards[],MATCH(AllCardsViz[[#This Row],[uuid]],cards[uuid],0),69),INDEX(tokens[],MATCH(AllCardsViz[[#This Row],[uuid]],tokens[uuid],0),40)),"")</f>
        <v/>
      </c>
      <c r="F36" t="str">
        <f>IFERROR(_xlfn.IFNA(INDEX(cards[],MATCH(AllCardsViz[[#This Row],[uuid]],cards[uuid],0),44),INDEX(tokens[],MATCH(AllCardsViz[[#This Row],[uuid]],tokens[uuid],0),24)),"")</f>
        <v>Enrage, Flash</v>
      </c>
      <c r="G36" t="str">
        <f>IFERROR(INDEX(sets[],MATCH(AllCardsViz[[#This Row],[Setcode]],sets[code],0),16),INDEX(sets[],MATCH(AllCardsViz[[#This Row],[Setcode]],sets[tokenSetCode],0),16))</f>
        <v>The List</v>
      </c>
    </row>
    <row r="37" spans="1:7" x14ac:dyDescent="0.25">
      <c r="A37" t="str" cm="1">
        <f t="array" ref="A37">IFERROR(INDEX(_xlfn.VSTACK(cards[uuid],tokens[uuid]), ROW()-ROW($A$1)),"")</f>
        <v>3c389f9c-e459-5b16-87b5-d51644f05b25</v>
      </c>
      <c r="B37" t="str">
        <f>IFERROR(_xlfn.IFNA(INDEX(cards[],MATCH(AllCardsViz[[#This Row],[uuid]],cards[uuid],0),52),INDEX(tokens[],MATCH(AllCardsViz[[#This Row],[uuid]],tokens[uuid],0),28)),"")</f>
        <v>Sokrates, Athenian Teacher</v>
      </c>
      <c r="C37" t="str">
        <f>IFERROR(_xlfn.IFNA(INDEX(cards[],MATCH(AllCardsViz[[#This Row],[uuid]],cards[uuid],0),64),""),"")</f>
        <v>rare</v>
      </c>
      <c r="D37" t="str">
        <f>IFERROR(_xlfn.IFNA(INDEX(cards[],MATCH(AllCardsViz[[#This Row],[uuid]],cards[uuid],0),68),INDEX(tokens[],MATCH(AllCardsViz[[#This Row],[uuid]],tokens[uuid],0),39)),"")</f>
        <v>ACR</v>
      </c>
      <c r="E37" t="str">
        <f>IFERROR(_xlfn.IFNA(INDEX(cards[],MATCH(AllCardsViz[[#This Row],[uuid]],cards[uuid],0),69),INDEX(tokens[],MATCH(AllCardsViz[[#This Row],[uuid]],tokens[uuid],0),40)),"")</f>
        <v/>
      </c>
      <c r="F37" t="str">
        <f>IFERROR(_xlfn.IFNA(INDEX(cards[],MATCH(AllCardsViz[[#This Row],[uuid]],cards[uuid],0),44),INDEX(tokens[],MATCH(AllCardsViz[[#This Row],[uuid]],tokens[uuid],0),24)),"")</f>
        <v>Defender, Sokratic Dialogue</v>
      </c>
      <c r="G37" t="str">
        <f>IFERROR(INDEX(sets[],MATCH(AllCardsViz[[#This Row],[Setcode]],sets[code],0),16),INDEX(sets[],MATCH(AllCardsViz[[#This Row],[Setcode]],sets[tokenSetCode],0),16))</f>
        <v>Assassin's Creed</v>
      </c>
    </row>
    <row r="38" spans="1:7" x14ac:dyDescent="0.25">
      <c r="A38" t="str" cm="1">
        <f t="array" ref="A38">IFERROR(INDEX(_xlfn.VSTACK(cards[uuid],tokens[uuid]), ROW()-ROW($A$1)),"")</f>
        <v>b23e355d-5190-5db8-ad5a-5ff9d0fe9bea</v>
      </c>
      <c r="B38" t="str">
        <f>IFERROR(_xlfn.IFNA(INDEX(cards[],MATCH(AllCardsViz[[#This Row],[uuid]],cards[uuid],0),52),INDEX(tokens[],MATCH(AllCardsViz[[#This Row],[uuid]],tokens[uuid],0),28)),"")</f>
        <v>Staying Power</v>
      </c>
      <c r="C38" t="str">
        <f>IFERROR(_xlfn.IFNA(INDEX(cards[],MATCH(AllCardsViz[[#This Row],[uuid]],cards[uuid],0),64),""),"")</f>
        <v>rare</v>
      </c>
      <c r="D38" t="str">
        <f>IFERROR(_xlfn.IFNA(INDEX(cards[],MATCH(AllCardsViz[[#This Row],[uuid]],cards[uuid],0),68),INDEX(tokens[],MATCH(AllCardsViz[[#This Row],[uuid]],tokens[uuid],0),39)),"")</f>
        <v>UND</v>
      </c>
      <c r="E38" t="str">
        <f>IFERROR(_xlfn.IFNA(INDEX(cards[],MATCH(AllCardsViz[[#This Row],[uuid]],cards[uuid],0),69),INDEX(tokens[],MATCH(AllCardsViz[[#This Row],[uuid]],tokens[uuid],0),40)),"")</f>
        <v/>
      </c>
      <c r="F38" t="str">
        <f>IFERROR(_xlfn.IFNA(INDEX(cards[],MATCH(AllCardsViz[[#This Row],[uuid]],cards[uuid],0),44),INDEX(tokens[],MATCH(AllCardsViz[[#This Row],[uuid]],tokens[uuid],0),24)),"")</f>
        <v/>
      </c>
      <c r="G38" t="str">
        <f>IFERROR(INDEX(sets[],MATCH(AllCardsViz[[#This Row],[Setcode]],sets[code],0),16),INDEX(sets[],MATCH(AllCardsViz[[#This Row],[Setcode]],sets[tokenSetCode],0),16))</f>
        <v>Unsanctioned</v>
      </c>
    </row>
    <row r="39" spans="1:7" x14ac:dyDescent="0.25">
      <c r="A39" t="str" cm="1">
        <f t="array" ref="A39">IFERROR(INDEX(_xlfn.VSTACK(cards[uuid],tokens[uuid]), ROW()-ROW($A$1)),"")</f>
        <v>9c015664-e6e8-53a4-ad48-276138b18098</v>
      </c>
      <c r="B39" t="str">
        <f>IFERROR(_xlfn.IFNA(INDEX(cards[],MATCH(AllCardsViz[[#This Row],[uuid]],cards[uuid],0),52),INDEX(tokens[],MATCH(AllCardsViz[[#This Row],[uuid]],tokens[uuid],0),28)),"")</f>
        <v>Syphon Soul</v>
      </c>
      <c r="C39" t="str">
        <f>IFERROR(_xlfn.IFNA(INDEX(cards[],MATCH(AllCardsViz[[#This Row],[uuid]],cards[uuid],0),64),""),"")</f>
        <v>common</v>
      </c>
      <c r="D39" t="str">
        <f>IFERROR(_xlfn.IFNA(INDEX(cards[],MATCH(AllCardsViz[[#This Row],[uuid]],cards[uuid],0),68),INDEX(tokens[],MATCH(AllCardsViz[[#This Row],[uuid]],tokens[uuid],0),39)),"")</f>
        <v>ONS</v>
      </c>
      <c r="E39" t="str">
        <f>IFERROR(_xlfn.IFNA(INDEX(cards[],MATCH(AllCardsViz[[#This Row],[uuid]],cards[uuid],0),69),INDEX(tokens[],MATCH(AllCardsViz[[#This Row],[uuid]],tokens[uuid],0),40)),"")</f>
        <v/>
      </c>
      <c r="F39" t="str">
        <f>IFERROR(_xlfn.IFNA(INDEX(cards[],MATCH(AllCardsViz[[#This Row],[uuid]],cards[uuid],0),44),INDEX(tokens[],MATCH(AllCardsViz[[#This Row],[uuid]],tokens[uuid],0),24)),"")</f>
        <v/>
      </c>
      <c r="G39" t="str">
        <f>IFERROR(INDEX(sets[],MATCH(AllCardsViz[[#This Row],[Setcode]],sets[code],0),16),INDEX(sets[],MATCH(AllCardsViz[[#This Row],[Setcode]],sets[tokenSetCode],0),16))</f>
        <v>Onslaught</v>
      </c>
    </row>
    <row r="40" spans="1:7" x14ac:dyDescent="0.25">
      <c r="A40" t="str" cm="1">
        <f t="array" ref="A40">IFERROR(INDEX(_xlfn.VSTACK(cards[uuid],tokens[uuid]), ROW()-ROW($A$1)),"")</f>
        <v>8d6b22fe-8583-5908-b964-05e3174e3154</v>
      </c>
      <c r="B40" t="str">
        <f>IFERROR(_xlfn.IFNA(INDEX(cards[],MATCH(AllCardsViz[[#This Row],[uuid]],cards[uuid],0),52),INDEX(tokens[],MATCH(AllCardsViz[[#This Row],[uuid]],tokens[uuid],0),28)),"")</f>
        <v>Thallid Devourer</v>
      </c>
      <c r="C40" t="str">
        <f>IFERROR(_xlfn.IFNA(INDEX(cards[],MATCH(AllCardsViz[[#This Row],[uuid]],cards[uuid],0),64),""),"")</f>
        <v>uncommon</v>
      </c>
      <c r="D40" t="str">
        <f>IFERROR(_xlfn.IFNA(INDEX(cards[],MATCH(AllCardsViz[[#This Row],[uuid]],cards[uuid],0),68),INDEX(tokens[],MATCH(AllCardsViz[[#This Row],[uuid]],tokens[uuid],0),39)),"")</f>
        <v>FEM</v>
      </c>
      <c r="E40" t="str">
        <f>IFERROR(_xlfn.IFNA(INDEX(cards[],MATCH(AllCardsViz[[#This Row],[uuid]],cards[uuid],0),69),INDEX(tokens[],MATCH(AllCardsViz[[#This Row],[uuid]],tokens[uuid],0),40)),"")</f>
        <v/>
      </c>
      <c r="F40" t="str">
        <f>IFERROR(_xlfn.IFNA(INDEX(cards[],MATCH(AllCardsViz[[#This Row],[uuid]],cards[uuid],0),44),INDEX(tokens[],MATCH(AllCardsViz[[#This Row],[uuid]],tokens[uuid],0),24)),"")</f>
        <v/>
      </c>
      <c r="G40" t="str">
        <f>IFERROR(INDEX(sets[],MATCH(AllCardsViz[[#This Row],[Setcode]],sets[code],0),16),INDEX(sets[],MATCH(AllCardsViz[[#This Row],[Setcode]],sets[tokenSetCode],0),16))</f>
        <v>Fallen Empires</v>
      </c>
    </row>
    <row r="41" spans="1:7" x14ac:dyDescent="0.25">
      <c r="A41" t="str" cm="1">
        <f t="array" ref="A41">IFERROR(INDEX(_xlfn.VSTACK(cards[uuid],tokens[uuid]), ROW()-ROW($A$1)),"")</f>
        <v>a4072135-41e9-54e1-8905-4a853e6cf9ff</v>
      </c>
      <c r="B41" t="str">
        <f>IFERROR(_xlfn.IFNA(INDEX(cards[],MATCH(AllCardsViz[[#This Row],[uuid]],cards[uuid],0),52),INDEX(tokens[],MATCH(AllCardsViz[[#This Row],[uuid]],tokens[uuid],0),28)),"")</f>
        <v>The Thirteenth Doctor</v>
      </c>
      <c r="C41" t="str">
        <f>IFERROR(_xlfn.IFNA(INDEX(cards[],MATCH(AllCardsViz[[#This Row],[uuid]],cards[uuid],0),64),""),"")</f>
        <v>mythic</v>
      </c>
      <c r="D41" t="str">
        <f>IFERROR(_xlfn.IFNA(INDEX(cards[],MATCH(AllCardsViz[[#This Row],[uuid]],cards[uuid],0),68),INDEX(tokens[],MATCH(AllCardsViz[[#This Row],[uuid]],tokens[uuid],0),39)),"")</f>
        <v>WHO</v>
      </c>
      <c r="E41" t="str">
        <f>IFERROR(_xlfn.IFNA(INDEX(cards[],MATCH(AllCardsViz[[#This Row],[uuid]],cards[uuid],0),69),INDEX(tokens[],MATCH(AllCardsViz[[#This Row],[uuid]],tokens[uuid],0),40)),"")</f>
        <v/>
      </c>
      <c r="F41" t="str">
        <f>IFERROR(_xlfn.IFNA(INDEX(cards[],MATCH(AllCardsViz[[#This Row],[uuid]],cards[uuid],0),44),INDEX(tokens[],MATCH(AllCardsViz[[#This Row],[uuid]],tokens[uuid],0),24)),"")</f>
        <v>Paradox, Team TARDIS</v>
      </c>
      <c r="G41" t="str">
        <f>IFERROR(INDEX(sets[],MATCH(AllCardsViz[[#This Row],[Setcode]],sets[code],0),16),INDEX(sets[],MATCH(AllCardsViz[[#This Row],[Setcode]],sets[tokenSetCode],0),16))</f>
        <v>Doctor Who</v>
      </c>
    </row>
    <row r="42" spans="1:7" x14ac:dyDescent="0.25">
      <c r="A42" t="str" cm="1">
        <f t="array" ref="A42">IFERROR(INDEX(_xlfn.VSTACK(cards[uuid],tokens[uuid]), ROW()-ROW($A$1)),"")</f>
        <v>1fb6b965-6d0e-536c-8593-63140f3c6e9f</v>
      </c>
      <c r="B42" t="str">
        <f>IFERROR(_xlfn.IFNA(INDEX(cards[],MATCH(AllCardsViz[[#This Row],[uuid]],cards[uuid],0),52),INDEX(tokens[],MATCH(AllCardsViz[[#This Row],[uuid]],tokens[uuid],0),28)),"")</f>
        <v>Thought Harvester</v>
      </c>
      <c r="C42" t="str">
        <f>IFERROR(_xlfn.IFNA(INDEX(cards[],MATCH(AllCardsViz[[#This Row],[uuid]],cards[uuid],0),64),""),"")</f>
        <v>uncommon</v>
      </c>
      <c r="D42" t="str">
        <f>IFERROR(_xlfn.IFNA(INDEX(cards[],MATCH(AllCardsViz[[#This Row],[uuid]],cards[uuid],0),68),INDEX(tokens[],MATCH(AllCardsViz[[#This Row],[uuid]],tokens[uuid],0),39)),"")</f>
        <v>OGW</v>
      </c>
      <c r="E42" t="str">
        <f>IFERROR(_xlfn.IFNA(INDEX(cards[],MATCH(AllCardsViz[[#This Row],[uuid]],cards[uuid],0),69),INDEX(tokens[],MATCH(AllCardsViz[[#This Row],[uuid]],tokens[uuid],0),40)),"")</f>
        <v/>
      </c>
      <c r="F42" t="str">
        <f>IFERROR(_xlfn.IFNA(INDEX(cards[],MATCH(AllCardsViz[[#This Row],[uuid]],cards[uuid],0),44),INDEX(tokens[],MATCH(AllCardsViz[[#This Row],[uuid]],tokens[uuid],0),24)),"")</f>
        <v>Devoid, Flying</v>
      </c>
      <c r="G42" t="str">
        <f>IFERROR(INDEX(sets[],MATCH(AllCardsViz[[#This Row],[Setcode]],sets[code],0),16),INDEX(sets[],MATCH(AllCardsViz[[#This Row],[Setcode]],sets[tokenSetCode],0),16))</f>
        <v>Oath of the Gatewatch</v>
      </c>
    </row>
    <row r="43" spans="1:7" x14ac:dyDescent="0.25">
      <c r="A43" t="str" cm="1">
        <f t="array" ref="A43">IFERROR(INDEX(_xlfn.VSTACK(cards[uuid],tokens[uuid]), ROW()-ROW($A$1)),"")</f>
        <v>66dae17d-a742-51b4-ba09-0b37d7c64265</v>
      </c>
      <c r="B43" t="str">
        <f>IFERROR(_xlfn.IFNA(INDEX(cards[],MATCH(AllCardsViz[[#This Row],[uuid]],cards[uuid],0),52),INDEX(tokens[],MATCH(AllCardsViz[[#This Row],[uuid]],tokens[uuid],0),28)),"")</f>
        <v>Vexing Arcanix</v>
      </c>
      <c r="C43" t="str">
        <f>IFERROR(_xlfn.IFNA(INDEX(cards[],MATCH(AllCardsViz[[#This Row],[uuid]],cards[uuid],0),64),""),"")</f>
        <v>rare</v>
      </c>
      <c r="D43" t="str">
        <f>IFERROR(_xlfn.IFNA(INDEX(cards[],MATCH(AllCardsViz[[#This Row],[uuid]],cards[uuid],0),68),INDEX(tokens[],MATCH(AllCardsViz[[#This Row],[uuid]],tokens[uuid],0),39)),"")</f>
        <v>ICE</v>
      </c>
      <c r="E43" t="str">
        <f>IFERROR(_xlfn.IFNA(INDEX(cards[],MATCH(AllCardsViz[[#This Row],[uuid]],cards[uuid],0),69),INDEX(tokens[],MATCH(AllCardsViz[[#This Row],[uuid]],tokens[uuid],0),40)),"")</f>
        <v/>
      </c>
      <c r="F43" t="str">
        <f>IFERROR(_xlfn.IFNA(INDEX(cards[],MATCH(AllCardsViz[[#This Row],[uuid]],cards[uuid],0),44),INDEX(tokens[],MATCH(AllCardsViz[[#This Row],[uuid]],tokens[uuid],0),24)),"")</f>
        <v/>
      </c>
      <c r="G43" t="str">
        <f>IFERROR(INDEX(sets[],MATCH(AllCardsViz[[#This Row],[Setcode]],sets[code],0),16),INDEX(sets[],MATCH(AllCardsViz[[#This Row],[Setcode]],sets[tokenSetCode],0),16))</f>
        <v>Ice Age</v>
      </c>
    </row>
    <row r="44" spans="1:7" x14ac:dyDescent="0.25">
      <c r="A44" t="str" cm="1">
        <f t="array" ref="A44">IFERROR(INDEX(_xlfn.VSTACK(cards[uuid],tokens[uuid]), ROW()-ROW($A$1)),"")</f>
        <v>aa480225-6f03-5f0f-85af-41af75e515aa</v>
      </c>
      <c r="B44" t="str">
        <f>IFERROR(_xlfn.IFNA(INDEX(cards[],MATCH(AllCardsViz[[#This Row],[uuid]],cards[uuid],0),52),INDEX(tokens[],MATCH(AllCardsViz[[#This Row],[uuid]],tokens[uuid],0),28)),"")</f>
        <v>Viashino Runner</v>
      </c>
      <c r="C44" t="str">
        <f>IFERROR(_xlfn.IFNA(INDEX(cards[],MATCH(AllCardsViz[[#This Row],[uuid]],cards[uuid],0),64),""),"")</f>
        <v>common</v>
      </c>
      <c r="D44" t="str">
        <f>IFERROR(_xlfn.IFNA(INDEX(cards[],MATCH(AllCardsViz[[#This Row],[uuid]],cards[uuid],0),68),INDEX(tokens[],MATCH(AllCardsViz[[#This Row],[uuid]],tokens[uuid],0),39)),"")</f>
        <v>USG</v>
      </c>
      <c r="E44" t="str">
        <f>IFERROR(_xlfn.IFNA(INDEX(cards[],MATCH(AllCardsViz[[#This Row],[uuid]],cards[uuid],0),69),INDEX(tokens[],MATCH(AllCardsViz[[#This Row],[uuid]],tokens[uuid],0),40)),"")</f>
        <v/>
      </c>
      <c r="F44" t="str">
        <f>IFERROR(_xlfn.IFNA(INDEX(cards[],MATCH(AllCardsViz[[#This Row],[uuid]],cards[uuid],0),44),INDEX(tokens[],MATCH(AllCardsViz[[#This Row],[uuid]],tokens[uuid],0),24)),"")</f>
        <v>Menace</v>
      </c>
      <c r="G44" t="str">
        <f>IFERROR(INDEX(sets[],MATCH(AllCardsViz[[#This Row],[Setcode]],sets[code],0),16),INDEX(sets[],MATCH(AllCardsViz[[#This Row],[Setcode]],sets[tokenSetCode],0),16))</f>
        <v>Urza's Saga</v>
      </c>
    </row>
    <row r="45" spans="1:7" x14ac:dyDescent="0.25">
      <c r="A45" t="str" cm="1">
        <f t="array" ref="A45">IFERROR(INDEX(_xlfn.VSTACK(cards[uuid],tokens[uuid]), ROW()-ROW($A$1)),"")</f>
        <v>f7aa8817-24f8-5dbb-a726-353611565ffe</v>
      </c>
      <c r="B45" t="str">
        <f>IFERROR(_xlfn.IFNA(INDEX(cards[],MATCH(AllCardsViz[[#This Row],[uuid]],cards[uuid],0),52),INDEX(tokens[],MATCH(AllCardsViz[[#This Row],[uuid]],tokens[uuid],0),28)),"")</f>
        <v>Viashino Runner</v>
      </c>
      <c r="C45" t="str">
        <f>IFERROR(_xlfn.IFNA(INDEX(cards[],MATCH(AllCardsViz[[#This Row],[uuid]],cards[uuid],0),64),""),"")</f>
        <v>common</v>
      </c>
      <c r="D45" t="str">
        <f>IFERROR(_xlfn.IFNA(INDEX(cards[],MATCH(AllCardsViz[[#This Row],[uuid]],cards[uuid],0),68),INDEX(tokens[],MATCH(AllCardsViz[[#This Row],[uuid]],tokens[uuid],0),39)),"")</f>
        <v>10E</v>
      </c>
      <c r="E45" t="str">
        <f>IFERROR(_xlfn.IFNA(INDEX(cards[],MATCH(AllCardsViz[[#This Row],[uuid]],cards[uuid],0),69),INDEX(tokens[],MATCH(AllCardsViz[[#This Row],[uuid]],tokens[uuid],0),40)),"")</f>
        <v/>
      </c>
      <c r="F45" t="str">
        <f>IFERROR(_xlfn.IFNA(INDEX(cards[],MATCH(AllCardsViz[[#This Row],[uuid]],cards[uuid],0),44),INDEX(tokens[],MATCH(AllCardsViz[[#This Row],[uuid]],tokens[uuid],0),24)),"")</f>
        <v>Menace</v>
      </c>
      <c r="G45" t="str">
        <f>IFERROR(INDEX(sets[],MATCH(AllCardsViz[[#This Row],[Setcode]],sets[code],0),16),INDEX(sets[],MATCH(AllCardsViz[[#This Row],[Setcode]],sets[tokenSetCode],0),16))</f>
        <v>Tenth Edition</v>
      </c>
    </row>
    <row r="46" spans="1:7" x14ac:dyDescent="0.25">
      <c r="A46" t="str" cm="1">
        <f t="array" ref="A46">IFERROR(INDEX(_xlfn.VSTACK(cards[uuid],tokens[uuid]), ROW()-ROW($A$1)),"")</f>
        <v>078d4e89-af80-58ae-9be8-7efd5eab2269</v>
      </c>
      <c r="B46" t="str">
        <f>IFERROR(_xlfn.IFNA(INDEX(cards[],MATCH(AllCardsViz[[#This Row],[uuid]],cards[uuid],0),52),INDEX(tokens[],MATCH(AllCardsViz[[#This Row],[uuid]],tokens[uuid],0),28)),"")</f>
        <v>Bloodvial Purveyor // Bloodvial Purveyor</v>
      </c>
      <c r="C46" t="str">
        <f>IFERROR(_xlfn.IFNA(INDEX(cards[],MATCH(AllCardsViz[[#This Row],[uuid]],cards[uuid],0),64),""),"")</f>
        <v/>
      </c>
      <c r="D46" t="str">
        <f>IFERROR(_xlfn.IFNA(INDEX(cards[],MATCH(AllCardsViz[[#This Row],[uuid]],cards[uuid],0),68),INDEX(tokens[],MATCH(AllCardsViz[[#This Row],[uuid]],tokens[uuid],0),39)),"")</f>
        <v>AVOW</v>
      </c>
      <c r="E46" t="str">
        <f>IFERROR(_xlfn.IFNA(INDEX(cards[],MATCH(AllCardsViz[[#This Row],[uuid]],cards[uuid],0),69),INDEX(tokens[],MATCH(AllCardsViz[[#This Row],[uuid]],tokens[uuid],0),40)),"")</f>
        <v>a</v>
      </c>
      <c r="F46" t="str">
        <f>IFERROR(_xlfn.IFNA(INDEX(cards[],MATCH(AllCardsViz[[#This Row],[uuid]],cards[uuid],0),44),INDEX(tokens[],MATCH(AllCardsViz[[#This Row],[uuid]],tokens[uuid],0),24)),"")</f>
        <v/>
      </c>
      <c r="G46" t="str">
        <f>IFERROR(INDEX(sets[],MATCH(AllCardsViz[[#This Row],[Setcode]],sets[code],0),16),INDEX(sets[],MATCH(AllCardsViz[[#This Row],[Setcode]],sets[tokenSetCode],0),16))</f>
        <v>Crimson Vow Art Series</v>
      </c>
    </row>
    <row r="47" spans="1:7" x14ac:dyDescent="0.25">
      <c r="A47" t="str" cm="1">
        <f t="array" ref="A47">IFERROR(INDEX(_xlfn.VSTACK(cards[uuid],tokens[uuid]), ROW()-ROW($A$1)),"")</f>
        <v>0b952d69-5db0-59c2-810b-d4b10d452872</v>
      </c>
      <c r="B47" t="str">
        <f>IFERROR(_xlfn.IFNA(INDEX(cards[],MATCH(AllCardsViz[[#This Row],[uuid]],cards[uuid],0),52),INDEX(tokens[],MATCH(AllCardsViz[[#This Row],[uuid]],tokens[uuid],0),28)),"")</f>
        <v>Silent Clearing // Silent Clearing</v>
      </c>
      <c r="C47" t="str">
        <f>IFERROR(_xlfn.IFNA(INDEX(cards[],MATCH(AllCardsViz[[#This Row],[uuid]],cards[uuid],0),64),""),"")</f>
        <v/>
      </c>
      <c r="D47" t="str">
        <f>IFERROR(_xlfn.IFNA(INDEX(cards[],MATCH(AllCardsViz[[#This Row],[uuid]],cards[uuid],0),68),INDEX(tokens[],MATCH(AllCardsViz[[#This Row],[uuid]],tokens[uuid],0),39)),"")</f>
        <v>AMH1</v>
      </c>
      <c r="E47" t="str">
        <f>IFERROR(_xlfn.IFNA(INDEX(cards[],MATCH(AllCardsViz[[#This Row],[uuid]],cards[uuid],0),69),INDEX(tokens[],MATCH(AllCardsViz[[#This Row],[uuid]],tokens[uuid],0),40)),"")</f>
        <v>a</v>
      </c>
      <c r="F47" t="str">
        <f>IFERROR(_xlfn.IFNA(INDEX(cards[],MATCH(AllCardsViz[[#This Row],[uuid]],cards[uuid],0),44),INDEX(tokens[],MATCH(AllCardsViz[[#This Row],[uuid]],tokens[uuid],0),24)),"")</f>
        <v/>
      </c>
      <c r="G47" t="str">
        <f>IFERROR(INDEX(sets[],MATCH(AllCardsViz[[#This Row],[Setcode]],sets[code],0),16),INDEX(sets[],MATCH(AllCardsViz[[#This Row],[Setcode]],sets[tokenSetCode],0),16))</f>
        <v>Modern Horizons Art Series</v>
      </c>
    </row>
    <row r="48" spans="1:7" x14ac:dyDescent="0.25">
      <c r="A48" t="str" cm="1">
        <f t="array" ref="A48">IFERROR(INDEX(_xlfn.VSTACK(cards[uuid],tokens[uuid]), ROW()-ROW($A$1)),"")</f>
        <v>0fc5756d-2258-5d14-b4c4-65aa4efa8f3e</v>
      </c>
      <c r="B48" t="str">
        <f>IFERROR(_xlfn.IFNA(INDEX(cards[],MATCH(AllCardsViz[[#This Row],[uuid]],cards[uuid],0),52),INDEX(tokens[],MATCH(AllCardsViz[[#This Row],[uuid]],tokens[uuid],0),28)),"")</f>
        <v>Warriors</v>
      </c>
      <c r="C48" t="str">
        <f>IFERROR(_xlfn.IFNA(INDEX(cards[],MATCH(AllCardsViz[[#This Row],[uuid]],cards[uuid],0),64),""),"")</f>
        <v/>
      </c>
      <c r="D48" t="str">
        <f>IFERROR(_xlfn.IFNA(INDEX(cards[],MATCH(AllCardsViz[[#This Row],[uuid]],cards[uuid],0),68),INDEX(tokens[],MATCH(AllCardsViz[[#This Row],[uuid]],tokens[uuid],0),39)),"")</f>
        <v>FJ25</v>
      </c>
      <c r="E48" t="str">
        <f>IFERROR(_xlfn.IFNA(INDEX(cards[],MATCH(AllCardsViz[[#This Row],[uuid]],cards[uuid],0),69),INDEX(tokens[],MATCH(AllCardsViz[[#This Row],[uuid]],tokens[uuid],0),40)),"")</f>
        <v/>
      </c>
      <c r="F48" t="str">
        <f>IFERROR(_xlfn.IFNA(INDEX(cards[],MATCH(AllCardsViz[[#This Row],[uuid]],cards[uuid],0),44),INDEX(tokens[],MATCH(AllCardsViz[[#This Row],[uuid]],tokens[uuid],0),24)),"")</f>
        <v/>
      </c>
      <c r="G48" t="str">
        <f>IFERROR(INDEX(sets[],MATCH(AllCardsViz[[#This Row],[Setcode]],sets[code],0),16),INDEX(sets[],MATCH(AllCardsViz[[#This Row],[Setcode]],sets[tokenSetCode],0),16))</f>
        <v>Foundations Jumpstart Front Cards</v>
      </c>
    </row>
    <row r="49" spans="1:7" x14ac:dyDescent="0.25">
      <c r="A49" t="str" cm="1">
        <f t="array" ref="A49">IFERROR(INDEX(_xlfn.VSTACK(cards[uuid],tokens[uuid]), ROW()-ROW($A$1)),"")</f>
        <v>4767463a-62d8-5706-89e5-6e1155cd4d3e</v>
      </c>
      <c r="B49" t="str">
        <f>IFERROR(_xlfn.IFNA(INDEX(cards[],MATCH(AllCardsViz[[#This Row],[uuid]],cards[uuid],0),52),INDEX(tokens[],MATCH(AllCardsViz[[#This Row],[uuid]],tokens[uuid],0),28)),"")</f>
        <v>Shadrix Silverquill // Shadrix Silverquill</v>
      </c>
      <c r="C49" t="str">
        <f>IFERROR(_xlfn.IFNA(INDEX(cards[],MATCH(AllCardsViz[[#This Row],[uuid]],cards[uuid],0),64),""),"")</f>
        <v/>
      </c>
      <c r="D49" t="str">
        <f>IFERROR(_xlfn.IFNA(INDEX(cards[],MATCH(AllCardsViz[[#This Row],[uuid]],cards[uuid],0),68),INDEX(tokens[],MATCH(AllCardsViz[[#This Row],[uuid]],tokens[uuid],0),39)),"")</f>
        <v>ASTX</v>
      </c>
      <c r="E49" t="str">
        <f>IFERROR(_xlfn.IFNA(INDEX(cards[],MATCH(AllCardsViz[[#This Row],[uuid]],cards[uuid],0),69),INDEX(tokens[],MATCH(AllCardsViz[[#This Row],[uuid]],tokens[uuid],0),40)),"")</f>
        <v>a</v>
      </c>
      <c r="F49" t="str">
        <f>IFERROR(_xlfn.IFNA(INDEX(cards[],MATCH(AllCardsViz[[#This Row],[uuid]],cards[uuid],0),44),INDEX(tokens[],MATCH(AllCardsViz[[#This Row],[uuid]],tokens[uuid],0),24)),"")</f>
        <v/>
      </c>
      <c r="G49" t="str">
        <f>IFERROR(INDEX(sets[],MATCH(AllCardsViz[[#This Row],[Setcode]],sets[code],0),16),INDEX(sets[],MATCH(AllCardsViz[[#This Row],[Setcode]],sets[tokenSetCode],0),16))</f>
        <v>Strixhaven Art Series</v>
      </c>
    </row>
    <row r="50" spans="1:7" x14ac:dyDescent="0.25">
      <c r="A50" t="str" cm="1">
        <f t="array" ref="A50">IFERROR(INDEX(_xlfn.VSTACK(cards[uuid],tokens[uuid]), ROW()-ROW($A$1)),"")</f>
        <v>62118980-b180-5006-80c4-cdc91d1ca44a</v>
      </c>
      <c r="B50" t="str">
        <f>IFERROR(_xlfn.IFNA(INDEX(cards[],MATCH(AllCardsViz[[#This Row],[uuid]],cards[uuid],0),52),INDEX(tokens[],MATCH(AllCardsViz[[#This Row],[uuid]],tokens[uuid],0),28)),"")</f>
        <v>Sythis, Harvest's Hand // Sythis, Harvest's Hand</v>
      </c>
      <c r="C50" t="str">
        <f>IFERROR(_xlfn.IFNA(INDEX(cards[],MATCH(AllCardsViz[[#This Row],[uuid]],cards[uuid],0),64),""),"")</f>
        <v/>
      </c>
      <c r="D50" t="str">
        <f>IFERROR(_xlfn.IFNA(INDEX(cards[],MATCH(AllCardsViz[[#This Row],[uuid]],cards[uuid],0),68),INDEX(tokens[],MATCH(AllCardsViz[[#This Row],[uuid]],tokens[uuid],0),39)),"")</f>
        <v>AMH2</v>
      </c>
      <c r="E50" t="str">
        <f>IFERROR(_xlfn.IFNA(INDEX(cards[],MATCH(AllCardsViz[[#This Row],[uuid]],cards[uuid],0),69),INDEX(tokens[],MATCH(AllCardsViz[[#This Row],[uuid]],tokens[uuid],0),40)),"")</f>
        <v>a</v>
      </c>
      <c r="F50" t="str">
        <f>IFERROR(_xlfn.IFNA(INDEX(cards[],MATCH(AllCardsViz[[#This Row],[uuid]],cards[uuid],0),44),INDEX(tokens[],MATCH(AllCardsViz[[#This Row],[uuid]],tokens[uuid],0),24)),"")</f>
        <v/>
      </c>
      <c r="G50" t="str">
        <f>IFERROR(INDEX(sets[],MATCH(AllCardsViz[[#This Row],[Setcode]],sets[code],0),16),INDEX(sets[],MATCH(AllCardsViz[[#This Row],[Setcode]],sets[tokenSetCode],0),16))</f>
        <v>Modern Horizons 2 Art Series</v>
      </c>
    </row>
    <row r="51" spans="1:7" x14ac:dyDescent="0.25">
      <c r="A51" t="str" cm="1">
        <f t="array" ref="A51">IFERROR(INDEX(_xlfn.VSTACK(cards[uuid],tokens[uuid]), ROW()-ROW($A$1)),"")</f>
        <v>701dcbc1-659a-5b77-8eda-2157fec85d8d</v>
      </c>
      <c r="B51" t="str">
        <f>IFERROR(_xlfn.IFNA(INDEX(cards[],MATCH(AllCardsViz[[#This Row],[uuid]],cards[uuid],0),52),INDEX(tokens[],MATCH(AllCardsViz[[#This Row],[uuid]],tokens[uuid],0),28)),"")</f>
        <v>Ranger-Captain of Eos // Ranger-Captain of Eos</v>
      </c>
      <c r="C51" t="str">
        <f>IFERROR(_xlfn.IFNA(INDEX(cards[],MATCH(AllCardsViz[[#This Row],[uuid]],cards[uuid],0),64),""),"")</f>
        <v/>
      </c>
      <c r="D51" t="str">
        <f>IFERROR(_xlfn.IFNA(INDEX(cards[],MATCH(AllCardsViz[[#This Row],[uuid]],cards[uuid],0),68),INDEX(tokens[],MATCH(AllCardsViz[[#This Row],[uuid]],tokens[uuid],0),39)),"")</f>
        <v>AMH1</v>
      </c>
      <c r="E51" t="str">
        <f>IFERROR(_xlfn.IFNA(INDEX(cards[],MATCH(AllCardsViz[[#This Row],[uuid]],cards[uuid],0),69),INDEX(tokens[],MATCH(AllCardsViz[[#This Row],[uuid]],tokens[uuid],0),40)),"")</f>
        <v>a</v>
      </c>
      <c r="F51" t="str">
        <f>IFERROR(_xlfn.IFNA(INDEX(cards[],MATCH(AllCardsViz[[#This Row],[uuid]],cards[uuid],0),44),INDEX(tokens[],MATCH(AllCardsViz[[#This Row],[uuid]],tokens[uuid],0),24)),"")</f>
        <v/>
      </c>
      <c r="G51" t="str">
        <f>IFERROR(INDEX(sets[],MATCH(AllCardsViz[[#This Row],[Setcode]],sets[code],0),16),INDEX(sets[],MATCH(AllCardsViz[[#This Row],[Setcode]],sets[tokenSetCode],0),16))</f>
        <v>Modern Horizons Art Series</v>
      </c>
    </row>
    <row r="52" spans="1:7" x14ac:dyDescent="0.25">
      <c r="A52" t="str" cm="1">
        <f t="array" ref="A52">IFERROR(INDEX(_xlfn.VSTACK(cards[uuid],tokens[uuid]), ROW()-ROW($A$1)),"")</f>
        <v>75e2741e-f3e4-5f9d-bebd-c591e0c36430</v>
      </c>
      <c r="B52" t="str">
        <f>IFERROR(_xlfn.IFNA(INDEX(cards[],MATCH(AllCardsViz[[#This Row],[uuid]],cards[uuid],0),52),INDEX(tokens[],MATCH(AllCardsViz[[#This Row],[uuid]],tokens[uuid],0),28)),"")</f>
        <v>All Will Be One // All Will Be One</v>
      </c>
      <c r="C52" t="str">
        <f>IFERROR(_xlfn.IFNA(INDEX(cards[],MATCH(AllCardsViz[[#This Row],[uuid]],cards[uuid],0),64),""),"")</f>
        <v/>
      </c>
      <c r="D52" t="str">
        <f>IFERROR(_xlfn.IFNA(INDEX(cards[],MATCH(AllCardsViz[[#This Row],[uuid]],cards[uuid],0),68),INDEX(tokens[],MATCH(AllCardsViz[[#This Row],[uuid]],tokens[uuid],0),39)),"")</f>
        <v>AONE</v>
      </c>
      <c r="E52" t="str">
        <f>IFERROR(_xlfn.IFNA(INDEX(cards[],MATCH(AllCardsViz[[#This Row],[uuid]],cards[uuid],0),69),INDEX(tokens[],MATCH(AllCardsViz[[#This Row],[uuid]],tokens[uuid],0),40)),"")</f>
        <v>a</v>
      </c>
      <c r="F52" t="str">
        <f>IFERROR(_xlfn.IFNA(INDEX(cards[],MATCH(AllCardsViz[[#This Row],[uuid]],cards[uuid],0),44),INDEX(tokens[],MATCH(AllCardsViz[[#This Row],[uuid]],tokens[uuid],0),24)),"")</f>
        <v/>
      </c>
      <c r="G52" t="str">
        <f>IFERROR(INDEX(sets[],MATCH(AllCardsViz[[#This Row],[Setcode]],sets[code],0),16),INDEX(sets[],MATCH(AllCardsViz[[#This Row],[Setcode]],sets[tokenSetCode],0),16))</f>
        <v>Phyrexia: All Will Be One Art Series</v>
      </c>
    </row>
    <row r="53" spans="1:7" x14ac:dyDescent="0.25">
      <c r="A53" t="str" cm="1">
        <f t="array" ref="A53">IFERROR(INDEX(_xlfn.VSTACK(cards[uuid],tokens[uuid]), ROW()-ROW($A$1)),"")</f>
        <v>978e07d3-d388-5379-8c20-f67c6af0936d</v>
      </c>
      <c r="B53" t="str">
        <f>IFERROR(_xlfn.IFNA(INDEX(cards[],MATCH(AllCardsViz[[#This Row],[uuid]],cards[uuid],0),52),INDEX(tokens[],MATCH(AllCardsViz[[#This Row],[uuid]],tokens[uuid],0),28)),"")</f>
        <v>Blossoming Calm // Blossoming Calm</v>
      </c>
      <c r="C53" t="str">
        <f>IFERROR(_xlfn.IFNA(INDEX(cards[],MATCH(AllCardsViz[[#This Row],[uuid]],cards[uuid],0),64),""),"")</f>
        <v/>
      </c>
      <c r="D53" t="str">
        <f>IFERROR(_xlfn.IFNA(INDEX(cards[],MATCH(AllCardsViz[[#This Row],[uuid]],cards[uuid],0),68),INDEX(tokens[],MATCH(AllCardsViz[[#This Row],[uuid]],tokens[uuid],0),39)),"")</f>
        <v>AMH2</v>
      </c>
      <c r="E53" t="str">
        <f>IFERROR(_xlfn.IFNA(INDEX(cards[],MATCH(AllCardsViz[[#This Row],[uuid]],cards[uuid],0),69),INDEX(tokens[],MATCH(AllCardsViz[[#This Row],[uuid]],tokens[uuid],0),40)),"")</f>
        <v>a</v>
      </c>
      <c r="F53" t="str">
        <f>IFERROR(_xlfn.IFNA(INDEX(cards[],MATCH(AllCardsViz[[#This Row],[uuid]],cards[uuid],0),44),INDEX(tokens[],MATCH(AllCardsViz[[#This Row],[uuid]],tokens[uuid],0),24)),"")</f>
        <v/>
      </c>
      <c r="G53" t="str">
        <f>IFERROR(INDEX(sets[],MATCH(AllCardsViz[[#This Row],[Setcode]],sets[code],0),16),INDEX(sets[],MATCH(AllCardsViz[[#This Row],[Setcode]],sets[tokenSetCode],0),16))</f>
        <v>Modern Horizons 2 Art Series</v>
      </c>
    </row>
    <row r="54" spans="1:7" x14ac:dyDescent="0.25">
      <c r="A54" t="str" cm="1">
        <f t="array" ref="A54">IFERROR(INDEX(_xlfn.VSTACK(cards[uuid],tokens[uuid]), ROW()-ROW($A$1)),"")</f>
        <v>aaf9b28b-4552-5665-b719-b8711215002b</v>
      </c>
      <c r="B54" t="str">
        <f>IFERROR(_xlfn.IFNA(INDEX(cards[],MATCH(AllCardsViz[[#This Row],[uuid]],cards[uuid],0),52),INDEX(tokens[],MATCH(AllCardsViz[[#This Row],[uuid]],tokens[uuid],0),28)),"")</f>
        <v>Rampant Frogantua // Rampant Frogantua</v>
      </c>
      <c r="C54" t="str">
        <f>IFERROR(_xlfn.IFNA(INDEX(cards[],MATCH(AllCardsViz[[#This Row],[uuid]],cards[uuid],0),64),""),"")</f>
        <v/>
      </c>
      <c r="D54" t="str">
        <f>IFERROR(_xlfn.IFNA(INDEX(cards[],MATCH(AllCardsViz[[#This Row],[uuid]],cards[uuid],0),68),INDEX(tokens[],MATCH(AllCardsViz[[#This Row],[uuid]],tokens[uuid],0),39)),"")</f>
        <v>AMH3</v>
      </c>
      <c r="E54" t="str">
        <f>IFERROR(_xlfn.IFNA(INDEX(cards[],MATCH(AllCardsViz[[#This Row],[uuid]],cards[uuid],0),69),INDEX(tokens[],MATCH(AllCardsViz[[#This Row],[uuid]],tokens[uuid],0),40)),"")</f>
        <v>a</v>
      </c>
      <c r="F54" t="str">
        <f>IFERROR(_xlfn.IFNA(INDEX(cards[],MATCH(AllCardsViz[[#This Row],[uuid]],cards[uuid],0),44),INDEX(tokens[],MATCH(AllCardsViz[[#This Row],[uuid]],tokens[uuid],0),24)),"")</f>
        <v/>
      </c>
      <c r="G54" t="str">
        <f>IFERROR(INDEX(sets[],MATCH(AllCardsViz[[#This Row],[Setcode]],sets[code],0),16),INDEX(sets[],MATCH(AllCardsViz[[#This Row],[Setcode]],sets[tokenSetCode],0),16))</f>
        <v>Modern Horizons 3 Art Series</v>
      </c>
    </row>
    <row r="55" spans="1:7" x14ac:dyDescent="0.25">
      <c r="A55" t="str" cm="1">
        <f t="array" ref="A55">IFERROR(INDEX(_xlfn.VSTACK(cards[uuid],tokens[uuid]), ROW()-ROW($A$1)),"")</f>
        <v>b3f7e41e-3606-56d0-88c5-82360063aecd</v>
      </c>
      <c r="B55" t="str">
        <f>IFERROR(_xlfn.IFNA(INDEX(cards[],MATCH(AllCardsViz[[#This Row],[uuid]],cards[uuid],0),52),INDEX(tokens[],MATCH(AllCardsViz[[#This Row],[uuid]],tokens[uuid],0),28)),"")</f>
        <v>Season of Weaving // Season of Weaving</v>
      </c>
      <c r="C55" t="str">
        <f>IFERROR(_xlfn.IFNA(INDEX(cards[],MATCH(AllCardsViz[[#This Row],[uuid]],cards[uuid],0),64),""),"")</f>
        <v/>
      </c>
      <c r="D55" t="str">
        <f>IFERROR(_xlfn.IFNA(INDEX(cards[],MATCH(AllCardsViz[[#This Row],[uuid]],cards[uuid],0),68),INDEX(tokens[],MATCH(AllCardsViz[[#This Row],[uuid]],tokens[uuid],0),39)),"")</f>
        <v>ABLB</v>
      </c>
      <c r="E55" t="str">
        <f>IFERROR(_xlfn.IFNA(INDEX(cards[],MATCH(AllCardsViz[[#This Row],[uuid]],cards[uuid],0),69),INDEX(tokens[],MATCH(AllCardsViz[[#This Row],[uuid]],tokens[uuid],0),40)),"")</f>
        <v>a</v>
      </c>
      <c r="F55" t="str">
        <f>IFERROR(_xlfn.IFNA(INDEX(cards[],MATCH(AllCardsViz[[#This Row],[uuid]],cards[uuid],0),44),INDEX(tokens[],MATCH(AllCardsViz[[#This Row],[uuid]],tokens[uuid],0),24)),"")</f>
        <v/>
      </c>
      <c r="G55" t="str">
        <f>IFERROR(INDEX(sets[],MATCH(AllCardsViz[[#This Row],[Setcode]],sets[code],0),16),INDEX(sets[],MATCH(AllCardsViz[[#This Row],[Setcode]],sets[tokenSetCode],0),16))</f>
        <v>Bloomburrow Art Series</v>
      </c>
    </row>
    <row r="56" spans="1:7" x14ac:dyDescent="0.25">
      <c r="A56" t="str" cm="1">
        <f t="array" ref="A56">IFERROR(INDEX(_xlfn.VSTACK(cards[uuid],tokens[uuid]), ROW()-ROW($A$1)),"")</f>
        <v>d4588e8f-e5a0-53e5-ac90-0a5183f0d118</v>
      </c>
      <c r="B56" t="str">
        <f>IFERROR(_xlfn.IFNA(INDEX(cards[],MATCH(AllCardsViz[[#This Row],[uuid]],cards[uuid],0),52),INDEX(tokens[],MATCH(AllCardsViz[[#This Row],[uuid]],tokens[uuid],0),28)),"")</f>
        <v>Chillerpillar // Chillerpillar</v>
      </c>
      <c r="C56" t="str">
        <f>IFERROR(_xlfn.IFNA(INDEX(cards[],MATCH(AllCardsViz[[#This Row],[uuid]],cards[uuid],0),64),""),"")</f>
        <v/>
      </c>
      <c r="D56" t="str">
        <f>IFERROR(_xlfn.IFNA(INDEX(cards[],MATCH(AllCardsViz[[#This Row],[uuid]],cards[uuid],0),68),INDEX(tokens[],MATCH(AllCardsViz[[#This Row],[uuid]],tokens[uuid],0),39)),"")</f>
        <v>AMH1</v>
      </c>
      <c r="E56" t="str">
        <f>IFERROR(_xlfn.IFNA(INDEX(cards[],MATCH(AllCardsViz[[#This Row],[uuid]],cards[uuid],0),69),INDEX(tokens[],MATCH(AllCardsViz[[#This Row],[uuid]],tokens[uuid],0),40)),"")</f>
        <v>a</v>
      </c>
      <c r="F56" t="str">
        <f>IFERROR(_xlfn.IFNA(INDEX(cards[],MATCH(AllCardsViz[[#This Row],[uuid]],cards[uuid],0),44),INDEX(tokens[],MATCH(AllCardsViz[[#This Row],[uuid]],tokens[uuid],0),24)),"")</f>
        <v/>
      </c>
      <c r="G56" t="str">
        <f>IFERROR(INDEX(sets[],MATCH(AllCardsViz[[#This Row],[Setcode]],sets[code],0),16),INDEX(sets[],MATCH(AllCardsViz[[#This Row],[Setcode]],sets[tokenSetCode],0),16))</f>
        <v>Modern Horizons Art Series</v>
      </c>
    </row>
    <row r="57" spans="1:7" x14ac:dyDescent="0.25">
      <c r="A57" t="str" cm="1">
        <f t="array" ref="A57">IFERROR(INDEX(_xlfn.VSTACK(cards[uuid],tokens[uuid]), ROW()-ROW($A$1)),"")</f>
        <v>f565a88d-d448-5c12-90b3-23922d47b9f9</v>
      </c>
      <c r="B57" t="str">
        <f>IFERROR(_xlfn.IFNA(INDEX(cards[],MATCH(AllCardsViz[[#This Row],[uuid]],cards[uuid],0),52),INDEX(tokens[],MATCH(AllCardsViz[[#This Row],[uuid]],tokens[uuid],0),28)),"")</f>
        <v>Island // Island</v>
      </c>
      <c r="C57" t="str">
        <f>IFERROR(_xlfn.IFNA(INDEX(cards[],MATCH(AllCardsViz[[#This Row],[uuid]],cards[uuid],0),64),""),"")</f>
        <v/>
      </c>
      <c r="D57" t="str">
        <f>IFERROR(_xlfn.IFNA(INDEX(cards[],MATCH(AllCardsViz[[#This Row],[uuid]],cards[uuid],0),68),INDEX(tokens[],MATCH(AllCardsViz[[#This Row],[uuid]],tokens[uuid],0),39)),"")</f>
        <v>AFDN</v>
      </c>
      <c r="E57" t="str">
        <f>IFERROR(_xlfn.IFNA(INDEX(cards[],MATCH(AllCardsViz[[#This Row],[uuid]],cards[uuid],0),69),INDEX(tokens[],MATCH(AllCardsViz[[#This Row],[uuid]],tokens[uuid],0),40)),"")</f>
        <v>a</v>
      </c>
      <c r="F57" t="str">
        <f>IFERROR(_xlfn.IFNA(INDEX(cards[],MATCH(AllCardsViz[[#This Row],[uuid]],cards[uuid],0),44),INDEX(tokens[],MATCH(AllCardsViz[[#This Row],[uuid]],tokens[uuid],0),24)),"")</f>
        <v/>
      </c>
      <c r="G57" t="str">
        <f>IFERROR(INDEX(sets[],MATCH(AllCardsViz[[#This Row],[Setcode]],sets[code],0),16),INDEX(sets[],MATCH(AllCardsViz[[#This Row],[Setcode]],sets[tokenSetCode],0),16))</f>
        <v>Foundations Art Series</v>
      </c>
    </row>
    <row r="58" spans="1:7" x14ac:dyDescent="0.25">
      <c r="A58" t="str" cm="1">
        <f t="array" ref="A58">IFERROR(INDEX(_xlfn.VSTACK(cards[uuid],tokens[uuid]), ROW()-ROW($A$1)),"")</f>
        <v>f7161b69-1d04-5f7b-92fe-ea2fd8bf8e88</v>
      </c>
      <c r="B58" t="str">
        <f>IFERROR(_xlfn.IFNA(INDEX(cards[],MATCH(AllCardsViz[[#This Row],[uuid]],cards[uuid],0),52),INDEX(tokens[],MATCH(AllCardsViz[[#This Row],[uuid]],tokens[uuid],0),28)),"")</f>
        <v>Jan Jansen, Chaos Crafter // Jan Jansen, Chaos Crafter</v>
      </c>
      <c r="C58" t="str">
        <f>IFERROR(_xlfn.IFNA(INDEX(cards[],MATCH(AllCardsViz[[#This Row],[uuid]],cards[uuid],0),64),""),"")</f>
        <v/>
      </c>
      <c r="D58" t="str">
        <f>IFERROR(_xlfn.IFNA(INDEX(cards[],MATCH(AllCardsViz[[#This Row],[uuid]],cards[uuid],0),68),INDEX(tokens[],MATCH(AllCardsViz[[#This Row],[uuid]],tokens[uuid],0),39)),"")</f>
        <v>ACLB</v>
      </c>
      <c r="E58" t="str">
        <f>IFERROR(_xlfn.IFNA(INDEX(cards[],MATCH(AllCardsViz[[#This Row],[uuid]],cards[uuid],0),69),INDEX(tokens[],MATCH(AllCardsViz[[#This Row],[uuid]],tokens[uuid],0),40)),"")</f>
        <v>a</v>
      </c>
      <c r="F58" t="str">
        <f>IFERROR(_xlfn.IFNA(INDEX(cards[],MATCH(AllCardsViz[[#This Row],[uuid]],cards[uuid],0),44),INDEX(tokens[],MATCH(AllCardsViz[[#This Row],[uuid]],tokens[uuid],0),24)),"")</f>
        <v/>
      </c>
      <c r="G58" t="str">
        <f>IFERROR(INDEX(sets[],MATCH(AllCardsViz[[#This Row],[Setcode]],sets[code],0),16),INDEX(sets[],MATCH(AllCardsViz[[#This Row],[Setcode]],sets[tokenSetCode],0),16))</f>
        <v>Battle for Baldur's Gate Art Series</v>
      </c>
    </row>
    <row r="59" spans="1:7" x14ac:dyDescent="0.25">
      <c r="A59" t="str" cm="1">
        <f t="array" ref="A59">IFERROR(INDEX(_xlfn.VSTACK(cards[uuid],tokens[uuid]), ROW()-ROW($A$1)),"")</f>
        <v>fcfa94d1-04fc-5ef5-bee3-a1296627c4c1</v>
      </c>
      <c r="B59" t="str">
        <f>IFERROR(_xlfn.IFNA(INDEX(cards[],MATCH(AllCardsViz[[#This Row],[uuid]],cards[uuid],0),52),INDEX(tokens[],MATCH(AllCardsViz[[#This Row],[uuid]],tokens[uuid],0),28)),"")</f>
        <v>Unblinking Observer // Unblinking Observer</v>
      </c>
      <c r="C59" t="str">
        <f>IFERROR(_xlfn.IFNA(INDEX(cards[],MATCH(AllCardsViz[[#This Row],[uuid]],cards[uuid],0),64),""),"")</f>
        <v/>
      </c>
      <c r="D59" t="str">
        <f>IFERROR(_xlfn.IFNA(INDEX(cards[],MATCH(AllCardsViz[[#This Row],[uuid]],cards[uuid],0),68),INDEX(tokens[],MATCH(AllCardsViz[[#This Row],[uuid]],tokens[uuid],0),39)),"")</f>
        <v>AMID</v>
      </c>
      <c r="E59" t="str">
        <f>IFERROR(_xlfn.IFNA(INDEX(cards[],MATCH(AllCardsViz[[#This Row],[uuid]],cards[uuid],0),69),INDEX(tokens[],MATCH(AllCardsViz[[#This Row],[uuid]],tokens[uuid],0),40)),"")</f>
        <v>a</v>
      </c>
      <c r="F59" t="str">
        <f>IFERROR(_xlfn.IFNA(INDEX(cards[],MATCH(AllCardsViz[[#This Row],[uuid]],cards[uuid],0),44),INDEX(tokens[],MATCH(AllCardsViz[[#This Row],[uuid]],tokens[uuid],0),24)),"")</f>
        <v/>
      </c>
      <c r="G59" t="str">
        <f>IFERROR(INDEX(sets[],MATCH(AllCardsViz[[#This Row],[Setcode]],sets[code],0),16),INDEX(sets[],MATCH(AllCardsViz[[#This Row],[Setcode]],sets[tokenSetCode],0),16))</f>
        <v>Midnight Hunt Art Series</v>
      </c>
    </row>
    <row r="60" spans="1:7" x14ac:dyDescent="0.25">
      <c r="A60" t="str" cm="1">
        <f t="array" ref="A60">IFERROR(INDEX(_xlfn.VSTACK(cards[uuid],tokens[uuid]), ROW()-ROW($A$1)),"")</f>
        <v>16d88c3b-e766-50ba-8086-917159167368</v>
      </c>
      <c r="B60" t="str">
        <f>IFERROR(_xlfn.IFNA(INDEX(cards[],MATCH(AllCardsViz[[#This Row],[uuid]],cards[uuid],0),52),INDEX(tokens[],MATCH(AllCardsViz[[#This Row],[uuid]],tokens[uuid],0),28)),"")</f>
        <v>Cat</v>
      </c>
      <c r="C60" t="str">
        <f>IFERROR(_xlfn.IFNA(INDEX(cards[],MATCH(AllCardsViz[[#This Row],[uuid]],cards[uuid],0),64),""),"")</f>
        <v/>
      </c>
      <c r="D60" t="str">
        <f>IFERROR(_xlfn.IFNA(INDEX(cards[],MATCH(AllCardsViz[[#This Row],[uuid]],cards[uuid],0),68),INDEX(tokens[],MATCH(AllCardsViz[[#This Row],[uuid]],tokens[uuid],0),39)),"")</f>
        <v>TWOC</v>
      </c>
      <c r="E60" t="str">
        <f>IFERROR(_xlfn.IFNA(INDEX(cards[],MATCH(AllCardsViz[[#This Row],[uuid]],cards[uuid],0),69),INDEX(tokens[],MATCH(AllCardsViz[[#This Row],[uuid]],tokens[uuid],0),40)),"")</f>
        <v/>
      </c>
      <c r="F60" t="str">
        <f>IFERROR(_xlfn.IFNA(INDEX(cards[],MATCH(AllCardsViz[[#This Row],[uuid]],cards[uuid],0),44),INDEX(tokens[],MATCH(AllCardsViz[[#This Row],[uuid]],tokens[uuid],0),24)),"")</f>
        <v/>
      </c>
      <c r="G60" t="str">
        <f>IFERROR(INDEX(sets[],MATCH(AllCardsViz[[#This Row],[Setcode]],sets[code],0),16),INDEX(sets[],MATCH(AllCardsViz[[#This Row],[Setcode]],sets[tokenSetCode],0),16))</f>
        <v>Wilds of Eldraine Commander</v>
      </c>
    </row>
    <row r="61" spans="1:7" x14ac:dyDescent="0.25">
      <c r="A61" t="str" cm="1">
        <f t="array" ref="A61">IFERROR(INDEX(_xlfn.VSTACK(cards[uuid],tokens[uuid]), ROW()-ROW($A$1)),"")</f>
        <v>db939e9b-b7c1-5084-9880-1856f29766c5</v>
      </c>
      <c r="B61" t="str">
        <f>IFERROR(_xlfn.IFNA(INDEX(cards[],MATCH(AllCardsViz[[#This Row],[uuid]],cards[uuid],0),52),INDEX(tokens[],MATCH(AllCardsViz[[#This Row],[uuid]],tokens[uuid],0),28)),"")</f>
        <v>Devil</v>
      </c>
      <c r="C61" t="str">
        <f>IFERROR(_xlfn.IFNA(INDEX(cards[],MATCH(AllCardsViz[[#This Row],[uuid]],cards[uuid],0),64),""),"")</f>
        <v/>
      </c>
      <c r="D61" t="str">
        <f>IFERROR(_xlfn.IFNA(INDEX(cards[],MATCH(AllCardsViz[[#This Row],[uuid]],cards[uuid],0),68),INDEX(tokens[],MATCH(AllCardsViz[[#This Row],[uuid]],tokens[uuid],0),39)),"")</f>
        <v>TDSC</v>
      </c>
      <c r="E61" t="str">
        <f>IFERROR(_xlfn.IFNA(INDEX(cards[],MATCH(AllCardsViz[[#This Row],[uuid]],cards[uuid],0),69),INDEX(tokens[],MATCH(AllCardsViz[[#This Row],[uuid]],tokens[uuid],0),40)),"")</f>
        <v/>
      </c>
      <c r="F61" t="str">
        <f>IFERROR(_xlfn.IFNA(INDEX(cards[],MATCH(AllCardsViz[[#This Row],[uuid]],cards[uuid],0),44),INDEX(tokens[],MATCH(AllCardsViz[[#This Row],[uuid]],tokens[uuid],0),24)),"")</f>
        <v/>
      </c>
      <c r="G61" t="str">
        <f>IFERROR(INDEX(sets[],MATCH(AllCardsViz[[#This Row],[Setcode]],sets[code],0),16),INDEX(sets[],MATCH(AllCardsViz[[#This Row],[Setcode]],sets[tokenSetCode],0),16))</f>
        <v>Duskmourn: House of Horror Commander</v>
      </c>
    </row>
    <row r="62" spans="1:7" x14ac:dyDescent="0.25">
      <c r="A62" t="str" cm="1">
        <f t="array" ref="A62">IFERROR(INDEX(_xlfn.VSTACK(cards[uuid],tokens[uuid]), ROW()-ROW($A$1)),"")</f>
        <v>6f222117-73e0-5b15-8f8d-529bfa2cdbc1</v>
      </c>
      <c r="B62" t="str">
        <f>IFERROR(_xlfn.IFNA(INDEX(cards[],MATCH(AllCardsViz[[#This Row],[uuid]],cards[uuid],0),52),INDEX(tokens[],MATCH(AllCardsViz[[#This Row],[uuid]],tokens[uuid],0),28)),"")</f>
        <v>Dog</v>
      </c>
      <c r="C62" t="str">
        <f>IFERROR(_xlfn.IFNA(INDEX(cards[],MATCH(AllCardsViz[[#This Row],[uuid]],cards[uuid],0),64),""),"")</f>
        <v/>
      </c>
      <c r="D62" t="str">
        <f>IFERROR(_xlfn.IFNA(INDEX(cards[],MATCH(AllCardsViz[[#This Row],[uuid]],cards[uuid],0),68),INDEX(tokens[],MATCH(AllCardsViz[[#This Row],[uuid]],tokens[uuid],0),39)),"")</f>
        <v>TMKM</v>
      </c>
      <c r="E62" t="str">
        <f>IFERROR(_xlfn.IFNA(INDEX(cards[],MATCH(AllCardsViz[[#This Row],[uuid]],cards[uuid],0),69),INDEX(tokens[],MATCH(AllCardsViz[[#This Row],[uuid]],tokens[uuid],0),40)),"")</f>
        <v/>
      </c>
      <c r="F62" t="str">
        <f>IFERROR(_xlfn.IFNA(INDEX(cards[],MATCH(AllCardsViz[[#This Row],[uuid]],cards[uuid],0),44),INDEX(tokens[],MATCH(AllCardsViz[[#This Row],[uuid]],tokens[uuid],0),24)),"")</f>
        <v/>
      </c>
      <c r="G62" t="str">
        <f>IFERROR(INDEX(sets[],MATCH(AllCardsViz[[#This Row],[Setcode]],sets[code],0),16),INDEX(sets[],MATCH(AllCardsViz[[#This Row],[Setcode]],sets[tokenSetCode],0),16))</f>
        <v>Murders at Karlov Manor</v>
      </c>
    </row>
    <row r="63" spans="1:7" x14ac:dyDescent="0.25">
      <c r="A63" t="str" cm="1">
        <f t="array" ref="A63">IFERROR(INDEX(_xlfn.VSTACK(cards[uuid],tokens[uuid]), ROW()-ROW($A$1)),"")</f>
        <v>f0bb7e06-9698-5952-b890-442096073675</v>
      </c>
      <c r="B63" t="str">
        <f>IFERROR(_xlfn.IFNA(INDEX(cards[],MATCH(AllCardsViz[[#This Row],[uuid]],cards[uuid],0),52),INDEX(tokens[],MATCH(AllCardsViz[[#This Row],[uuid]],tokens[uuid],0),28)),"")</f>
        <v>Goblin</v>
      </c>
      <c r="C63" t="str">
        <f>IFERROR(_xlfn.IFNA(INDEX(cards[],MATCH(AllCardsViz[[#This Row],[uuid]],cards[uuid],0),64),""),"")</f>
        <v/>
      </c>
      <c r="D63" t="str">
        <f>IFERROR(_xlfn.IFNA(INDEX(cards[],MATCH(AllCardsViz[[#This Row],[uuid]],cards[uuid],0),68),INDEX(tokens[],MATCH(AllCardsViz[[#This Row],[uuid]],tokens[uuid],0),39)),"")</f>
        <v>TM3C</v>
      </c>
      <c r="E63" t="str">
        <f>IFERROR(_xlfn.IFNA(INDEX(cards[],MATCH(AllCardsViz[[#This Row],[uuid]],cards[uuid],0),69),INDEX(tokens[],MATCH(AllCardsViz[[#This Row],[uuid]],tokens[uuid],0),40)),"")</f>
        <v/>
      </c>
      <c r="F63" t="str">
        <f>IFERROR(_xlfn.IFNA(INDEX(cards[],MATCH(AllCardsViz[[#This Row],[uuid]],cards[uuid],0),44),INDEX(tokens[],MATCH(AllCardsViz[[#This Row],[uuid]],tokens[uuid],0),24)),"")</f>
        <v/>
      </c>
      <c r="G63" t="str">
        <f>IFERROR(INDEX(sets[],MATCH(AllCardsViz[[#This Row],[Setcode]],sets[code],0),16),INDEX(sets[],MATCH(AllCardsViz[[#This Row],[Setcode]],sets[tokenSetCode],0),16))</f>
        <v>Modern Horizons 3 Commander</v>
      </c>
    </row>
    <row r="64" spans="1:7" x14ac:dyDescent="0.25">
      <c r="A64" t="str" cm="1">
        <f t="array" ref="A64">IFERROR(INDEX(_xlfn.VSTACK(cards[uuid],tokens[uuid]), ROW()-ROW($A$1)),"")</f>
        <v>49481296-5e87-500b-9d95-8011f432466a</v>
      </c>
      <c r="B64" t="str">
        <f>IFERROR(_xlfn.IFNA(INDEX(cards[],MATCH(AllCardsViz[[#This Row],[uuid]],cards[uuid],0),52),INDEX(tokens[],MATCH(AllCardsViz[[#This Row],[uuid]],tokens[uuid],0),28)),"")</f>
        <v>Otter</v>
      </c>
      <c r="C64" t="str">
        <f>IFERROR(_xlfn.IFNA(INDEX(cards[],MATCH(AllCardsViz[[#This Row],[uuid]],cards[uuid],0),64),""),"")</f>
        <v/>
      </c>
      <c r="D64" t="str">
        <f>IFERROR(_xlfn.IFNA(INDEX(cards[],MATCH(AllCardsViz[[#This Row],[uuid]],cards[uuid],0),68),INDEX(tokens[],MATCH(AllCardsViz[[#This Row],[uuid]],tokens[uuid],0),39)),"")</f>
        <v>TBLB</v>
      </c>
      <c r="E64" t="str">
        <f>IFERROR(_xlfn.IFNA(INDEX(cards[],MATCH(AllCardsViz[[#This Row],[uuid]],cards[uuid],0),69),INDEX(tokens[],MATCH(AllCardsViz[[#This Row],[uuid]],tokens[uuid],0),40)),"")</f>
        <v/>
      </c>
      <c r="F64" t="str">
        <f>IFERROR(_xlfn.IFNA(INDEX(cards[],MATCH(AllCardsViz[[#This Row],[uuid]],cards[uuid],0),44),INDEX(tokens[],MATCH(AllCardsViz[[#This Row],[uuid]],tokens[uuid],0),24)),"")</f>
        <v>Prowess</v>
      </c>
      <c r="G64" t="str">
        <f>IFERROR(INDEX(sets[],MATCH(AllCardsViz[[#This Row],[Setcode]],sets[code],0),16),INDEX(sets[],MATCH(AllCardsViz[[#This Row],[Setcode]],sets[tokenSetCode],0),16))</f>
        <v>Bloomburrow</v>
      </c>
    </row>
    <row r="65" spans="1:7" x14ac:dyDescent="0.25">
      <c r="A65" t="str" cm="1">
        <f t="array" ref="A65">IFERROR(INDEX(_xlfn.VSTACK(cards[uuid],tokens[uuid]), ROW()-ROW($A$1)),"")</f>
        <v>011a9246-7f7c-50c7-ab99-3fc13469c13b</v>
      </c>
      <c r="B65" t="str">
        <f>IFERROR(_xlfn.IFNA(INDEX(cards[],MATCH(AllCardsViz[[#This Row],[uuid]],cards[uuid],0),52),INDEX(tokens[],MATCH(AllCardsViz[[#This Row],[uuid]],tokens[uuid],0),28)),"")</f>
        <v>Zombie</v>
      </c>
      <c r="C65" t="str">
        <f>IFERROR(_xlfn.IFNA(INDEX(cards[],MATCH(AllCardsViz[[#This Row],[uuid]],cards[uuid],0),64),""),"")</f>
        <v/>
      </c>
      <c r="D65" t="str">
        <f>IFERROR(_xlfn.IFNA(INDEX(cards[],MATCH(AllCardsViz[[#This Row],[uuid]],cards[uuid],0),68),INDEX(tokens[],MATCH(AllCardsViz[[#This Row],[uuid]],tokens[uuid],0),39)),"")</f>
        <v>TM11</v>
      </c>
      <c r="E65" t="str">
        <f>IFERROR(_xlfn.IFNA(INDEX(cards[],MATCH(AllCardsViz[[#This Row],[uuid]],cards[uuid],0),69),INDEX(tokens[],MATCH(AllCardsViz[[#This Row],[uuid]],tokens[uuid],0),40)),"")</f>
        <v/>
      </c>
      <c r="F65" t="str">
        <f>IFERROR(_xlfn.IFNA(INDEX(cards[],MATCH(AllCardsViz[[#This Row],[uuid]],cards[uuid],0),44),INDEX(tokens[],MATCH(AllCardsViz[[#This Row],[uuid]],tokens[uuid],0),24)),"")</f>
        <v/>
      </c>
      <c r="G65" t="str">
        <f>IFERROR(INDEX(sets[],MATCH(AllCardsViz[[#This Row],[Setcode]],sets[code],0),16),INDEX(sets[],MATCH(AllCardsViz[[#This Row],[Setcode]],sets[tokenSetCode],0),16))</f>
        <v>Magic 2011</v>
      </c>
    </row>
    <row r="66" spans="1:7" x14ac:dyDescent="0.25">
      <c r="A66" t="str" cm="1">
        <f t="array" ref="A66">IFERROR(INDEX(_xlfn.VSTACK(cards[uuid],tokens[uuid]), ROW()-ROW($A$1)),"")</f>
        <v>e4dcfe4f-8441-5eec-9f74-a7b3672e90e0</v>
      </c>
      <c r="B66" t="str">
        <f>IFERROR(_xlfn.IFNA(INDEX(cards[],MATCH(AllCardsViz[[#This Row],[uuid]],cards[uuid],0),52),INDEX(tokens[],MATCH(AllCardsViz[[#This Row],[uuid]],tokens[uuid],0),28)),"")</f>
        <v>Karox Bladewing</v>
      </c>
      <c r="C66" t="str">
        <f>IFERROR(_xlfn.IFNA(INDEX(cards[],MATCH(AllCardsViz[[#This Row],[uuid]],cards[uuid],0),64),""),"")</f>
        <v/>
      </c>
      <c r="D66" t="str">
        <f>IFERROR(_xlfn.IFNA(INDEX(cards[],MATCH(AllCardsViz[[#This Row],[uuid]],cards[uuid],0),68),INDEX(tokens[],MATCH(AllCardsViz[[#This Row],[uuid]],tokens[uuid],0),39)),"")</f>
        <v>TDOM</v>
      </c>
      <c r="E66" t="str">
        <f>IFERROR(_xlfn.IFNA(INDEX(cards[],MATCH(AllCardsViz[[#This Row],[uuid]],cards[uuid],0),69),INDEX(tokens[],MATCH(AllCardsViz[[#This Row],[uuid]],tokens[uuid],0),40)),"")</f>
        <v/>
      </c>
      <c r="F66" t="str">
        <f>IFERROR(_xlfn.IFNA(INDEX(cards[],MATCH(AllCardsViz[[#This Row],[uuid]],cards[uuid],0),44),INDEX(tokens[],MATCH(AllCardsViz[[#This Row],[uuid]],tokens[uuid],0),24)),"")</f>
        <v>Flying</v>
      </c>
      <c r="G66" t="str">
        <f>IFERROR(INDEX(sets[],MATCH(AllCardsViz[[#This Row],[Setcode]],sets[code],0),16),INDEX(sets[],MATCH(AllCardsViz[[#This Row],[Setcode]],sets[tokenSetCode],0),16))</f>
        <v>Dominaria</v>
      </c>
    </row>
    <row r="67" spans="1:7" x14ac:dyDescent="0.25">
      <c r="A67" t="str" cm="1">
        <f t="array" ref="A67">IFERROR(INDEX(_xlfn.VSTACK(cards[uuid],tokens[uuid]), ROW()-ROW($A$1)),"")</f>
        <v/>
      </c>
      <c r="B67" t="str">
        <f>IFERROR(_xlfn.IFNA(INDEX(cards[],MATCH(AllCardsViz[[#This Row],[uuid]],cards[uuid],0),52),INDEX(tokens[],MATCH(AllCardsViz[[#This Row],[uuid]],tokens[uuid],0),28)),"")</f>
        <v/>
      </c>
      <c r="C67" t="str">
        <f>IFERROR(_xlfn.IFNA(INDEX(cards[],MATCH(AllCardsViz[[#This Row],[uuid]],cards[uuid],0),64),""),"")</f>
        <v/>
      </c>
      <c r="D67" t="str">
        <f>IFERROR(_xlfn.IFNA(INDEX(cards[],MATCH(AllCardsViz[[#This Row],[uuid]],cards[uuid],0),68),INDEX(tokens[],MATCH(AllCardsViz[[#This Row],[uuid]],tokens[uuid],0),39)),"")</f>
        <v/>
      </c>
      <c r="E67" t="str">
        <f>IFERROR(_xlfn.IFNA(INDEX(cards[],MATCH(AllCardsViz[[#This Row],[uuid]],cards[uuid],0),69),INDEX(tokens[],MATCH(AllCardsViz[[#This Row],[uuid]],tokens[uuid],0),40)),"")</f>
        <v/>
      </c>
      <c r="F67" t="str">
        <f>IFERROR(_xlfn.IFNA(INDEX(cards[],MATCH(AllCardsViz[[#This Row],[uuid]],cards[uuid],0),44),INDEX(tokens[],MATCH(AllCardsViz[[#This Row],[uuid]],tokens[uuid],0),24)),"")</f>
        <v/>
      </c>
      <c r="G67" t="str">
        <f>IFERROR(INDEX(sets[],MATCH(AllCardsViz[[#This Row],[Setcode]],sets[code],0),16),INDEX(sets[],MATCH(AllCardsViz[[#This Row],[Setcode]],sets[tokenSetCode],0),16))</f>
        <v>Revised Edition</v>
      </c>
    </row>
    <row r="68" spans="1:7" x14ac:dyDescent="0.25">
      <c r="A68" t="str" cm="1">
        <f t="array" ref="A68">IFERROR(INDEX(_xlfn.VSTACK(cards[uuid],tokens[uuid]), ROW()-ROW($A$1)),"")</f>
        <v/>
      </c>
      <c r="B68" t="str">
        <f>IFERROR(_xlfn.IFNA(INDEX(cards[],MATCH(AllCardsViz[[#This Row],[uuid]],cards[uuid],0),52),INDEX(tokens[],MATCH(AllCardsViz[[#This Row],[uuid]],tokens[uuid],0),28)),"")</f>
        <v/>
      </c>
      <c r="C68" t="str">
        <f>IFERROR(_xlfn.IFNA(INDEX(cards[],MATCH(AllCardsViz[[#This Row],[uuid]],cards[uuid],0),64),""),"")</f>
        <v/>
      </c>
      <c r="D68" t="str">
        <f>IFERROR(_xlfn.IFNA(INDEX(cards[],MATCH(AllCardsViz[[#This Row],[uuid]],cards[uuid],0),68),INDEX(tokens[],MATCH(AllCardsViz[[#This Row],[uuid]],tokens[uuid],0),39)),"")</f>
        <v/>
      </c>
      <c r="E68" t="str">
        <f>IFERROR(_xlfn.IFNA(INDEX(cards[],MATCH(AllCardsViz[[#This Row],[uuid]],cards[uuid],0),69),INDEX(tokens[],MATCH(AllCardsViz[[#This Row],[uuid]],tokens[uuid],0),40)),"")</f>
        <v/>
      </c>
      <c r="F68" t="str">
        <f>IFERROR(_xlfn.IFNA(INDEX(cards[],MATCH(AllCardsViz[[#This Row],[uuid]],cards[uuid],0),44),INDEX(tokens[],MATCH(AllCardsViz[[#This Row],[uuid]],tokens[uuid],0),24)),"")</f>
        <v/>
      </c>
      <c r="G68" t="str">
        <f>IFERROR(INDEX(sets[],MATCH(AllCardsViz[[#This Row],[Setcode]],sets[code],0),16),INDEX(sets[],MATCH(AllCardsViz[[#This Row],[Setcode]],sets[tokenSetCode],0),16))</f>
        <v>Revised Edition</v>
      </c>
    </row>
    <row r="69" spans="1:7" x14ac:dyDescent="0.25">
      <c r="A69" t="str" cm="1">
        <f t="array" ref="A69">IFERROR(INDEX(_xlfn.VSTACK(cards[uuid],tokens[uuid]), ROW()-ROW($A$1)),"")</f>
        <v/>
      </c>
      <c r="B69" t="str">
        <f>IFERROR(_xlfn.IFNA(INDEX(cards[],MATCH(AllCardsViz[[#This Row],[uuid]],cards[uuid],0),52),INDEX(tokens[],MATCH(AllCardsViz[[#This Row],[uuid]],tokens[uuid],0),28)),"")</f>
        <v/>
      </c>
      <c r="C69" t="str">
        <f>IFERROR(_xlfn.IFNA(INDEX(cards[],MATCH(AllCardsViz[[#This Row],[uuid]],cards[uuid],0),64),""),"")</f>
        <v/>
      </c>
      <c r="D69" t="str">
        <f>IFERROR(_xlfn.IFNA(INDEX(cards[],MATCH(AllCardsViz[[#This Row],[uuid]],cards[uuid],0),68),INDEX(tokens[],MATCH(AllCardsViz[[#This Row],[uuid]],tokens[uuid],0),39)),"")</f>
        <v/>
      </c>
      <c r="E69" t="str">
        <f>IFERROR(_xlfn.IFNA(INDEX(cards[],MATCH(AllCardsViz[[#This Row],[uuid]],cards[uuid],0),69),INDEX(tokens[],MATCH(AllCardsViz[[#This Row],[uuid]],tokens[uuid],0),40)),"")</f>
        <v/>
      </c>
      <c r="F69" t="str">
        <f>IFERROR(_xlfn.IFNA(INDEX(cards[],MATCH(AllCardsViz[[#This Row],[uuid]],cards[uuid],0),44),INDEX(tokens[],MATCH(AllCardsViz[[#This Row],[uuid]],tokens[uuid],0),24)),"")</f>
        <v/>
      </c>
      <c r="G69" t="str">
        <f>IFERROR(INDEX(sets[],MATCH(AllCardsViz[[#This Row],[Setcode]],sets[code],0),16),INDEX(sets[],MATCH(AllCardsViz[[#This Row],[Setcode]],sets[tokenSetCode],0),16))</f>
        <v>Revised Edition</v>
      </c>
    </row>
    <row r="70" spans="1:7" x14ac:dyDescent="0.25">
      <c r="A70" t="str" cm="1">
        <f t="array" ref="A70">IFERROR(INDEX(_xlfn.VSTACK(cards[uuid],tokens[uuid]), ROW()-ROW($A$1)),"")</f>
        <v/>
      </c>
      <c r="B70" t="str">
        <f>IFERROR(_xlfn.IFNA(INDEX(cards[],MATCH(AllCardsViz[[#This Row],[uuid]],cards[uuid],0),52),INDEX(tokens[],MATCH(AllCardsViz[[#This Row],[uuid]],tokens[uuid],0),28)),"")</f>
        <v/>
      </c>
      <c r="C70" t="str">
        <f>IFERROR(_xlfn.IFNA(INDEX(cards[],MATCH(AllCardsViz[[#This Row],[uuid]],cards[uuid],0),64),""),"")</f>
        <v/>
      </c>
      <c r="D70" t="str">
        <f>IFERROR(_xlfn.IFNA(INDEX(cards[],MATCH(AllCardsViz[[#This Row],[uuid]],cards[uuid],0),68),INDEX(tokens[],MATCH(AllCardsViz[[#This Row],[uuid]],tokens[uuid],0),39)),"")</f>
        <v/>
      </c>
      <c r="E70" t="str">
        <f>IFERROR(_xlfn.IFNA(INDEX(cards[],MATCH(AllCardsViz[[#This Row],[uuid]],cards[uuid],0),69),INDEX(tokens[],MATCH(AllCardsViz[[#This Row],[uuid]],tokens[uuid],0),40)),"")</f>
        <v/>
      </c>
      <c r="F70" t="str">
        <f>IFERROR(_xlfn.IFNA(INDEX(cards[],MATCH(AllCardsViz[[#This Row],[uuid]],cards[uuid],0),44),INDEX(tokens[],MATCH(AllCardsViz[[#This Row],[uuid]],tokens[uuid],0),24)),"")</f>
        <v/>
      </c>
      <c r="G70" t="str">
        <f>IFERROR(INDEX(sets[],MATCH(AllCardsViz[[#This Row],[Setcode]],sets[code],0),16),INDEX(sets[],MATCH(AllCardsViz[[#This Row],[Setcode]],sets[tokenSetCode],0),16))</f>
        <v>Revised Edition</v>
      </c>
    </row>
    <row r="71" spans="1:7" x14ac:dyDescent="0.25">
      <c r="A71" t="str" cm="1">
        <f t="array" ref="A71">IFERROR(INDEX(_xlfn.VSTACK(cards[uuid],tokens[uuid]), ROW()-ROW($A$1)),"")</f>
        <v/>
      </c>
      <c r="B71" t="str">
        <f>IFERROR(_xlfn.IFNA(INDEX(cards[],MATCH(AllCardsViz[[#This Row],[uuid]],cards[uuid],0),52),INDEX(tokens[],MATCH(AllCardsViz[[#This Row],[uuid]],tokens[uuid],0),28)),"")</f>
        <v/>
      </c>
      <c r="C71" t="str">
        <f>IFERROR(_xlfn.IFNA(INDEX(cards[],MATCH(AllCardsViz[[#This Row],[uuid]],cards[uuid],0),64),""),"")</f>
        <v/>
      </c>
      <c r="D71" t="str">
        <f>IFERROR(_xlfn.IFNA(INDEX(cards[],MATCH(AllCardsViz[[#This Row],[uuid]],cards[uuid],0),68),INDEX(tokens[],MATCH(AllCardsViz[[#This Row],[uuid]],tokens[uuid],0),39)),"")</f>
        <v/>
      </c>
      <c r="E71" t="str">
        <f>IFERROR(_xlfn.IFNA(INDEX(cards[],MATCH(AllCardsViz[[#This Row],[uuid]],cards[uuid],0),69),INDEX(tokens[],MATCH(AllCardsViz[[#This Row],[uuid]],tokens[uuid],0),40)),"")</f>
        <v/>
      </c>
      <c r="F71" t="str">
        <f>IFERROR(_xlfn.IFNA(INDEX(cards[],MATCH(AllCardsViz[[#This Row],[uuid]],cards[uuid],0),44),INDEX(tokens[],MATCH(AllCardsViz[[#This Row],[uuid]],tokens[uuid],0),24)),"")</f>
        <v/>
      </c>
      <c r="G71" t="str">
        <f>IFERROR(INDEX(sets[],MATCH(AllCardsViz[[#This Row],[Setcode]],sets[code],0),16),INDEX(sets[],MATCH(AllCardsViz[[#This Row],[Setcode]],sets[tokenSetCode],0),16))</f>
        <v>Revised Edition</v>
      </c>
    </row>
    <row r="72" spans="1:7" x14ac:dyDescent="0.25">
      <c r="A72" t="str" cm="1">
        <f t="array" ref="A72">IFERROR(INDEX(_xlfn.VSTACK(cards[uuid],tokens[uuid]), ROW()-ROW($A$1)),"")</f>
        <v/>
      </c>
      <c r="B72" t="str">
        <f>IFERROR(_xlfn.IFNA(INDEX(cards[],MATCH(AllCardsViz[[#This Row],[uuid]],cards[uuid],0),52),INDEX(tokens[],MATCH(AllCardsViz[[#This Row],[uuid]],tokens[uuid],0),28)),"")</f>
        <v/>
      </c>
      <c r="C72" t="str">
        <f>IFERROR(_xlfn.IFNA(INDEX(cards[],MATCH(AllCardsViz[[#This Row],[uuid]],cards[uuid],0),64),""),"")</f>
        <v/>
      </c>
      <c r="D72" t="str">
        <f>IFERROR(_xlfn.IFNA(INDEX(cards[],MATCH(AllCardsViz[[#This Row],[uuid]],cards[uuid],0),68),INDEX(tokens[],MATCH(AllCardsViz[[#This Row],[uuid]],tokens[uuid],0),39)),"")</f>
        <v/>
      </c>
      <c r="E72" t="str">
        <f>IFERROR(_xlfn.IFNA(INDEX(cards[],MATCH(AllCardsViz[[#This Row],[uuid]],cards[uuid],0),69),INDEX(tokens[],MATCH(AllCardsViz[[#This Row],[uuid]],tokens[uuid],0),40)),"")</f>
        <v/>
      </c>
      <c r="F72" t="str">
        <f>IFERROR(_xlfn.IFNA(INDEX(cards[],MATCH(AllCardsViz[[#This Row],[uuid]],cards[uuid],0),44),INDEX(tokens[],MATCH(AllCardsViz[[#This Row],[uuid]],tokens[uuid],0),24)),"")</f>
        <v/>
      </c>
      <c r="G72" t="str">
        <f>IFERROR(INDEX(sets[],MATCH(AllCardsViz[[#This Row],[Setcode]],sets[code],0),16),INDEX(sets[],MATCH(AllCardsViz[[#This Row],[Setcode]],sets[tokenSetCode],0),16))</f>
        <v>Revised Edition</v>
      </c>
    </row>
    <row r="73" spans="1:7" x14ac:dyDescent="0.25">
      <c r="A73" t="str" cm="1">
        <f t="array" ref="A73">IFERROR(INDEX(_xlfn.VSTACK(cards[uuid],tokens[uuid]), ROW()-ROW($A$1)),"")</f>
        <v/>
      </c>
      <c r="B73" t="str">
        <f>IFERROR(_xlfn.IFNA(INDEX(cards[],MATCH(AllCardsViz[[#This Row],[uuid]],cards[uuid],0),52),INDEX(tokens[],MATCH(AllCardsViz[[#This Row],[uuid]],tokens[uuid],0),28)),"")</f>
        <v/>
      </c>
      <c r="C73" t="str">
        <f>IFERROR(_xlfn.IFNA(INDEX(cards[],MATCH(AllCardsViz[[#This Row],[uuid]],cards[uuid],0),64),""),"")</f>
        <v/>
      </c>
      <c r="D73" t="str">
        <f>IFERROR(_xlfn.IFNA(INDEX(cards[],MATCH(AllCardsViz[[#This Row],[uuid]],cards[uuid],0),68),INDEX(tokens[],MATCH(AllCardsViz[[#This Row],[uuid]],tokens[uuid],0),39)),"")</f>
        <v/>
      </c>
      <c r="E73" t="str">
        <f>IFERROR(_xlfn.IFNA(INDEX(cards[],MATCH(AllCardsViz[[#This Row],[uuid]],cards[uuid],0),69),INDEX(tokens[],MATCH(AllCardsViz[[#This Row],[uuid]],tokens[uuid],0),40)),"")</f>
        <v/>
      </c>
      <c r="F73" t="str">
        <f>IFERROR(_xlfn.IFNA(INDEX(cards[],MATCH(AllCardsViz[[#This Row],[uuid]],cards[uuid],0),44),INDEX(tokens[],MATCH(AllCardsViz[[#This Row],[uuid]],tokens[uuid],0),24)),"")</f>
        <v/>
      </c>
      <c r="G73" t="str">
        <f>IFERROR(INDEX(sets[],MATCH(AllCardsViz[[#This Row],[Setcode]],sets[code],0),16),INDEX(sets[],MATCH(AllCardsViz[[#This Row],[Setcode]],sets[tokenSetCode],0),16))</f>
        <v>Revised Edition</v>
      </c>
    </row>
    <row r="74" spans="1:7" x14ac:dyDescent="0.25">
      <c r="A74" t="str" cm="1">
        <f t="array" ref="A74">IFERROR(INDEX(_xlfn.VSTACK(cards[uuid],tokens[uuid]), ROW()-ROW($A$1)),"")</f>
        <v/>
      </c>
      <c r="B74" t="str">
        <f>IFERROR(_xlfn.IFNA(INDEX(cards[],MATCH(AllCardsViz[[#This Row],[uuid]],cards[uuid],0),52),INDEX(tokens[],MATCH(AllCardsViz[[#This Row],[uuid]],tokens[uuid],0),28)),"")</f>
        <v/>
      </c>
      <c r="C74" t="str">
        <f>IFERROR(_xlfn.IFNA(INDEX(cards[],MATCH(AllCardsViz[[#This Row],[uuid]],cards[uuid],0),64),""),"")</f>
        <v/>
      </c>
      <c r="D74" t="str">
        <f>IFERROR(_xlfn.IFNA(INDEX(cards[],MATCH(AllCardsViz[[#This Row],[uuid]],cards[uuid],0),68),INDEX(tokens[],MATCH(AllCardsViz[[#This Row],[uuid]],tokens[uuid],0),39)),"")</f>
        <v/>
      </c>
      <c r="E74" t="str">
        <f>IFERROR(_xlfn.IFNA(INDEX(cards[],MATCH(AllCardsViz[[#This Row],[uuid]],cards[uuid],0),69),INDEX(tokens[],MATCH(AllCardsViz[[#This Row],[uuid]],tokens[uuid],0),40)),"")</f>
        <v/>
      </c>
      <c r="F74" t="str">
        <f>IFERROR(_xlfn.IFNA(INDEX(cards[],MATCH(AllCardsViz[[#This Row],[uuid]],cards[uuid],0),44),INDEX(tokens[],MATCH(AllCardsViz[[#This Row],[uuid]],tokens[uuid],0),24)),"")</f>
        <v/>
      </c>
      <c r="G74" t="str">
        <f>IFERROR(INDEX(sets[],MATCH(AllCardsViz[[#This Row],[Setcode]],sets[code],0),16),INDEX(sets[],MATCH(AllCardsViz[[#This Row],[Setcode]],sets[tokenSetCode],0),16))</f>
        <v>Revised Edition</v>
      </c>
    </row>
    <row r="75" spans="1:7" x14ac:dyDescent="0.25">
      <c r="A75" t="str" cm="1">
        <f t="array" ref="A75">IFERROR(INDEX(_xlfn.VSTACK(cards[uuid],tokens[uuid]), ROW()-ROW($A$1)),"")</f>
        <v/>
      </c>
      <c r="B75" t="str">
        <f>IFERROR(_xlfn.IFNA(INDEX(cards[],MATCH(AllCardsViz[[#This Row],[uuid]],cards[uuid],0),52),INDEX(tokens[],MATCH(AllCardsViz[[#This Row],[uuid]],tokens[uuid],0),28)),"")</f>
        <v/>
      </c>
      <c r="C75" t="str">
        <f>IFERROR(_xlfn.IFNA(INDEX(cards[],MATCH(AllCardsViz[[#This Row],[uuid]],cards[uuid],0),64),""),"")</f>
        <v/>
      </c>
      <c r="D75" t="str">
        <f>IFERROR(_xlfn.IFNA(INDEX(cards[],MATCH(AllCardsViz[[#This Row],[uuid]],cards[uuid],0),68),INDEX(tokens[],MATCH(AllCardsViz[[#This Row],[uuid]],tokens[uuid],0),39)),"")</f>
        <v/>
      </c>
      <c r="E75" t="str">
        <f>IFERROR(_xlfn.IFNA(INDEX(cards[],MATCH(AllCardsViz[[#This Row],[uuid]],cards[uuid],0),69),INDEX(tokens[],MATCH(AllCardsViz[[#This Row],[uuid]],tokens[uuid],0),40)),"")</f>
        <v/>
      </c>
      <c r="F75" t="str">
        <f>IFERROR(_xlfn.IFNA(INDEX(cards[],MATCH(AllCardsViz[[#This Row],[uuid]],cards[uuid],0),44),INDEX(tokens[],MATCH(AllCardsViz[[#This Row],[uuid]],tokens[uuid],0),24)),"")</f>
        <v/>
      </c>
      <c r="G75" t="str">
        <f>IFERROR(INDEX(sets[],MATCH(AllCardsViz[[#This Row],[Setcode]],sets[code],0),16),INDEX(sets[],MATCH(AllCardsViz[[#This Row],[Setcode]],sets[tokenSetCode],0),16))</f>
        <v>Revised Edition</v>
      </c>
    </row>
    <row r="76" spans="1:7" x14ac:dyDescent="0.25">
      <c r="A76" t="str" cm="1">
        <f t="array" ref="A76">IFERROR(INDEX(_xlfn.VSTACK(cards[uuid],tokens[uuid]), ROW()-ROW($A$1)),"")</f>
        <v/>
      </c>
      <c r="B76" t="str">
        <f>IFERROR(_xlfn.IFNA(INDEX(cards[],MATCH(AllCardsViz[[#This Row],[uuid]],cards[uuid],0),52),INDEX(tokens[],MATCH(AllCardsViz[[#This Row],[uuid]],tokens[uuid],0),28)),"")</f>
        <v/>
      </c>
      <c r="C76" t="str">
        <f>IFERROR(_xlfn.IFNA(INDEX(cards[],MATCH(AllCardsViz[[#This Row],[uuid]],cards[uuid],0),64),""),"")</f>
        <v/>
      </c>
      <c r="D76" t="str">
        <f>IFERROR(_xlfn.IFNA(INDEX(cards[],MATCH(AllCardsViz[[#This Row],[uuid]],cards[uuid],0),68),INDEX(tokens[],MATCH(AllCardsViz[[#This Row],[uuid]],tokens[uuid],0),39)),"")</f>
        <v/>
      </c>
      <c r="E76" t="str">
        <f>IFERROR(_xlfn.IFNA(INDEX(cards[],MATCH(AllCardsViz[[#This Row],[uuid]],cards[uuid],0),69),INDEX(tokens[],MATCH(AllCardsViz[[#This Row],[uuid]],tokens[uuid],0),40)),"")</f>
        <v/>
      </c>
      <c r="F76" t="str">
        <f>IFERROR(_xlfn.IFNA(INDEX(cards[],MATCH(AllCardsViz[[#This Row],[uuid]],cards[uuid],0),44),INDEX(tokens[],MATCH(AllCardsViz[[#This Row],[uuid]],tokens[uuid],0),24)),"")</f>
        <v/>
      </c>
      <c r="G76" t="str">
        <f>IFERROR(INDEX(sets[],MATCH(AllCardsViz[[#This Row],[Setcode]],sets[code],0),16),INDEX(sets[],MATCH(AllCardsViz[[#This Row],[Setcode]],sets[tokenSetCode],0),16))</f>
        <v>Revised Edition</v>
      </c>
    </row>
    <row r="77" spans="1:7" x14ac:dyDescent="0.25">
      <c r="A77" t="str" cm="1">
        <f t="array" ref="A77">IFERROR(INDEX(_xlfn.VSTACK(cards[uuid],tokens[uuid]), ROW()-ROW($A$1)),"")</f>
        <v/>
      </c>
      <c r="B77" t="str">
        <f>IFERROR(_xlfn.IFNA(INDEX(cards[],MATCH(AllCardsViz[[#This Row],[uuid]],cards[uuid],0),52),INDEX(tokens[],MATCH(AllCardsViz[[#This Row],[uuid]],tokens[uuid],0),28)),"")</f>
        <v/>
      </c>
      <c r="C77" t="str">
        <f>IFERROR(_xlfn.IFNA(INDEX(cards[],MATCH(AllCardsViz[[#This Row],[uuid]],cards[uuid],0),64),""),"")</f>
        <v/>
      </c>
      <c r="D77" t="str">
        <f>IFERROR(_xlfn.IFNA(INDEX(cards[],MATCH(AllCardsViz[[#This Row],[uuid]],cards[uuid],0),68),INDEX(tokens[],MATCH(AllCardsViz[[#This Row],[uuid]],tokens[uuid],0),39)),"")</f>
        <v/>
      </c>
      <c r="E77" t="str">
        <f>IFERROR(_xlfn.IFNA(INDEX(cards[],MATCH(AllCardsViz[[#This Row],[uuid]],cards[uuid],0),69),INDEX(tokens[],MATCH(AllCardsViz[[#This Row],[uuid]],tokens[uuid],0),40)),"")</f>
        <v/>
      </c>
      <c r="F77" t="str">
        <f>IFERROR(_xlfn.IFNA(INDEX(cards[],MATCH(AllCardsViz[[#This Row],[uuid]],cards[uuid],0),44),INDEX(tokens[],MATCH(AllCardsViz[[#This Row],[uuid]],tokens[uuid],0),24)),"")</f>
        <v/>
      </c>
      <c r="G77" t="str">
        <f>IFERROR(INDEX(sets[],MATCH(AllCardsViz[[#This Row],[Setcode]],sets[code],0),16),INDEX(sets[],MATCH(AllCardsViz[[#This Row],[Setcode]],sets[tokenSetCode],0),16))</f>
        <v>Revised Edition</v>
      </c>
    </row>
    <row r="78" spans="1:7" x14ac:dyDescent="0.25">
      <c r="A78" t="str" cm="1">
        <f t="array" ref="A78">IFERROR(INDEX(_xlfn.VSTACK(cards[uuid],tokens[uuid]), ROW()-ROW($A$1)),"")</f>
        <v/>
      </c>
      <c r="B78" t="str">
        <f>IFERROR(_xlfn.IFNA(INDEX(cards[],MATCH(AllCardsViz[[#This Row],[uuid]],cards[uuid],0),52),INDEX(tokens[],MATCH(AllCardsViz[[#This Row],[uuid]],tokens[uuid],0),28)),"")</f>
        <v/>
      </c>
      <c r="C78" t="str">
        <f>IFERROR(_xlfn.IFNA(INDEX(cards[],MATCH(AllCardsViz[[#This Row],[uuid]],cards[uuid],0),64),""),"")</f>
        <v/>
      </c>
      <c r="D78" t="str">
        <f>IFERROR(_xlfn.IFNA(INDEX(cards[],MATCH(AllCardsViz[[#This Row],[uuid]],cards[uuid],0),68),INDEX(tokens[],MATCH(AllCardsViz[[#This Row],[uuid]],tokens[uuid],0),39)),"")</f>
        <v/>
      </c>
      <c r="E78" t="str">
        <f>IFERROR(_xlfn.IFNA(INDEX(cards[],MATCH(AllCardsViz[[#This Row],[uuid]],cards[uuid],0),69),INDEX(tokens[],MATCH(AllCardsViz[[#This Row],[uuid]],tokens[uuid],0),40)),"")</f>
        <v/>
      </c>
      <c r="F78" t="str">
        <f>IFERROR(_xlfn.IFNA(INDEX(cards[],MATCH(AllCardsViz[[#This Row],[uuid]],cards[uuid],0),44),INDEX(tokens[],MATCH(AllCardsViz[[#This Row],[uuid]],tokens[uuid],0),24)),"")</f>
        <v/>
      </c>
      <c r="G78" t="str">
        <f>IFERROR(INDEX(sets[],MATCH(AllCardsViz[[#This Row],[Setcode]],sets[code],0),16),INDEX(sets[],MATCH(AllCardsViz[[#This Row],[Setcode]],sets[tokenSetCode],0),16))</f>
        <v>Revised Edition</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V55"/>
  <sheetViews>
    <sheetView tabSelected="1" workbookViewId="0">
      <selection activeCell="E36" sqref="E36"/>
    </sheetView>
  </sheetViews>
  <sheetFormatPr defaultRowHeight="15" x14ac:dyDescent="0.25"/>
  <cols>
    <col min="1" max="1" width="14.28515625" bestFit="1" customWidth="1"/>
    <col min="2" max="2" width="23.7109375" bestFit="1" customWidth="1"/>
    <col min="3" max="3" width="18.28515625" bestFit="1" customWidth="1"/>
    <col min="4" max="4" width="7.7109375" bestFit="1" customWidth="1"/>
    <col min="5" max="5" width="12.28515625" bestFit="1" customWidth="1"/>
    <col min="6" max="6" width="15.85546875" bestFit="1" customWidth="1"/>
    <col min="7" max="7" width="16.140625" bestFit="1" customWidth="1"/>
    <col min="8" max="8" width="15" bestFit="1" customWidth="1"/>
    <col min="9" max="9" width="17.85546875" bestFit="1" customWidth="1"/>
    <col min="10" max="10" width="15.5703125" bestFit="1" customWidth="1"/>
    <col min="11" max="11" width="81.140625" bestFit="1" customWidth="1"/>
    <col min="12" max="12" width="9.42578125" bestFit="1" customWidth="1"/>
    <col min="13" max="13" width="15" bestFit="1" customWidth="1"/>
    <col min="14" max="14" width="23" bestFit="1" customWidth="1"/>
    <col min="15" max="15" width="12.7109375" bestFit="1" customWidth="1"/>
    <col min="16" max="16" width="38.42578125" bestFit="1" customWidth="1"/>
    <col min="17" max="17" width="14" bestFit="1" customWidth="1"/>
    <col min="18" max="18" width="14.28515625" bestFit="1" customWidth="1"/>
    <col min="19" max="19" width="19" bestFit="1" customWidth="1"/>
    <col min="20" max="20" width="16.42578125" bestFit="1" customWidth="1"/>
    <col min="21" max="21" width="14.140625" bestFit="1" customWidth="1"/>
    <col min="22" max="22" width="15.5703125" bestFit="1" customWidth="1"/>
  </cols>
  <sheetData>
    <row r="1" spans="1:22" x14ac:dyDescent="0.25">
      <c r="A1" t="s">
        <v>773</v>
      </c>
      <c r="B1" t="s">
        <v>774</v>
      </c>
      <c r="C1" t="s">
        <v>775</v>
      </c>
      <c r="D1" t="s">
        <v>776</v>
      </c>
      <c r="E1" t="s">
        <v>777</v>
      </c>
      <c r="F1" t="s">
        <v>778</v>
      </c>
      <c r="G1" t="s">
        <v>779</v>
      </c>
      <c r="H1" t="s">
        <v>653</v>
      </c>
      <c r="I1" t="s">
        <v>780</v>
      </c>
      <c r="J1" t="s">
        <v>781</v>
      </c>
      <c r="K1" t="s">
        <v>782</v>
      </c>
      <c r="L1" t="s">
        <v>783</v>
      </c>
      <c r="M1" t="s">
        <v>784</v>
      </c>
      <c r="N1" t="s">
        <v>785</v>
      </c>
      <c r="O1" t="s">
        <v>786</v>
      </c>
      <c r="P1" t="s">
        <v>338</v>
      </c>
      <c r="Q1" t="s">
        <v>787</v>
      </c>
      <c r="R1" t="s">
        <v>788</v>
      </c>
      <c r="S1" t="s">
        <v>789</v>
      </c>
      <c r="T1" t="s">
        <v>790</v>
      </c>
      <c r="U1" t="s">
        <v>791</v>
      </c>
      <c r="V1" t="s">
        <v>692</v>
      </c>
    </row>
    <row r="2" spans="1:22" x14ac:dyDescent="0.25">
      <c r="A2">
        <v>383</v>
      </c>
      <c r="B2" t="s">
        <v>792</v>
      </c>
      <c r="C2">
        <v>755</v>
      </c>
      <c r="D2" t="s">
        <v>971</v>
      </c>
      <c r="E2">
        <v>0</v>
      </c>
      <c r="F2" t="s">
        <v>695</v>
      </c>
      <c r="H2">
        <v>0</v>
      </c>
      <c r="I2" t="s">
        <v>695</v>
      </c>
      <c r="J2" t="s">
        <v>971</v>
      </c>
      <c r="K2" t="s">
        <v>856</v>
      </c>
      <c r="L2">
        <v>74</v>
      </c>
      <c r="N2" t="s">
        <v>974</v>
      </c>
      <c r="O2" t="s">
        <v>971</v>
      </c>
      <c r="P2" t="s">
        <v>974</v>
      </c>
      <c r="Q2" t="s">
        <v>695</v>
      </c>
      <c r="R2" s="1">
        <v>39276</v>
      </c>
      <c r="S2">
        <v>1</v>
      </c>
      <c r="T2" t="s">
        <v>975</v>
      </c>
      <c r="U2">
        <v>510</v>
      </c>
      <c r="V2" t="s">
        <v>795</v>
      </c>
    </row>
    <row r="3" spans="1:22" x14ac:dyDescent="0.25">
      <c r="A3">
        <v>306</v>
      </c>
      <c r="B3" t="s">
        <v>792</v>
      </c>
      <c r="C3">
        <v>913</v>
      </c>
      <c r="D3" t="s">
        <v>321</v>
      </c>
      <c r="E3">
        <v>0</v>
      </c>
      <c r="F3" t="s">
        <v>695</v>
      </c>
      <c r="G3">
        <v>1</v>
      </c>
      <c r="H3">
        <v>0</v>
      </c>
      <c r="I3" t="s">
        <v>695</v>
      </c>
      <c r="J3" t="s">
        <v>321</v>
      </c>
      <c r="K3" t="s">
        <v>793</v>
      </c>
      <c r="N3" t="s">
        <v>695</v>
      </c>
      <c r="O3" t="s">
        <v>695</v>
      </c>
      <c r="P3" t="s">
        <v>794</v>
      </c>
      <c r="Q3" t="s">
        <v>695</v>
      </c>
      <c r="R3" s="1">
        <v>34435</v>
      </c>
      <c r="S3">
        <v>97</v>
      </c>
      <c r="T3" t="s">
        <v>695</v>
      </c>
      <c r="U3">
        <v>306</v>
      </c>
      <c r="V3" t="s">
        <v>795</v>
      </c>
    </row>
    <row r="4" spans="1:22" x14ac:dyDescent="0.25">
      <c r="A4">
        <v>165</v>
      </c>
      <c r="B4" t="s">
        <v>796</v>
      </c>
      <c r="C4">
        <v>834</v>
      </c>
      <c r="D4" t="s">
        <v>268</v>
      </c>
      <c r="E4">
        <v>0</v>
      </c>
      <c r="F4" t="s">
        <v>695</v>
      </c>
      <c r="H4">
        <v>0</v>
      </c>
      <c r="I4" t="s">
        <v>695</v>
      </c>
      <c r="J4" t="s">
        <v>268</v>
      </c>
      <c r="K4" t="s">
        <v>797</v>
      </c>
      <c r="L4">
        <v>47</v>
      </c>
      <c r="N4" t="s">
        <v>798</v>
      </c>
      <c r="O4" t="s">
        <v>268</v>
      </c>
      <c r="P4" t="s">
        <v>798</v>
      </c>
      <c r="Q4" t="s">
        <v>695</v>
      </c>
      <c r="R4" s="1">
        <v>38142</v>
      </c>
      <c r="S4">
        <v>43</v>
      </c>
      <c r="T4" t="s">
        <v>695</v>
      </c>
      <c r="U4">
        <v>165</v>
      </c>
      <c r="V4" t="s">
        <v>799</v>
      </c>
    </row>
    <row r="5" spans="1:22" x14ac:dyDescent="0.25">
      <c r="A5">
        <v>0</v>
      </c>
      <c r="B5" t="s">
        <v>695</v>
      </c>
      <c r="D5" t="s">
        <v>756</v>
      </c>
      <c r="E5">
        <v>0</v>
      </c>
      <c r="F5" t="s">
        <v>695</v>
      </c>
      <c r="H5">
        <v>0</v>
      </c>
      <c r="I5" t="s">
        <v>695</v>
      </c>
      <c r="J5" t="s">
        <v>800</v>
      </c>
      <c r="K5" t="s">
        <v>11</v>
      </c>
      <c r="N5" t="s">
        <v>695</v>
      </c>
      <c r="O5" t="s">
        <v>695</v>
      </c>
      <c r="P5" t="s">
        <v>801</v>
      </c>
      <c r="Q5" t="s">
        <v>800</v>
      </c>
      <c r="R5" s="1">
        <v>45506</v>
      </c>
      <c r="S5">
        <v>23569</v>
      </c>
      <c r="T5" t="s">
        <v>756</v>
      </c>
      <c r="U5">
        <v>0</v>
      </c>
      <c r="V5" t="s">
        <v>802</v>
      </c>
    </row>
    <row r="6" spans="1:22" x14ac:dyDescent="0.25">
      <c r="A6">
        <v>0</v>
      </c>
      <c r="B6" t="s">
        <v>695</v>
      </c>
      <c r="D6" t="s">
        <v>84</v>
      </c>
      <c r="E6">
        <v>0</v>
      </c>
      <c r="F6" t="s">
        <v>695</v>
      </c>
      <c r="H6">
        <v>0</v>
      </c>
      <c r="I6" t="s">
        <v>695</v>
      </c>
      <c r="J6" t="s">
        <v>803</v>
      </c>
      <c r="K6" t="s">
        <v>11</v>
      </c>
      <c r="N6" t="s">
        <v>695</v>
      </c>
      <c r="O6" t="s">
        <v>695</v>
      </c>
      <c r="P6" t="s">
        <v>804</v>
      </c>
      <c r="Q6" t="s">
        <v>803</v>
      </c>
      <c r="R6" s="1">
        <v>44722</v>
      </c>
      <c r="S6">
        <v>3048</v>
      </c>
      <c r="T6" t="s">
        <v>84</v>
      </c>
      <c r="U6">
        <v>0</v>
      </c>
      <c r="V6" t="s">
        <v>802</v>
      </c>
    </row>
    <row r="7" spans="1:22" x14ac:dyDescent="0.25">
      <c r="A7">
        <v>110</v>
      </c>
      <c r="B7" t="s">
        <v>695</v>
      </c>
      <c r="C7">
        <v>1861</v>
      </c>
      <c r="D7" t="s">
        <v>44</v>
      </c>
      <c r="E7">
        <v>0</v>
      </c>
      <c r="F7" t="s">
        <v>695</v>
      </c>
      <c r="H7">
        <v>0</v>
      </c>
      <c r="I7" t="s">
        <v>695</v>
      </c>
      <c r="J7" t="s">
        <v>44</v>
      </c>
      <c r="K7" t="s">
        <v>912</v>
      </c>
      <c r="N7" t="s">
        <v>695</v>
      </c>
      <c r="O7" t="s">
        <v>44</v>
      </c>
      <c r="P7" t="s">
        <v>913</v>
      </c>
      <c r="Q7" t="s">
        <v>695</v>
      </c>
      <c r="R7" s="1">
        <v>45478</v>
      </c>
      <c r="S7">
        <v>23446</v>
      </c>
      <c r="T7" t="s">
        <v>914</v>
      </c>
      <c r="U7">
        <v>309</v>
      </c>
      <c r="V7" t="s">
        <v>851</v>
      </c>
    </row>
    <row r="8" spans="1:22" x14ac:dyDescent="0.25">
      <c r="A8">
        <v>0</v>
      </c>
      <c r="B8" t="s">
        <v>695</v>
      </c>
      <c r="D8" t="s">
        <v>765</v>
      </c>
      <c r="E8">
        <v>0</v>
      </c>
      <c r="F8" t="s">
        <v>695</v>
      </c>
      <c r="H8">
        <v>0</v>
      </c>
      <c r="I8" t="s">
        <v>695</v>
      </c>
      <c r="J8" t="s">
        <v>805</v>
      </c>
      <c r="K8" t="s">
        <v>11</v>
      </c>
      <c r="N8" t="s">
        <v>695</v>
      </c>
      <c r="O8" t="s">
        <v>695</v>
      </c>
      <c r="P8" t="s">
        <v>806</v>
      </c>
      <c r="Q8" t="s">
        <v>805</v>
      </c>
      <c r="R8" s="1">
        <v>45611</v>
      </c>
      <c r="S8">
        <v>23816</v>
      </c>
      <c r="T8" t="s">
        <v>765</v>
      </c>
      <c r="U8">
        <v>0</v>
      </c>
      <c r="V8" t="s">
        <v>802</v>
      </c>
    </row>
    <row r="9" spans="1:22" x14ac:dyDescent="0.25">
      <c r="A9">
        <v>338</v>
      </c>
      <c r="B9" t="s">
        <v>695</v>
      </c>
      <c r="D9" t="s">
        <v>146</v>
      </c>
      <c r="E9">
        <v>0</v>
      </c>
      <c r="F9" t="s">
        <v>695</v>
      </c>
      <c r="G9">
        <v>1</v>
      </c>
      <c r="H9">
        <v>1</v>
      </c>
      <c r="I9" t="s">
        <v>695</v>
      </c>
      <c r="J9" t="s">
        <v>146</v>
      </c>
      <c r="K9" t="s">
        <v>11</v>
      </c>
      <c r="N9" t="s">
        <v>695</v>
      </c>
      <c r="O9" t="s">
        <v>695</v>
      </c>
      <c r="P9" t="s">
        <v>807</v>
      </c>
      <c r="Q9" t="s">
        <v>695</v>
      </c>
      <c r="R9" s="1">
        <v>44056</v>
      </c>
      <c r="T9" t="s">
        <v>695</v>
      </c>
      <c r="U9">
        <v>364</v>
      </c>
      <c r="V9" t="s">
        <v>808</v>
      </c>
    </row>
    <row r="10" spans="1:22" x14ac:dyDescent="0.25">
      <c r="A10">
        <v>54</v>
      </c>
      <c r="B10" t="s">
        <v>695</v>
      </c>
      <c r="D10" t="s">
        <v>171</v>
      </c>
      <c r="E10">
        <v>0</v>
      </c>
      <c r="F10" t="s">
        <v>695</v>
      </c>
      <c r="G10">
        <v>1</v>
      </c>
      <c r="H10">
        <v>0</v>
      </c>
      <c r="I10" t="s">
        <v>695</v>
      </c>
      <c r="J10" t="s">
        <v>809</v>
      </c>
      <c r="K10" t="s">
        <v>11</v>
      </c>
      <c r="N10" t="s">
        <v>695</v>
      </c>
      <c r="O10" t="s">
        <v>695</v>
      </c>
      <c r="P10" t="s">
        <v>810</v>
      </c>
      <c r="Q10" t="s">
        <v>809</v>
      </c>
      <c r="R10" s="1">
        <v>43621</v>
      </c>
      <c r="S10">
        <v>2463</v>
      </c>
      <c r="T10" t="s">
        <v>171</v>
      </c>
      <c r="U10">
        <v>0</v>
      </c>
      <c r="V10" t="s">
        <v>802</v>
      </c>
    </row>
    <row r="11" spans="1:22" x14ac:dyDescent="0.25">
      <c r="A11">
        <v>0</v>
      </c>
      <c r="B11" t="s">
        <v>695</v>
      </c>
      <c r="D11" t="s">
        <v>108</v>
      </c>
      <c r="E11">
        <v>0</v>
      </c>
      <c r="F11" t="s">
        <v>695</v>
      </c>
      <c r="H11">
        <v>0</v>
      </c>
      <c r="I11" t="s">
        <v>695</v>
      </c>
      <c r="J11" t="s">
        <v>99</v>
      </c>
      <c r="K11" t="s">
        <v>11</v>
      </c>
      <c r="N11" t="s">
        <v>695</v>
      </c>
      <c r="O11" t="s">
        <v>695</v>
      </c>
      <c r="P11" t="s">
        <v>811</v>
      </c>
      <c r="Q11" t="s">
        <v>99</v>
      </c>
      <c r="R11" s="1">
        <v>44365</v>
      </c>
      <c r="S11">
        <v>2822</v>
      </c>
      <c r="T11" t="s">
        <v>108</v>
      </c>
      <c r="U11">
        <v>0</v>
      </c>
      <c r="V11" t="s">
        <v>802</v>
      </c>
    </row>
    <row r="12" spans="1:22" x14ac:dyDescent="0.25">
      <c r="A12">
        <v>0</v>
      </c>
      <c r="B12" t="s">
        <v>695</v>
      </c>
      <c r="D12" t="s">
        <v>55</v>
      </c>
      <c r="E12">
        <v>0</v>
      </c>
      <c r="F12" t="s">
        <v>695</v>
      </c>
      <c r="H12">
        <v>0</v>
      </c>
      <c r="I12" t="s">
        <v>695</v>
      </c>
      <c r="J12" t="s">
        <v>812</v>
      </c>
      <c r="K12" t="s">
        <v>11</v>
      </c>
      <c r="N12" t="s">
        <v>695</v>
      </c>
      <c r="O12" t="s">
        <v>695</v>
      </c>
      <c r="P12" t="s">
        <v>813</v>
      </c>
      <c r="Q12" t="s">
        <v>812</v>
      </c>
      <c r="R12" s="1">
        <v>45457</v>
      </c>
      <c r="S12">
        <v>23533</v>
      </c>
      <c r="T12" t="s">
        <v>55</v>
      </c>
      <c r="U12">
        <v>0</v>
      </c>
      <c r="V12" t="s">
        <v>802</v>
      </c>
    </row>
    <row r="13" spans="1:22" x14ac:dyDescent="0.25">
      <c r="A13">
        <v>0</v>
      </c>
      <c r="B13" t="s">
        <v>814</v>
      </c>
      <c r="D13" t="s">
        <v>96</v>
      </c>
      <c r="E13">
        <v>0</v>
      </c>
      <c r="F13" t="s">
        <v>695</v>
      </c>
      <c r="H13">
        <v>0</v>
      </c>
      <c r="I13" t="s">
        <v>695</v>
      </c>
      <c r="J13" t="s">
        <v>90</v>
      </c>
      <c r="K13" t="s">
        <v>11</v>
      </c>
      <c r="N13" t="s">
        <v>695</v>
      </c>
      <c r="O13" t="s">
        <v>695</v>
      </c>
      <c r="P13" t="s">
        <v>815</v>
      </c>
      <c r="Q13" t="s">
        <v>90</v>
      </c>
      <c r="R13" s="1">
        <v>44463</v>
      </c>
      <c r="S13">
        <v>2891</v>
      </c>
      <c r="T13" t="s">
        <v>96</v>
      </c>
      <c r="U13">
        <v>0</v>
      </c>
      <c r="V13" t="s">
        <v>802</v>
      </c>
    </row>
    <row r="14" spans="1:22" x14ac:dyDescent="0.25">
      <c r="A14">
        <v>0</v>
      </c>
      <c r="B14" t="s">
        <v>695</v>
      </c>
      <c r="D14" t="s">
        <v>81</v>
      </c>
      <c r="E14">
        <v>0</v>
      </c>
      <c r="F14" t="s">
        <v>695</v>
      </c>
      <c r="H14">
        <v>0</v>
      </c>
      <c r="I14" t="s">
        <v>695</v>
      </c>
      <c r="J14" t="s">
        <v>816</v>
      </c>
      <c r="K14" t="s">
        <v>11</v>
      </c>
      <c r="N14" t="s">
        <v>695</v>
      </c>
      <c r="O14" t="s">
        <v>695</v>
      </c>
      <c r="P14" t="s">
        <v>817</v>
      </c>
      <c r="Q14" t="s">
        <v>816</v>
      </c>
      <c r="R14" s="1">
        <v>44960</v>
      </c>
      <c r="S14">
        <v>22933</v>
      </c>
      <c r="T14" t="s">
        <v>81</v>
      </c>
      <c r="U14">
        <v>0</v>
      </c>
      <c r="V14" t="s">
        <v>802</v>
      </c>
    </row>
    <row r="15" spans="1:22" x14ac:dyDescent="0.25">
      <c r="A15">
        <v>0</v>
      </c>
      <c r="B15" t="s">
        <v>695</v>
      </c>
      <c r="D15" t="s">
        <v>114</v>
      </c>
      <c r="E15">
        <v>0</v>
      </c>
      <c r="F15" t="s">
        <v>695</v>
      </c>
      <c r="H15">
        <v>0</v>
      </c>
      <c r="I15" t="s">
        <v>695</v>
      </c>
      <c r="J15" t="s">
        <v>818</v>
      </c>
      <c r="K15" t="s">
        <v>11</v>
      </c>
      <c r="N15" t="s">
        <v>695</v>
      </c>
      <c r="O15" t="s">
        <v>695</v>
      </c>
      <c r="P15" t="s">
        <v>819</v>
      </c>
      <c r="Q15" t="s">
        <v>818</v>
      </c>
      <c r="R15" s="1">
        <v>44309</v>
      </c>
      <c r="S15">
        <v>2806</v>
      </c>
      <c r="T15" t="s">
        <v>114</v>
      </c>
      <c r="U15">
        <v>0</v>
      </c>
      <c r="V15" t="s">
        <v>802</v>
      </c>
    </row>
    <row r="16" spans="1:22" x14ac:dyDescent="0.25">
      <c r="A16">
        <v>0</v>
      </c>
      <c r="B16" t="s">
        <v>814</v>
      </c>
      <c r="D16" t="s">
        <v>87</v>
      </c>
      <c r="E16">
        <v>0</v>
      </c>
      <c r="F16" t="s">
        <v>695</v>
      </c>
      <c r="H16">
        <v>0</v>
      </c>
      <c r="I16" t="s">
        <v>695</v>
      </c>
      <c r="J16" t="s">
        <v>820</v>
      </c>
      <c r="K16" t="s">
        <v>11</v>
      </c>
      <c r="N16" t="s">
        <v>695</v>
      </c>
      <c r="O16" t="s">
        <v>695</v>
      </c>
      <c r="P16" t="s">
        <v>821</v>
      </c>
      <c r="Q16" t="s">
        <v>820</v>
      </c>
      <c r="R16" s="1">
        <v>44519</v>
      </c>
      <c r="S16">
        <v>2898</v>
      </c>
      <c r="T16" t="s">
        <v>87</v>
      </c>
      <c r="U16">
        <v>0</v>
      </c>
      <c r="V16" t="s">
        <v>802</v>
      </c>
    </row>
    <row r="17" spans="1:22" x14ac:dyDescent="0.25">
      <c r="A17">
        <v>274</v>
      </c>
      <c r="B17" t="s">
        <v>822</v>
      </c>
      <c r="C17">
        <v>774</v>
      </c>
      <c r="D17" t="s">
        <v>215</v>
      </c>
      <c r="E17">
        <v>0</v>
      </c>
      <c r="F17" t="s">
        <v>695</v>
      </c>
      <c r="H17">
        <v>0</v>
      </c>
      <c r="I17" t="s">
        <v>695</v>
      </c>
      <c r="J17" t="s">
        <v>215</v>
      </c>
      <c r="K17" t="s">
        <v>823</v>
      </c>
      <c r="L17">
        <v>1668</v>
      </c>
      <c r="N17" t="s">
        <v>822</v>
      </c>
      <c r="O17" t="s">
        <v>215</v>
      </c>
      <c r="P17" t="s">
        <v>822</v>
      </c>
      <c r="Q17" t="s">
        <v>695</v>
      </c>
      <c r="R17" s="1">
        <v>42279</v>
      </c>
      <c r="S17">
        <v>1645</v>
      </c>
      <c r="T17" t="s">
        <v>824</v>
      </c>
      <c r="U17">
        <v>299</v>
      </c>
      <c r="V17" t="s">
        <v>799</v>
      </c>
    </row>
    <row r="18" spans="1:22" x14ac:dyDescent="0.25">
      <c r="A18">
        <v>281</v>
      </c>
      <c r="B18" t="s">
        <v>695</v>
      </c>
      <c r="C18">
        <v>1847</v>
      </c>
      <c r="D18" t="s">
        <v>800</v>
      </c>
      <c r="E18">
        <v>0</v>
      </c>
      <c r="F18" t="s">
        <v>695</v>
      </c>
      <c r="H18">
        <v>0</v>
      </c>
      <c r="I18" t="s">
        <v>695</v>
      </c>
      <c r="J18" t="s">
        <v>800</v>
      </c>
      <c r="K18" t="s">
        <v>825</v>
      </c>
      <c r="L18">
        <v>5658</v>
      </c>
      <c r="M18">
        <v>5659</v>
      </c>
      <c r="N18" t="s">
        <v>826</v>
      </c>
      <c r="O18" t="s">
        <v>800</v>
      </c>
      <c r="P18" t="s">
        <v>826</v>
      </c>
      <c r="Q18" t="s">
        <v>695</v>
      </c>
      <c r="R18" s="1">
        <v>45506</v>
      </c>
      <c r="S18">
        <v>23447</v>
      </c>
      <c r="T18" t="s">
        <v>37</v>
      </c>
      <c r="U18">
        <v>397</v>
      </c>
      <c r="V18" t="s">
        <v>799</v>
      </c>
    </row>
    <row r="19" spans="1:22" x14ac:dyDescent="0.25">
      <c r="A19">
        <v>269</v>
      </c>
      <c r="B19" t="s">
        <v>695</v>
      </c>
      <c r="C19">
        <v>982</v>
      </c>
      <c r="D19" t="s">
        <v>827</v>
      </c>
      <c r="E19">
        <v>0</v>
      </c>
      <c r="F19" t="s">
        <v>695</v>
      </c>
      <c r="H19">
        <v>0</v>
      </c>
      <c r="I19" t="s">
        <v>695</v>
      </c>
      <c r="J19" t="s">
        <v>827</v>
      </c>
      <c r="K19" t="s">
        <v>823</v>
      </c>
      <c r="L19">
        <v>1822</v>
      </c>
      <c r="N19" t="s">
        <v>828</v>
      </c>
      <c r="O19" t="s">
        <v>829</v>
      </c>
      <c r="P19" t="s">
        <v>828</v>
      </c>
      <c r="Q19" t="s">
        <v>695</v>
      </c>
      <c r="R19" s="1">
        <v>43217</v>
      </c>
      <c r="S19">
        <v>2199</v>
      </c>
      <c r="T19" t="s">
        <v>187</v>
      </c>
      <c r="U19">
        <v>280</v>
      </c>
      <c r="V19" t="s">
        <v>799</v>
      </c>
    </row>
    <row r="20" spans="1:22" x14ac:dyDescent="0.25">
      <c r="A20">
        <v>40</v>
      </c>
      <c r="B20" t="s">
        <v>830</v>
      </c>
      <c r="C20">
        <v>1873</v>
      </c>
      <c r="D20" t="s">
        <v>831</v>
      </c>
      <c r="E20">
        <v>0</v>
      </c>
      <c r="F20" t="s">
        <v>695</v>
      </c>
      <c r="H20">
        <v>0</v>
      </c>
      <c r="I20" t="s">
        <v>695</v>
      </c>
      <c r="J20" t="s">
        <v>831</v>
      </c>
      <c r="K20" t="s">
        <v>825</v>
      </c>
      <c r="N20" t="s">
        <v>695</v>
      </c>
      <c r="O20" t="s">
        <v>695</v>
      </c>
      <c r="P20" t="s">
        <v>832</v>
      </c>
      <c r="Q20" t="s">
        <v>833</v>
      </c>
      <c r="R20" s="1">
        <v>45562</v>
      </c>
      <c r="S20">
        <v>23551</v>
      </c>
      <c r="T20" t="s">
        <v>30</v>
      </c>
      <c r="U20">
        <v>379</v>
      </c>
      <c r="V20" t="s">
        <v>834</v>
      </c>
    </row>
    <row r="21" spans="1:22" x14ac:dyDescent="0.25">
      <c r="A21">
        <v>269</v>
      </c>
      <c r="B21" t="s">
        <v>695</v>
      </c>
      <c r="C21">
        <v>1089</v>
      </c>
      <c r="D21" t="s">
        <v>166</v>
      </c>
      <c r="E21">
        <v>0</v>
      </c>
      <c r="F21" t="s">
        <v>695</v>
      </c>
      <c r="H21">
        <v>0</v>
      </c>
      <c r="I21" t="s">
        <v>695</v>
      </c>
      <c r="J21" t="s">
        <v>166</v>
      </c>
      <c r="K21" t="s">
        <v>823</v>
      </c>
      <c r="L21">
        <v>2582</v>
      </c>
      <c r="M21">
        <v>2587</v>
      </c>
      <c r="N21" t="s">
        <v>835</v>
      </c>
      <c r="O21" t="s">
        <v>166</v>
      </c>
      <c r="P21" t="s">
        <v>835</v>
      </c>
      <c r="Q21" t="s">
        <v>695</v>
      </c>
      <c r="R21" s="1">
        <v>43742</v>
      </c>
      <c r="S21">
        <v>2494</v>
      </c>
      <c r="T21" t="s">
        <v>836</v>
      </c>
      <c r="U21">
        <v>457</v>
      </c>
      <c r="V21" t="s">
        <v>799</v>
      </c>
    </row>
    <row r="22" spans="1:22" x14ac:dyDescent="0.25">
      <c r="A22">
        <v>205</v>
      </c>
      <c r="B22" t="s">
        <v>915</v>
      </c>
      <c r="C22">
        <v>827</v>
      </c>
      <c r="D22" t="s">
        <v>199</v>
      </c>
      <c r="E22">
        <v>0</v>
      </c>
      <c r="F22" t="s">
        <v>695</v>
      </c>
      <c r="H22">
        <v>0</v>
      </c>
      <c r="I22" t="s">
        <v>695</v>
      </c>
      <c r="J22" t="s">
        <v>199</v>
      </c>
      <c r="K22" t="s">
        <v>823</v>
      </c>
      <c r="L22">
        <v>1695</v>
      </c>
      <c r="N22" t="s">
        <v>916</v>
      </c>
      <c r="O22" t="s">
        <v>199</v>
      </c>
      <c r="P22" t="s">
        <v>916</v>
      </c>
      <c r="Q22" t="s">
        <v>695</v>
      </c>
      <c r="R22" s="1">
        <v>42573</v>
      </c>
      <c r="S22">
        <v>1790</v>
      </c>
      <c r="T22" t="s">
        <v>917</v>
      </c>
      <c r="U22">
        <v>223</v>
      </c>
      <c r="V22" t="s">
        <v>799</v>
      </c>
    </row>
    <row r="23" spans="1:22" x14ac:dyDescent="0.25">
      <c r="A23">
        <v>187</v>
      </c>
      <c r="B23" t="s">
        <v>695</v>
      </c>
      <c r="C23">
        <v>832</v>
      </c>
      <c r="D23" t="s">
        <v>315</v>
      </c>
      <c r="E23">
        <v>0</v>
      </c>
      <c r="F23" t="s">
        <v>695</v>
      </c>
      <c r="G23">
        <v>1</v>
      </c>
      <c r="H23">
        <v>0</v>
      </c>
      <c r="I23" t="s">
        <v>695</v>
      </c>
      <c r="J23" t="s">
        <v>315</v>
      </c>
      <c r="K23" t="s">
        <v>11</v>
      </c>
      <c r="L23">
        <v>9</v>
      </c>
      <c r="N23" t="s">
        <v>837</v>
      </c>
      <c r="O23" t="s">
        <v>695</v>
      </c>
      <c r="P23" t="s">
        <v>837</v>
      </c>
      <c r="Q23" t="s">
        <v>695</v>
      </c>
      <c r="R23" s="1">
        <v>34639</v>
      </c>
      <c r="S23">
        <v>41</v>
      </c>
      <c r="T23" t="s">
        <v>695</v>
      </c>
      <c r="U23">
        <v>187</v>
      </c>
      <c r="V23" t="s">
        <v>799</v>
      </c>
    </row>
    <row r="24" spans="1:22" x14ac:dyDescent="0.25">
      <c r="A24">
        <v>0</v>
      </c>
      <c r="B24" t="s">
        <v>695</v>
      </c>
      <c r="D24" t="s">
        <v>25</v>
      </c>
      <c r="E24">
        <v>0</v>
      </c>
      <c r="F24" t="s">
        <v>695</v>
      </c>
      <c r="G24">
        <v>1</v>
      </c>
      <c r="H24">
        <v>0</v>
      </c>
      <c r="I24" t="s">
        <v>695</v>
      </c>
      <c r="J24" t="s">
        <v>16</v>
      </c>
      <c r="K24" t="s">
        <v>11</v>
      </c>
      <c r="N24" t="s">
        <v>695</v>
      </c>
      <c r="O24" t="s">
        <v>695</v>
      </c>
      <c r="P24" t="s">
        <v>838</v>
      </c>
      <c r="Q24" t="s">
        <v>16</v>
      </c>
      <c r="R24" s="1">
        <v>45611</v>
      </c>
      <c r="T24" t="s">
        <v>25</v>
      </c>
      <c r="U24">
        <v>0</v>
      </c>
      <c r="V24" t="s">
        <v>802</v>
      </c>
    </row>
    <row r="25" spans="1:22" x14ac:dyDescent="0.25">
      <c r="A25">
        <v>259</v>
      </c>
      <c r="B25" t="s">
        <v>839</v>
      </c>
      <c r="C25">
        <v>993</v>
      </c>
      <c r="D25" t="s">
        <v>178</v>
      </c>
      <c r="E25">
        <v>0</v>
      </c>
      <c r="F25" t="s">
        <v>695</v>
      </c>
      <c r="H25">
        <v>0</v>
      </c>
      <c r="I25" t="s">
        <v>695</v>
      </c>
      <c r="J25" t="s">
        <v>178</v>
      </c>
      <c r="K25" t="s">
        <v>823</v>
      </c>
      <c r="L25">
        <v>2348</v>
      </c>
      <c r="M25">
        <v>2371</v>
      </c>
      <c r="N25" t="s">
        <v>839</v>
      </c>
      <c r="O25" t="s">
        <v>178</v>
      </c>
      <c r="P25" t="s">
        <v>839</v>
      </c>
      <c r="Q25" t="s">
        <v>695</v>
      </c>
      <c r="R25" s="1">
        <v>43378</v>
      </c>
      <c r="S25">
        <v>2290</v>
      </c>
      <c r="T25" t="s">
        <v>840</v>
      </c>
      <c r="U25">
        <v>283</v>
      </c>
      <c r="V25" t="s">
        <v>799</v>
      </c>
    </row>
    <row r="26" spans="1:22" x14ac:dyDescent="0.25">
      <c r="A26">
        <v>140</v>
      </c>
      <c r="B26" t="s">
        <v>695</v>
      </c>
      <c r="C26">
        <v>852</v>
      </c>
      <c r="D26" t="s">
        <v>308</v>
      </c>
      <c r="E26">
        <v>0</v>
      </c>
      <c r="F26" t="s">
        <v>695</v>
      </c>
      <c r="G26">
        <v>1</v>
      </c>
      <c r="H26">
        <v>0</v>
      </c>
      <c r="I26" t="s">
        <v>695</v>
      </c>
      <c r="J26" t="s">
        <v>308</v>
      </c>
      <c r="K26" t="s">
        <v>841</v>
      </c>
      <c r="L26">
        <v>14</v>
      </c>
      <c r="N26" t="s">
        <v>842</v>
      </c>
      <c r="O26" t="s">
        <v>695</v>
      </c>
      <c r="P26" t="s">
        <v>842</v>
      </c>
      <c r="Q26" t="s">
        <v>695</v>
      </c>
      <c r="R26" s="1">
        <v>34973</v>
      </c>
      <c r="S26">
        <v>57</v>
      </c>
      <c r="T26" t="s">
        <v>695</v>
      </c>
      <c r="U26">
        <v>140</v>
      </c>
      <c r="V26" t="s">
        <v>799</v>
      </c>
    </row>
    <row r="27" spans="1:22" x14ac:dyDescent="0.25">
      <c r="A27">
        <v>383</v>
      </c>
      <c r="B27" t="s">
        <v>843</v>
      </c>
      <c r="C27">
        <v>854</v>
      </c>
      <c r="D27" t="s">
        <v>312</v>
      </c>
      <c r="E27">
        <v>0</v>
      </c>
      <c r="F27" t="s">
        <v>695</v>
      </c>
      <c r="G27">
        <v>1</v>
      </c>
      <c r="H27">
        <v>0</v>
      </c>
      <c r="I27" t="s">
        <v>695</v>
      </c>
      <c r="J27" t="s">
        <v>312</v>
      </c>
      <c r="K27" t="s">
        <v>841</v>
      </c>
      <c r="L27">
        <v>11</v>
      </c>
      <c r="N27" t="s">
        <v>843</v>
      </c>
      <c r="O27" t="s">
        <v>695</v>
      </c>
      <c r="P27" t="s">
        <v>843</v>
      </c>
      <c r="Q27" t="s">
        <v>695</v>
      </c>
      <c r="R27" s="1">
        <v>34853</v>
      </c>
      <c r="S27">
        <v>58</v>
      </c>
      <c r="T27" t="s">
        <v>695</v>
      </c>
      <c r="U27">
        <v>383</v>
      </c>
      <c r="V27" t="s">
        <v>799</v>
      </c>
    </row>
    <row r="28" spans="1:22" x14ac:dyDescent="0.25">
      <c r="A28">
        <v>249</v>
      </c>
      <c r="B28" t="s">
        <v>695</v>
      </c>
      <c r="C28">
        <v>975</v>
      </c>
      <c r="D28" t="s">
        <v>193</v>
      </c>
      <c r="E28">
        <v>0</v>
      </c>
      <c r="F28" t="s">
        <v>695</v>
      </c>
      <c r="H28">
        <v>0</v>
      </c>
      <c r="I28" t="s">
        <v>695</v>
      </c>
      <c r="J28" t="s">
        <v>193</v>
      </c>
      <c r="K28" t="s">
        <v>844</v>
      </c>
      <c r="L28">
        <v>1811</v>
      </c>
      <c r="N28" t="s">
        <v>845</v>
      </c>
      <c r="O28" t="s">
        <v>193</v>
      </c>
      <c r="P28" t="s">
        <v>845</v>
      </c>
      <c r="Q28" t="s">
        <v>695</v>
      </c>
      <c r="R28" s="1">
        <v>43056</v>
      </c>
      <c r="S28">
        <v>2050</v>
      </c>
      <c r="T28" t="s">
        <v>846</v>
      </c>
      <c r="U28">
        <v>249</v>
      </c>
      <c r="V28" t="s">
        <v>808</v>
      </c>
    </row>
    <row r="29" spans="1:22" x14ac:dyDescent="0.25">
      <c r="A29">
        <v>350</v>
      </c>
      <c r="B29" t="s">
        <v>847</v>
      </c>
      <c r="C29">
        <v>858</v>
      </c>
      <c r="D29" t="s">
        <v>284</v>
      </c>
      <c r="E29">
        <v>0</v>
      </c>
      <c r="F29" t="s">
        <v>695</v>
      </c>
      <c r="H29">
        <v>0</v>
      </c>
      <c r="I29" t="s">
        <v>695</v>
      </c>
      <c r="J29" t="s">
        <v>284</v>
      </c>
      <c r="K29" t="s">
        <v>848</v>
      </c>
      <c r="L29">
        <v>34</v>
      </c>
      <c r="N29" t="s">
        <v>847</v>
      </c>
      <c r="O29" t="s">
        <v>849</v>
      </c>
      <c r="P29" t="s">
        <v>847</v>
      </c>
      <c r="Q29" t="s">
        <v>695</v>
      </c>
      <c r="R29" s="1">
        <v>36801</v>
      </c>
      <c r="S29">
        <v>60</v>
      </c>
      <c r="T29" t="s">
        <v>695</v>
      </c>
      <c r="U29">
        <v>359</v>
      </c>
      <c r="V29" t="s">
        <v>799</v>
      </c>
    </row>
    <row r="30" spans="1:22" x14ac:dyDescent="0.25">
      <c r="A30">
        <v>779</v>
      </c>
      <c r="B30" t="s">
        <v>695</v>
      </c>
      <c r="C30">
        <v>1888</v>
      </c>
      <c r="D30" t="s">
        <v>16</v>
      </c>
      <c r="E30">
        <v>0</v>
      </c>
      <c r="F30" t="s">
        <v>695</v>
      </c>
      <c r="G30">
        <v>1</v>
      </c>
      <c r="H30">
        <v>0</v>
      </c>
      <c r="I30" t="s">
        <v>695</v>
      </c>
      <c r="J30" t="s">
        <v>16</v>
      </c>
      <c r="K30" t="s">
        <v>825</v>
      </c>
      <c r="L30">
        <v>5932</v>
      </c>
      <c r="N30" t="s">
        <v>850</v>
      </c>
      <c r="O30" t="s">
        <v>695</v>
      </c>
      <c r="P30" t="s">
        <v>850</v>
      </c>
      <c r="Q30" t="s">
        <v>805</v>
      </c>
      <c r="R30" s="1">
        <v>45611</v>
      </c>
      <c r="S30">
        <v>23792</v>
      </c>
      <c r="T30" t="s">
        <v>695</v>
      </c>
      <c r="U30">
        <v>779</v>
      </c>
      <c r="V30" t="s">
        <v>851</v>
      </c>
    </row>
    <row r="31" spans="1:22" x14ac:dyDescent="0.25">
      <c r="A31">
        <v>165</v>
      </c>
      <c r="B31" t="s">
        <v>852</v>
      </c>
      <c r="C31">
        <v>860</v>
      </c>
      <c r="D31" t="s">
        <v>224</v>
      </c>
      <c r="E31">
        <v>0</v>
      </c>
      <c r="F31" t="s">
        <v>695</v>
      </c>
      <c r="H31">
        <v>0</v>
      </c>
      <c r="I31" t="s">
        <v>695</v>
      </c>
      <c r="J31" t="s">
        <v>224</v>
      </c>
      <c r="K31" t="s">
        <v>823</v>
      </c>
      <c r="L31">
        <v>1481</v>
      </c>
      <c r="N31" t="s">
        <v>853</v>
      </c>
      <c r="O31" t="s">
        <v>224</v>
      </c>
      <c r="P31" t="s">
        <v>853</v>
      </c>
      <c r="Q31" t="s">
        <v>695</v>
      </c>
      <c r="R31" s="1">
        <v>41761</v>
      </c>
      <c r="S31">
        <v>1277</v>
      </c>
      <c r="T31" t="s">
        <v>854</v>
      </c>
      <c r="U31">
        <v>165</v>
      </c>
      <c r="V31" t="s">
        <v>799</v>
      </c>
    </row>
    <row r="32" spans="1:22" x14ac:dyDescent="0.25">
      <c r="A32">
        <v>301</v>
      </c>
      <c r="B32" t="s">
        <v>855</v>
      </c>
      <c r="C32">
        <v>871</v>
      </c>
      <c r="D32" t="s">
        <v>255</v>
      </c>
      <c r="E32">
        <v>0</v>
      </c>
      <c r="F32" t="s">
        <v>695</v>
      </c>
      <c r="H32">
        <v>0</v>
      </c>
      <c r="I32" t="s">
        <v>695</v>
      </c>
      <c r="J32" t="s">
        <v>255</v>
      </c>
      <c r="K32" t="s">
        <v>856</v>
      </c>
      <c r="L32">
        <v>84</v>
      </c>
      <c r="N32" t="s">
        <v>855</v>
      </c>
      <c r="O32" t="s">
        <v>255</v>
      </c>
      <c r="P32" t="s">
        <v>855</v>
      </c>
      <c r="Q32" t="s">
        <v>695</v>
      </c>
      <c r="R32" s="1">
        <v>39367</v>
      </c>
      <c r="S32">
        <v>67</v>
      </c>
      <c r="T32" t="s">
        <v>857</v>
      </c>
      <c r="U32">
        <v>301</v>
      </c>
      <c r="V32" t="s">
        <v>799</v>
      </c>
    </row>
    <row r="33" spans="1:22" x14ac:dyDescent="0.25">
      <c r="A33">
        <v>249</v>
      </c>
      <c r="B33" t="s">
        <v>792</v>
      </c>
      <c r="C33">
        <v>873</v>
      </c>
      <c r="D33" t="s">
        <v>858</v>
      </c>
      <c r="E33">
        <v>0</v>
      </c>
      <c r="F33" t="s">
        <v>695</v>
      </c>
      <c r="H33">
        <v>0</v>
      </c>
      <c r="I33" t="s">
        <v>695</v>
      </c>
      <c r="J33" t="s">
        <v>858</v>
      </c>
      <c r="K33" t="s">
        <v>859</v>
      </c>
      <c r="L33">
        <v>1197</v>
      </c>
      <c r="N33" t="s">
        <v>860</v>
      </c>
      <c r="O33" t="s">
        <v>858</v>
      </c>
      <c r="P33" t="s">
        <v>860</v>
      </c>
      <c r="Q33" t="s">
        <v>695</v>
      </c>
      <c r="R33" s="1">
        <v>40375</v>
      </c>
      <c r="S33">
        <v>69</v>
      </c>
      <c r="T33" t="s">
        <v>239</v>
      </c>
      <c r="U33">
        <v>249</v>
      </c>
      <c r="V33" t="s">
        <v>795</v>
      </c>
    </row>
    <row r="34" spans="1:22" x14ac:dyDescent="0.25">
      <c r="A34">
        <v>16</v>
      </c>
      <c r="B34" t="s">
        <v>830</v>
      </c>
      <c r="C34">
        <v>1846</v>
      </c>
      <c r="D34" t="s">
        <v>861</v>
      </c>
      <c r="E34">
        <v>0</v>
      </c>
      <c r="F34" t="s">
        <v>695</v>
      </c>
      <c r="H34">
        <v>0</v>
      </c>
      <c r="I34" t="s">
        <v>695</v>
      </c>
      <c r="J34" t="s">
        <v>861</v>
      </c>
      <c r="K34" t="s">
        <v>862</v>
      </c>
      <c r="N34" t="s">
        <v>695</v>
      </c>
      <c r="O34" t="s">
        <v>695</v>
      </c>
      <c r="P34" t="s">
        <v>863</v>
      </c>
      <c r="Q34" t="s">
        <v>812</v>
      </c>
      <c r="R34" s="1">
        <v>45457</v>
      </c>
      <c r="S34">
        <v>23445</v>
      </c>
      <c r="T34" t="s">
        <v>60</v>
      </c>
      <c r="U34">
        <v>399</v>
      </c>
      <c r="V34" t="s">
        <v>834</v>
      </c>
    </row>
    <row r="35" spans="1:22" x14ac:dyDescent="0.25">
      <c r="A35">
        <v>230</v>
      </c>
      <c r="B35" t="s">
        <v>695</v>
      </c>
      <c r="D35" t="s">
        <v>250</v>
      </c>
      <c r="E35">
        <v>0</v>
      </c>
      <c r="F35" t="s">
        <v>695</v>
      </c>
      <c r="H35">
        <v>1</v>
      </c>
      <c r="I35" t="s">
        <v>695</v>
      </c>
      <c r="J35" t="s">
        <v>250</v>
      </c>
      <c r="K35" t="s">
        <v>11</v>
      </c>
      <c r="N35" t="s">
        <v>695</v>
      </c>
      <c r="O35" t="s">
        <v>250</v>
      </c>
      <c r="P35" t="s">
        <v>864</v>
      </c>
      <c r="Q35" t="s">
        <v>695</v>
      </c>
      <c r="R35" s="1">
        <v>40063</v>
      </c>
      <c r="T35" t="s">
        <v>695</v>
      </c>
      <c r="U35">
        <v>230</v>
      </c>
      <c r="V35" t="s">
        <v>808</v>
      </c>
    </row>
    <row r="36" spans="1:22" x14ac:dyDescent="0.25">
      <c r="A36">
        <v>303</v>
      </c>
      <c r="B36" t="s">
        <v>695</v>
      </c>
      <c r="C36">
        <v>1326</v>
      </c>
      <c r="D36" t="s">
        <v>99</v>
      </c>
      <c r="E36">
        <v>0</v>
      </c>
      <c r="F36" t="s">
        <v>695</v>
      </c>
      <c r="H36">
        <v>0</v>
      </c>
      <c r="I36" t="s">
        <v>695</v>
      </c>
      <c r="J36" t="s">
        <v>99</v>
      </c>
      <c r="K36" t="s">
        <v>823</v>
      </c>
      <c r="L36">
        <v>4219</v>
      </c>
      <c r="M36">
        <v>4244</v>
      </c>
      <c r="N36" t="s">
        <v>865</v>
      </c>
      <c r="O36" t="s">
        <v>99</v>
      </c>
      <c r="P36" t="s">
        <v>865</v>
      </c>
      <c r="Q36" t="s">
        <v>695</v>
      </c>
      <c r="R36" s="1">
        <v>44365</v>
      </c>
      <c r="S36">
        <v>2809</v>
      </c>
      <c r="T36" t="s">
        <v>866</v>
      </c>
      <c r="U36">
        <v>497</v>
      </c>
      <c r="V36" t="s">
        <v>851</v>
      </c>
    </row>
    <row r="37" spans="1:22" x14ac:dyDescent="0.25">
      <c r="A37">
        <v>277</v>
      </c>
      <c r="B37" t="s">
        <v>814</v>
      </c>
      <c r="C37">
        <v>1349</v>
      </c>
      <c r="D37" t="s">
        <v>90</v>
      </c>
      <c r="E37">
        <v>0</v>
      </c>
      <c r="F37" t="s">
        <v>695</v>
      </c>
      <c r="H37">
        <v>0</v>
      </c>
      <c r="I37" t="s">
        <v>695</v>
      </c>
      <c r="J37" t="s">
        <v>90</v>
      </c>
      <c r="K37" t="s">
        <v>823</v>
      </c>
      <c r="L37">
        <v>4362</v>
      </c>
      <c r="M37">
        <v>4363</v>
      </c>
      <c r="N37" t="s">
        <v>867</v>
      </c>
      <c r="O37" t="s">
        <v>90</v>
      </c>
      <c r="P37" t="s">
        <v>867</v>
      </c>
      <c r="Q37" t="s">
        <v>695</v>
      </c>
      <c r="R37" s="1">
        <v>44463</v>
      </c>
      <c r="S37">
        <v>2864</v>
      </c>
      <c r="T37" t="s">
        <v>868</v>
      </c>
      <c r="U37">
        <v>471</v>
      </c>
      <c r="V37" t="s">
        <v>799</v>
      </c>
    </row>
    <row r="38" spans="1:22" x14ac:dyDescent="0.25">
      <c r="A38">
        <v>286</v>
      </c>
      <c r="B38" t="s">
        <v>695</v>
      </c>
      <c r="C38">
        <v>1845</v>
      </c>
      <c r="D38" t="s">
        <v>869</v>
      </c>
      <c r="E38">
        <v>0</v>
      </c>
      <c r="F38" t="s">
        <v>695</v>
      </c>
      <c r="H38">
        <v>0</v>
      </c>
      <c r="I38" t="s">
        <v>695</v>
      </c>
      <c r="J38" t="s">
        <v>869</v>
      </c>
      <c r="K38" t="s">
        <v>797</v>
      </c>
      <c r="L38">
        <v>5561</v>
      </c>
      <c r="M38">
        <v>5599</v>
      </c>
      <c r="N38" t="s">
        <v>870</v>
      </c>
      <c r="O38" t="s">
        <v>869</v>
      </c>
      <c r="P38" t="s">
        <v>870</v>
      </c>
      <c r="Q38" t="s">
        <v>695</v>
      </c>
      <c r="R38" s="1">
        <v>45331</v>
      </c>
      <c r="S38">
        <v>23361</v>
      </c>
      <c r="T38" t="s">
        <v>64</v>
      </c>
      <c r="U38">
        <v>458</v>
      </c>
      <c r="V38" t="s">
        <v>799</v>
      </c>
    </row>
    <row r="39" spans="1:22" x14ac:dyDescent="0.25">
      <c r="A39">
        <v>350</v>
      </c>
      <c r="B39" t="s">
        <v>871</v>
      </c>
      <c r="C39">
        <v>879</v>
      </c>
      <c r="D39" t="s">
        <v>289</v>
      </c>
      <c r="E39">
        <v>0</v>
      </c>
      <c r="F39" t="s">
        <v>695</v>
      </c>
      <c r="H39">
        <v>0</v>
      </c>
      <c r="I39" t="s">
        <v>695</v>
      </c>
      <c r="J39" t="s">
        <v>289</v>
      </c>
      <c r="K39" t="s">
        <v>872</v>
      </c>
      <c r="L39">
        <v>31</v>
      </c>
      <c r="N39" t="s">
        <v>873</v>
      </c>
      <c r="O39" t="s">
        <v>874</v>
      </c>
      <c r="P39" t="s">
        <v>873</v>
      </c>
      <c r="Q39" t="s">
        <v>695</v>
      </c>
      <c r="R39" s="1">
        <v>36437</v>
      </c>
      <c r="S39">
        <v>73</v>
      </c>
      <c r="T39" t="s">
        <v>695</v>
      </c>
      <c r="U39">
        <v>350</v>
      </c>
      <c r="V39" t="s">
        <v>799</v>
      </c>
    </row>
    <row r="40" spans="1:22" x14ac:dyDescent="0.25">
      <c r="A40">
        <v>184</v>
      </c>
      <c r="B40" t="s">
        <v>822</v>
      </c>
      <c r="C40">
        <v>890</v>
      </c>
      <c r="D40" t="s">
        <v>207</v>
      </c>
      <c r="E40">
        <v>0</v>
      </c>
      <c r="F40" t="s">
        <v>695</v>
      </c>
      <c r="H40">
        <v>0</v>
      </c>
      <c r="I40" t="s">
        <v>695</v>
      </c>
      <c r="J40" t="s">
        <v>207</v>
      </c>
      <c r="K40" t="s">
        <v>823</v>
      </c>
      <c r="L40">
        <v>1676</v>
      </c>
      <c r="N40" t="s">
        <v>875</v>
      </c>
      <c r="O40" t="s">
        <v>207</v>
      </c>
      <c r="P40" t="s">
        <v>875</v>
      </c>
      <c r="Q40" t="s">
        <v>695</v>
      </c>
      <c r="R40" s="1">
        <v>42391</v>
      </c>
      <c r="S40">
        <v>1693</v>
      </c>
      <c r="T40" t="s">
        <v>876</v>
      </c>
      <c r="U40">
        <v>187</v>
      </c>
      <c r="V40" t="s">
        <v>799</v>
      </c>
    </row>
    <row r="41" spans="1:22" x14ac:dyDescent="0.25">
      <c r="A41">
        <v>350</v>
      </c>
      <c r="B41" t="s">
        <v>877</v>
      </c>
      <c r="C41">
        <v>893</v>
      </c>
      <c r="D41" t="s">
        <v>273</v>
      </c>
      <c r="E41">
        <v>0</v>
      </c>
      <c r="F41" t="s">
        <v>695</v>
      </c>
      <c r="H41">
        <v>0</v>
      </c>
      <c r="I41" t="s">
        <v>695</v>
      </c>
      <c r="J41" t="s">
        <v>273</v>
      </c>
      <c r="K41" t="s">
        <v>848</v>
      </c>
      <c r="L41">
        <v>41</v>
      </c>
      <c r="N41" t="s">
        <v>877</v>
      </c>
      <c r="O41" t="s">
        <v>273</v>
      </c>
      <c r="P41" t="s">
        <v>877</v>
      </c>
      <c r="Q41" t="s">
        <v>695</v>
      </c>
      <c r="R41" s="1">
        <v>37536</v>
      </c>
      <c r="S41">
        <v>81</v>
      </c>
      <c r="T41" t="s">
        <v>695</v>
      </c>
      <c r="U41">
        <v>351</v>
      </c>
      <c r="V41" t="s">
        <v>799</v>
      </c>
    </row>
    <row r="42" spans="1:22" x14ac:dyDescent="0.25">
      <c r="A42">
        <v>6</v>
      </c>
      <c r="B42" t="s">
        <v>878</v>
      </c>
      <c r="D42" t="s">
        <v>233</v>
      </c>
      <c r="E42">
        <v>0</v>
      </c>
      <c r="F42" t="s">
        <v>695</v>
      </c>
      <c r="H42">
        <v>0</v>
      </c>
      <c r="I42" t="s">
        <v>695</v>
      </c>
      <c r="J42" t="s">
        <v>879</v>
      </c>
      <c r="K42" t="s">
        <v>11</v>
      </c>
      <c r="N42" t="s">
        <v>695</v>
      </c>
      <c r="O42" t="s">
        <v>695</v>
      </c>
      <c r="P42" t="s">
        <v>880</v>
      </c>
      <c r="Q42" t="s">
        <v>879</v>
      </c>
      <c r="R42" s="1">
        <v>41027</v>
      </c>
      <c r="S42">
        <v>362</v>
      </c>
      <c r="T42" t="s">
        <v>695</v>
      </c>
      <c r="U42">
        <v>6</v>
      </c>
      <c r="V42" t="s">
        <v>881</v>
      </c>
    </row>
    <row r="43" spans="1:22" x14ac:dyDescent="0.25">
      <c r="A43">
        <v>278</v>
      </c>
      <c r="B43" t="s">
        <v>695</v>
      </c>
      <c r="D43" t="s">
        <v>4</v>
      </c>
      <c r="E43">
        <v>0</v>
      </c>
      <c r="F43" t="s">
        <v>695</v>
      </c>
      <c r="G43">
        <v>1</v>
      </c>
      <c r="H43">
        <v>1</v>
      </c>
      <c r="I43" t="s">
        <v>695</v>
      </c>
      <c r="J43" t="s">
        <v>4</v>
      </c>
      <c r="K43" t="s">
        <v>11</v>
      </c>
      <c r="N43" t="s">
        <v>695</v>
      </c>
      <c r="O43" t="s">
        <v>695</v>
      </c>
      <c r="P43" t="s">
        <v>882</v>
      </c>
      <c r="Q43" t="s">
        <v>695</v>
      </c>
      <c r="R43" s="1">
        <v>45636</v>
      </c>
      <c r="T43" t="s">
        <v>695</v>
      </c>
      <c r="U43">
        <v>425</v>
      </c>
      <c r="V43" t="s">
        <v>808</v>
      </c>
    </row>
    <row r="44" spans="1:22" x14ac:dyDescent="0.25">
      <c r="A44">
        <v>1</v>
      </c>
      <c r="B44" t="s">
        <v>695</v>
      </c>
      <c r="C44">
        <v>1310</v>
      </c>
      <c r="D44" t="s">
        <v>117</v>
      </c>
      <c r="E44">
        <v>0</v>
      </c>
      <c r="F44" t="s">
        <v>695</v>
      </c>
      <c r="H44">
        <v>0</v>
      </c>
      <c r="I44" t="s">
        <v>695</v>
      </c>
      <c r="J44" t="s">
        <v>883</v>
      </c>
      <c r="K44" t="s">
        <v>11</v>
      </c>
      <c r="N44" t="s">
        <v>695</v>
      </c>
      <c r="O44" t="s">
        <v>695</v>
      </c>
      <c r="P44" t="s">
        <v>884</v>
      </c>
      <c r="Q44" t="s">
        <v>883</v>
      </c>
      <c r="R44" s="1">
        <v>44232</v>
      </c>
      <c r="T44" t="s">
        <v>695</v>
      </c>
      <c r="U44">
        <v>174</v>
      </c>
      <c r="V44" t="s">
        <v>881</v>
      </c>
    </row>
    <row r="45" spans="1:22" x14ac:dyDescent="0.25">
      <c r="A45">
        <v>5074</v>
      </c>
      <c r="B45" t="s">
        <v>695</v>
      </c>
      <c r="C45">
        <v>1949</v>
      </c>
      <c r="D45" t="s">
        <v>124</v>
      </c>
      <c r="E45">
        <v>0</v>
      </c>
      <c r="F45" t="s">
        <v>695</v>
      </c>
      <c r="H45">
        <v>0</v>
      </c>
      <c r="I45" t="s">
        <v>695</v>
      </c>
      <c r="J45" t="s">
        <v>885</v>
      </c>
      <c r="K45" t="s">
        <v>11</v>
      </c>
      <c r="L45">
        <v>3494</v>
      </c>
      <c r="N45" t="s">
        <v>886</v>
      </c>
      <c r="O45" t="s">
        <v>695</v>
      </c>
      <c r="P45" t="s">
        <v>886</v>
      </c>
      <c r="Q45" t="s">
        <v>695</v>
      </c>
      <c r="R45" s="1">
        <v>44100</v>
      </c>
      <c r="S45">
        <v>2715</v>
      </c>
      <c r="T45" t="s">
        <v>124</v>
      </c>
      <c r="U45">
        <v>5074</v>
      </c>
      <c r="V45" t="s">
        <v>808</v>
      </c>
    </row>
    <row r="46" spans="1:22" x14ac:dyDescent="0.25">
      <c r="A46">
        <v>3110</v>
      </c>
      <c r="B46" t="s">
        <v>695</v>
      </c>
      <c r="D46" t="s">
        <v>278</v>
      </c>
      <c r="E46">
        <v>0</v>
      </c>
      <c r="F46" t="s">
        <v>695</v>
      </c>
      <c r="H46">
        <v>1</v>
      </c>
      <c r="I46" t="s">
        <v>695</v>
      </c>
      <c r="J46" t="s">
        <v>887</v>
      </c>
      <c r="K46" t="s">
        <v>11</v>
      </c>
      <c r="N46" t="s">
        <v>695</v>
      </c>
      <c r="O46" t="s">
        <v>278</v>
      </c>
      <c r="P46" t="s">
        <v>888</v>
      </c>
      <c r="Q46" t="s">
        <v>695</v>
      </c>
      <c r="R46" s="1">
        <v>37431</v>
      </c>
      <c r="T46" t="s">
        <v>695</v>
      </c>
      <c r="U46">
        <v>3225</v>
      </c>
      <c r="V46" t="s">
        <v>881</v>
      </c>
    </row>
    <row r="47" spans="1:22" x14ac:dyDescent="0.25">
      <c r="A47">
        <v>306</v>
      </c>
      <c r="B47" t="s">
        <v>889</v>
      </c>
      <c r="C47">
        <v>909</v>
      </c>
      <c r="D47" t="s">
        <v>262</v>
      </c>
      <c r="E47">
        <v>0</v>
      </c>
      <c r="F47" t="s">
        <v>695</v>
      </c>
      <c r="H47">
        <v>0</v>
      </c>
      <c r="I47" t="s">
        <v>695</v>
      </c>
      <c r="J47" t="s">
        <v>262</v>
      </c>
      <c r="K47" t="s">
        <v>856</v>
      </c>
      <c r="L47">
        <v>55</v>
      </c>
      <c r="N47" t="s">
        <v>890</v>
      </c>
      <c r="O47" t="s">
        <v>262</v>
      </c>
      <c r="P47" t="s">
        <v>890</v>
      </c>
      <c r="Q47" t="s">
        <v>695</v>
      </c>
      <c r="R47" s="1">
        <v>38632</v>
      </c>
      <c r="S47">
        <v>95</v>
      </c>
      <c r="T47" t="s">
        <v>695</v>
      </c>
      <c r="U47">
        <v>306</v>
      </c>
      <c r="V47" t="s">
        <v>799</v>
      </c>
    </row>
    <row r="48" spans="1:22" x14ac:dyDescent="0.25">
      <c r="A48">
        <v>274</v>
      </c>
      <c r="B48" t="s">
        <v>891</v>
      </c>
      <c r="C48">
        <v>912</v>
      </c>
      <c r="D48" t="s">
        <v>227</v>
      </c>
      <c r="E48">
        <v>0</v>
      </c>
      <c r="F48" t="s">
        <v>695</v>
      </c>
      <c r="H48">
        <v>0</v>
      </c>
      <c r="I48" t="s">
        <v>695</v>
      </c>
      <c r="J48" t="s">
        <v>227</v>
      </c>
      <c r="K48" t="s">
        <v>823</v>
      </c>
      <c r="L48">
        <v>1389</v>
      </c>
      <c r="N48" t="s">
        <v>891</v>
      </c>
      <c r="O48" t="s">
        <v>227</v>
      </c>
      <c r="P48" t="s">
        <v>891</v>
      </c>
      <c r="Q48" t="s">
        <v>695</v>
      </c>
      <c r="R48" s="1">
        <v>41187</v>
      </c>
      <c r="S48">
        <v>370</v>
      </c>
      <c r="T48" t="s">
        <v>892</v>
      </c>
      <c r="U48">
        <v>274</v>
      </c>
      <c r="V48" t="s">
        <v>799</v>
      </c>
    </row>
    <row r="49" spans="1:22" x14ac:dyDescent="0.25">
      <c r="A49">
        <v>0</v>
      </c>
      <c r="B49" t="s">
        <v>695</v>
      </c>
      <c r="C49">
        <v>1961</v>
      </c>
      <c r="D49" t="s">
        <v>69</v>
      </c>
      <c r="E49">
        <v>0</v>
      </c>
      <c r="F49" t="s">
        <v>695</v>
      </c>
      <c r="H49">
        <v>0</v>
      </c>
      <c r="I49" t="s">
        <v>695</v>
      </c>
      <c r="J49" t="s">
        <v>69</v>
      </c>
      <c r="K49" t="s">
        <v>11</v>
      </c>
      <c r="L49">
        <v>5523</v>
      </c>
      <c r="N49" t="s">
        <v>893</v>
      </c>
      <c r="O49" t="s">
        <v>695</v>
      </c>
      <c r="P49" t="s">
        <v>893</v>
      </c>
      <c r="Q49" t="s">
        <v>695</v>
      </c>
      <c r="R49" s="1">
        <v>45247</v>
      </c>
      <c r="S49">
        <v>23318</v>
      </c>
      <c r="T49" t="s">
        <v>695</v>
      </c>
      <c r="U49">
        <v>135</v>
      </c>
      <c r="V49" t="s">
        <v>894</v>
      </c>
    </row>
    <row r="50" spans="1:22" x14ac:dyDescent="0.25">
      <c r="A50">
        <v>254</v>
      </c>
      <c r="B50" t="s">
        <v>695</v>
      </c>
      <c r="C50">
        <v>1165</v>
      </c>
      <c r="D50" t="s">
        <v>160</v>
      </c>
      <c r="E50">
        <v>0</v>
      </c>
      <c r="F50" t="s">
        <v>695</v>
      </c>
      <c r="H50">
        <v>0</v>
      </c>
      <c r="I50" t="s">
        <v>695</v>
      </c>
      <c r="J50" t="s">
        <v>160</v>
      </c>
      <c r="K50" t="s">
        <v>823</v>
      </c>
      <c r="L50">
        <v>2814</v>
      </c>
      <c r="M50">
        <v>2961</v>
      </c>
      <c r="N50" t="s">
        <v>895</v>
      </c>
      <c r="O50" t="s">
        <v>160</v>
      </c>
      <c r="P50" t="s">
        <v>895</v>
      </c>
      <c r="Q50" t="s">
        <v>695</v>
      </c>
      <c r="R50" s="1">
        <v>43854</v>
      </c>
      <c r="S50">
        <v>2568</v>
      </c>
      <c r="T50" t="s">
        <v>896</v>
      </c>
      <c r="U50">
        <v>358</v>
      </c>
      <c r="V50" t="s">
        <v>799</v>
      </c>
    </row>
    <row r="51" spans="1:22" x14ac:dyDescent="0.25">
      <c r="A51">
        <v>96</v>
      </c>
      <c r="B51" t="s">
        <v>695</v>
      </c>
      <c r="C51">
        <v>1169</v>
      </c>
      <c r="D51" t="s">
        <v>154</v>
      </c>
      <c r="E51">
        <v>0</v>
      </c>
      <c r="F51" t="s">
        <v>695</v>
      </c>
      <c r="H51">
        <v>0</v>
      </c>
      <c r="I51" t="s">
        <v>695</v>
      </c>
      <c r="J51" t="s">
        <v>154</v>
      </c>
      <c r="K51" t="s">
        <v>11</v>
      </c>
      <c r="L51">
        <v>2809</v>
      </c>
      <c r="N51" t="s">
        <v>897</v>
      </c>
      <c r="O51" t="s">
        <v>695</v>
      </c>
      <c r="P51" t="s">
        <v>897</v>
      </c>
      <c r="Q51" t="s">
        <v>695</v>
      </c>
      <c r="R51" s="1">
        <v>43890</v>
      </c>
      <c r="S51">
        <v>2598</v>
      </c>
      <c r="T51" t="s">
        <v>898</v>
      </c>
      <c r="U51">
        <v>100</v>
      </c>
      <c r="V51" t="s">
        <v>899</v>
      </c>
    </row>
    <row r="52" spans="1:22" x14ac:dyDescent="0.25">
      <c r="A52">
        <v>350</v>
      </c>
      <c r="B52" t="s">
        <v>900</v>
      </c>
      <c r="C52">
        <v>941</v>
      </c>
      <c r="D52" t="s">
        <v>301</v>
      </c>
      <c r="E52">
        <v>0</v>
      </c>
      <c r="F52" t="s">
        <v>695</v>
      </c>
      <c r="H52">
        <v>0</v>
      </c>
      <c r="I52" t="s">
        <v>695</v>
      </c>
      <c r="J52" t="s">
        <v>301</v>
      </c>
      <c r="K52" t="s">
        <v>901</v>
      </c>
      <c r="L52">
        <v>26</v>
      </c>
      <c r="N52" t="s">
        <v>902</v>
      </c>
      <c r="O52" t="s">
        <v>903</v>
      </c>
      <c r="P52" t="s">
        <v>902</v>
      </c>
      <c r="Q52" t="s">
        <v>695</v>
      </c>
      <c r="R52" s="1">
        <v>36080</v>
      </c>
      <c r="S52">
        <v>118</v>
      </c>
      <c r="T52" t="s">
        <v>695</v>
      </c>
      <c r="U52">
        <v>357</v>
      </c>
      <c r="V52" t="s">
        <v>799</v>
      </c>
    </row>
    <row r="53" spans="1:22" x14ac:dyDescent="0.25">
      <c r="A53">
        <v>331</v>
      </c>
      <c r="B53" t="s">
        <v>830</v>
      </c>
      <c r="C53">
        <v>1878</v>
      </c>
      <c r="D53" t="s">
        <v>73</v>
      </c>
      <c r="E53">
        <v>0</v>
      </c>
      <c r="F53" t="s">
        <v>695</v>
      </c>
      <c r="H53">
        <v>0</v>
      </c>
      <c r="I53" t="s">
        <v>695</v>
      </c>
      <c r="J53" t="s">
        <v>73</v>
      </c>
      <c r="K53" t="s">
        <v>862</v>
      </c>
      <c r="N53" t="s">
        <v>695</v>
      </c>
      <c r="O53" t="s">
        <v>695</v>
      </c>
      <c r="P53" t="s">
        <v>904</v>
      </c>
      <c r="Q53" t="s">
        <v>695</v>
      </c>
      <c r="R53" s="1">
        <v>45212</v>
      </c>
      <c r="S53">
        <v>23165</v>
      </c>
      <c r="T53" t="s">
        <v>905</v>
      </c>
      <c r="U53">
        <v>1186</v>
      </c>
      <c r="V53" t="s">
        <v>834</v>
      </c>
    </row>
    <row r="54" spans="1:22" x14ac:dyDescent="0.25">
      <c r="A54">
        <v>28</v>
      </c>
      <c r="B54" t="s">
        <v>830</v>
      </c>
      <c r="C54">
        <v>1698</v>
      </c>
      <c r="D54" t="s">
        <v>906</v>
      </c>
      <c r="E54">
        <v>0</v>
      </c>
      <c r="F54" t="s">
        <v>695</v>
      </c>
      <c r="H54">
        <v>0</v>
      </c>
      <c r="I54" t="s">
        <v>695</v>
      </c>
      <c r="J54" t="s">
        <v>906</v>
      </c>
      <c r="K54" t="s">
        <v>907</v>
      </c>
      <c r="N54" t="s">
        <v>695</v>
      </c>
      <c r="O54" t="s">
        <v>695</v>
      </c>
      <c r="P54" t="s">
        <v>908</v>
      </c>
      <c r="Q54" t="s">
        <v>909</v>
      </c>
      <c r="R54" s="1">
        <v>45177</v>
      </c>
      <c r="S54">
        <v>23164</v>
      </c>
      <c r="T54" t="s">
        <v>743</v>
      </c>
      <c r="U54">
        <v>176</v>
      </c>
      <c r="V54" t="s">
        <v>834</v>
      </c>
    </row>
    <row r="55" spans="1:22" x14ac:dyDescent="0.25">
      <c r="A55">
        <v>249</v>
      </c>
      <c r="B55" t="s">
        <v>910</v>
      </c>
      <c r="C55">
        <v>949</v>
      </c>
      <c r="D55" t="s">
        <v>243</v>
      </c>
      <c r="E55">
        <v>0</v>
      </c>
      <c r="F55" t="s">
        <v>695</v>
      </c>
      <c r="H55">
        <v>0</v>
      </c>
      <c r="I55" t="s">
        <v>695</v>
      </c>
      <c r="J55" t="s">
        <v>243</v>
      </c>
      <c r="K55" t="s">
        <v>856</v>
      </c>
      <c r="L55">
        <v>114</v>
      </c>
      <c r="N55" t="s">
        <v>910</v>
      </c>
      <c r="O55" t="s">
        <v>243</v>
      </c>
      <c r="P55" t="s">
        <v>910</v>
      </c>
      <c r="Q55" t="s">
        <v>695</v>
      </c>
      <c r="R55" s="1">
        <v>40088</v>
      </c>
      <c r="S55">
        <v>124</v>
      </c>
      <c r="T55" t="s">
        <v>911</v>
      </c>
      <c r="U55">
        <v>269</v>
      </c>
      <c r="V55" t="s">
        <v>799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workbookViewId="0">
      <selection activeCell="A17" sqref="A17"/>
    </sheetView>
  </sheetViews>
  <sheetFormatPr defaultRowHeight="15" x14ac:dyDescent="0.25"/>
  <cols>
    <col min="1" max="1" width="38.140625" bestFit="1" customWidth="1"/>
    <col min="2" max="2" width="24.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339</v>
      </c>
      <c r="B1" t="s">
        <v>338</v>
      </c>
      <c r="C1" t="s">
        <v>324</v>
      </c>
      <c r="D1" t="s">
        <v>325</v>
      </c>
      <c r="E1" t="s">
        <v>326</v>
      </c>
      <c r="F1" t="s">
        <v>327</v>
      </c>
      <c r="G1" t="s">
        <v>328</v>
      </c>
    </row>
    <row r="2" spans="1:7" x14ac:dyDescent="0.25">
      <c r="A2" t="str">
        <f>myCollection[[#This Row],[uuid]]</f>
        <v>0add0930-720f-5bf5-bcf5-ee208eeb9040</v>
      </c>
      <c r="B2" t="str">
        <f>_xlfn.IFNA(INDEX(cards[],MATCH(MyCollectionViz[[#This Row],[uuid]],cards[uuid],0),52),INDEX(tokens[],MATCH(MyCollectionViz[[#This Row],[uuid]],tokens[uuid],0),28))</f>
        <v>Once Upon a Time</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25">
      <c r="A3" t="str">
        <f>myCollection[[#This Row],[uuid]]</f>
        <v>154a09f3-65e3-5821-bc02-bd972b3be676</v>
      </c>
      <c r="B3" t="str">
        <f>_xlfn.IFNA(INDEX(cards[],MATCH(MyCollectionViz[[#This Row],[uuid]],cards[uuid],0),52),INDEX(tokens[],MATCH(MyCollectionViz[[#This Row],[uuid]],tokens[uuid],0),28))</f>
        <v>Snapping Sailback</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25">
      <c r="A4" t="str">
        <f>myCollection[[#This Row],[uuid]]</f>
        <v>16f1c97a-b896-59d0-80ab-6f00a6ea1d28</v>
      </c>
      <c r="B4" t="str">
        <f>_xlfn.IFNA(INDEX(cards[],MATCH(MyCollectionViz[[#This Row],[uuid]],cards[uuid],0),52),INDEX(tokens[],MATCH(MyCollectionViz[[#This Row],[uuid]],tokens[uuid],0),28))</f>
        <v>Dragonscale Boon</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25">
      <c r="A5" t="str">
        <f>myCollection[[#This Row],[uuid]]</f>
        <v>1fb6b965-6d0e-536c-8593-63140f3c6e9f</v>
      </c>
      <c r="B5" t="str">
        <f>_xlfn.IFNA(INDEX(cards[],MATCH(MyCollectionViz[[#This Row],[uuid]],cards[uuid],0),52),INDEX(tokens[],MATCH(MyCollectionViz[[#This Row],[uuid]],tokens[uuid],0),28))</f>
        <v>Thought Harvester</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25">
      <c r="A6" t="str">
        <f>myCollection[[#This Row],[uuid]]</f>
        <v>28a21701-487e-5d54-9bb2-22f862734499</v>
      </c>
      <c r="B6" t="str">
        <f>_xlfn.IFNA(INDEX(cards[],MATCH(MyCollectionViz[[#This Row],[uuid]],cards[uuid],0),52),INDEX(tokens[],MATCH(MyCollectionViz[[#This Row],[uuid]],tokens[uuid],0),28))</f>
        <v>Glarewielder</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25">
      <c r="A7" t="str">
        <f>myCollection[[#This Row],[uuid]]</f>
        <v>358c5647-9f47-5f5d-9497-36336d8c7bb9</v>
      </c>
      <c r="B7" t="str">
        <f>_xlfn.IFNA(INDEX(cards[],MATCH(MyCollectionViz[[#This Row],[uuid]],cards[uuid],0),52),INDEX(tokens[],MATCH(MyCollectionViz[[#This Row],[uuid]],tokens[uuid],0),28))</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25">
      <c r="A8" t="str">
        <f>myCollection[[#This Row],[uuid]]</f>
        <v>413e11a5-35a1-51c7-928b-219b4453a094</v>
      </c>
      <c r="B8" t="str">
        <f>_xlfn.IFNA(INDEX(cards[],MATCH(MyCollectionViz[[#This Row],[uuid]],cards[uuid],0),52),INDEX(tokens[],MATCH(MyCollectionViz[[#This Row],[uuid]],tokens[uuid],0),28))</f>
        <v>Hypnotic Cloud</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25">
      <c r="A9" t="str">
        <f>myCollection[[#This Row],[uuid]]</f>
        <v>5ce32715-8dee-5c47-986a-88d00e87c506</v>
      </c>
      <c r="B9" t="str">
        <f>_xlfn.IFNA(INDEX(cards[],MATCH(MyCollectionViz[[#This Row],[uuid]],cards[uuid],0),52),INDEX(tokens[],MATCH(MyCollectionViz[[#This Row],[uuid]],tokens[uuid],0),28))</f>
        <v>Grazing Gladehart</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25">
      <c r="A10" t="str">
        <f>myCollection[[#This Row],[uuid]]</f>
        <v>5e6a3099-2597-5755-8a6f-67f1569a3b8a</v>
      </c>
      <c r="B10" t="str">
        <f>_xlfn.IFNA(INDEX(cards[],MATCH(MyCollectionViz[[#This Row],[uuid]],cards[uuid],0),52),INDEX(tokens[],MATCH(MyCollectionViz[[#This Row],[uuid]],tokens[uuid],0),28))</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25">
      <c r="A11" t="str">
        <f>myCollection[[#This Row],[uuid]]</f>
        <v>66dae17d-a742-51b4-ba09-0b37d7c64265</v>
      </c>
      <c r="B11" t="str">
        <f>_xlfn.IFNA(INDEX(cards[],MATCH(MyCollectionViz[[#This Row],[uuid]],cards[uuid],0),52),INDEX(tokens[],MATCH(MyCollectionViz[[#This Row],[uuid]],tokens[uuid],0),28))</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25">
      <c r="A12" t="str">
        <f>myCollection[[#This Row],[uuid]]</f>
        <v>7be5b8a9-0d68-5125-b729-ff1063dd3ed0</v>
      </c>
      <c r="B12" t="str">
        <f>_xlfn.IFNA(INDEX(cards[],MATCH(MyCollectionViz[[#This Row],[uuid]],cards[uuid],0),52),INDEX(tokens[],MATCH(MyCollectionViz[[#This Row],[uuid]],tokens[uuid],0),28))</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25">
      <c r="A13" t="str">
        <f>myCollection[[#This Row],[uuid]]</f>
        <v>8d6b22fe-8583-5908-b964-05e3174e3154</v>
      </c>
      <c r="B13" t="str">
        <f>_xlfn.IFNA(INDEX(cards[],MATCH(MyCollectionViz[[#This Row],[uuid]],cards[uuid],0),52),INDEX(tokens[],MATCH(MyCollectionViz[[#This Row],[uuid]],tokens[uuid],0),28))</f>
        <v>Thallid Devourer</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25">
      <c r="A14" t="str">
        <f>myCollection[[#This Row],[uuid]]</f>
        <v>91556c5f-b11e-573d-a3bb-627dfa6c2926</v>
      </c>
      <c r="B14" t="str">
        <f>_xlfn.IFNA(INDEX(cards[],MATCH(MyCollectionViz[[#This Row],[uuid]],cards[uuid],0),52),INDEX(tokens[],MATCH(MyCollectionViz[[#This Row],[uuid]],tokens[uuid],0),28))</f>
        <v>Hungry Mist</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25">
      <c r="A15" t="str">
        <f>myCollection[[#This Row],[uuid]]</f>
        <v>9c015664-e6e8-53a4-ad48-276138b18098</v>
      </c>
      <c r="B15" t="str">
        <f>_xlfn.IFNA(INDEX(cards[],MATCH(MyCollectionViz[[#This Row],[uuid]],cards[uuid],0),52),INDEX(tokens[],MATCH(MyCollectionViz[[#This Row],[uuid]],tokens[uuid],0),28))</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25">
      <c r="A16" t="str">
        <f>myCollection[[#This Row],[uuid]]</f>
        <v>aa480225-6f03-5f0f-85af-41af75e515aa</v>
      </c>
      <c r="B16" t="str">
        <f>_xlfn.IFNA(INDEX(cards[],MATCH(MyCollectionViz[[#This Row],[uuid]],cards[uuid],0),52),INDEX(tokens[],MATCH(MyCollectionViz[[#This Row],[uuid]],tokens[uuid],0),28))</f>
        <v>Viashino Runner</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25">
      <c r="A17" t="str">
        <f>myCollection[[#This Row],[uuid]]</f>
        <v>bafac74c-f4f8-5c71-8a6b-0bd02c536c47</v>
      </c>
      <c r="B17" t="str">
        <f>_xlfn.IFNA(INDEX(cards[],MATCH(MyCollectionViz[[#This Row],[uuid]],cards[uuid],0),52),INDEX(tokens[],MATCH(MyCollectionViz[[#This Row],[uuid]],tokens[uuid],0),28))</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25">
      <c r="A18" t="str">
        <f>myCollection[[#This Row],[uuid]]</f>
        <v>cc6ce5a2-49d0-59de-a17e-362f47b67773</v>
      </c>
      <c r="B18" t="str">
        <f>_xlfn.IFNA(INDEX(cards[],MATCH(MyCollectionViz[[#This Row],[uuid]],cards[uuid],0),52),INDEX(tokens[],MATCH(MyCollectionViz[[#This Row],[uuid]],tokens[uuid],0),28))</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25">
      <c r="A19" t="str">
        <f>myCollection[[#This Row],[uuid]]</f>
        <v>d0bcc932-d1f2-509c-90de-42512b6fef75</v>
      </c>
      <c r="B19" t="str">
        <f>_xlfn.IFNA(INDEX(cards[],MATCH(MyCollectionViz[[#This Row],[uuid]],cards[uuid],0),52),INDEX(tokens[],MATCH(MyCollectionViz[[#This Row],[uuid]],tokens[uuid],0),28))</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25">
      <c r="A20" t="str">
        <f>myCollection[[#This Row],[uuid]]</f>
        <v>d4588e8f-e5a0-53e5-ac90-0a5183f0d118</v>
      </c>
      <c r="B20" t="str">
        <f>_xlfn.IFNA(INDEX(cards[],MATCH(MyCollectionViz[[#This Row],[uuid]],cards[uuid],0),52),INDEX(tokens[],MATCH(MyCollectionViz[[#This Row],[uuid]],tokens[uuid],0),28))</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25">
      <c r="A21" t="str">
        <f>myCollection[[#This Row],[uuid]]</f>
        <v>e7613acb-a554-5a49-aa38-88fff17503fe</v>
      </c>
      <c r="B21" t="str">
        <f>_xlfn.IFNA(INDEX(cards[],MATCH(MyCollectionViz[[#This Row],[uuid]],cards[uuid],0),52),INDEX(tokens[],MATCH(MyCollectionViz[[#This Row],[uuid]],tokens[uuid],0),28))</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25">
      <c r="A22" t="str">
        <f>myCollection[[#This Row],[uuid]]</f>
        <v>f1e4acc1-1bb7-57ea-9d61-edb3e803ab5c</v>
      </c>
      <c r="B22" t="str">
        <f>_xlfn.IFNA(INDEX(cards[],MATCH(MyCollectionViz[[#This Row],[uuid]],cards[uuid],0),52),INDEX(tokens[],MATCH(MyCollectionViz[[#This Row],[uuid]],tokens[uuid],0),28))</f>
        <v>Crenellated Wall</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25">
      <c r="A23" t="str">
        <f>myCollection[[#This Row],[uuid]]</f>
        <v>fd1183ad-ae98-5c4b-b93d-97d32b74d999</v>
      </c>
      <c r="B23" t="str">
        <f>_xlfn.IFNA(INDEX(cards[],MATCH(MyCollectionViz[[#This Row],[uuid]],cards[uuid],0),52),INDEX(tokens[],MATCH(MyCollectionViz[[#This Row],[uuid]],tokens[uuid],0),28))</f>
        <v>Culling Drone</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5" x14ac:dyDescent="0.25"/>
  <cols>
    <col min="1" max="1" width="6" bestFit="1" customWidth="1"/>
    <col min="2" max="2" width="38.140625" bestFit="1" customWidth="1"/>
    <col min="3" max="3" width="14.42578125" bestFit="1" customWidth="1"/>
    <col min="4" max="4" width="16.140625" bestFit="1" customWidth="1"/>
    <col min="5" max="5" width="11.85546875" bestFit="1" customWidth="1"/>
    <col min="6" max="6" width="11.28515625" bestFit="1" customWidth="1"/>
    <col min="7" max="7" width="8.42578125" bestFit="1" customWidth="1"/>
  </cols>
  <sheetData>
    <row r="1" spans="1:7" x14ac:dyDescent="0.25">
      <c r="A1" t="s">
        <v>769</v>
      </c>
      <c r="B1" t="s">
        <v>339</v>
      </c>
      <c r="C1" t="s">
        <v>324</v>
      </c>
      <c r="D1" t="s">
        <v>325</v>
      </c>
      <c r="E1" t="s">
        <v>326</v>
      </c>
      <c r="F1" t="s">
        <v>327</v>
      </c>
      <c r="G1" t="s">
        <v>328</v>
      </c>
    </row>
    <row r="2" spans="1:7" x14ac:dyDescent="0.25">
      <c r="A2">
        <v>7546</v>
      </c>
      <c r="B2" t="s">
        <v>169</v>
      </c>
      <c r="C2">
        <v>1</v>
      </c>
      <c r="D2">
        <v>0</v>
      </c>
      <c r="E2" t="s">
        <v>329</v>
      </c>
      <c r="F2" t="s">
        <v>11</v>
      </c>
      <c r="G2" t="s">
        <v>330</v>
      </c>
    </row>
    <row r="3" spans="1:7" x14ac:dyDescent="0.25">
      <c r="A3">
        <v>10001</v>
      </c>
      <c r="B3" t="s">
        <v>135</v>
      </c>
      <c r="C3">
        <v>1</v>
      </c>
      <c r="D3">
        <v>0</v>
      </c>
      <c r="E3" t="s">
        <v>329</v>
      </c>
      <c r="F3" t="s">
        <v>11</v>
      </c>
      <c r="G3" t="s">
        <v>13</v>
      </c>
    </row>
    <row r="4" spans="1:7" x14ac:dyDescent="0.25">
      <c r="A4">
        <v>2970</v>
      </c>
      <c r="B4" t="s">
        <v>140</v>
      </c>
      <c r="C4">
        <v>1</v>
      </c>
      <c r="D4">
        <v>0</v>
      </c>
      <c r="E4" t="s">
        <v>329</v>
      </c>
      <c r="F4" t="s">
        <v>11</v>
      </c>
      <c r="G4" t="s">
        <v>13</v>
      </c>
    </row>
    <row r="5" spans="1:7" x14ac:dyDescent="0.25">
      <c r="A5">
        <v>11081</v>
      </c>
      <c r="B5" t="s">
        <v>213</v>
      </c>
      <c r="C5">
        <v>2</v>
      </c>
      <c r="D5">
        <v>0</v>
      </c>
      <c r="E5" t="s">
        <v>329</v>
      </c>
      <c r="F5" t="s">
        <v>11</v>
      </c>
      <c r="G5" t="s">
        <v>13</v>
      </c>
    </row>
    <row r="6" spans="1:7" x14ac:dyDescent="0.25">
      <c r="A6">
        <v>4454</v>
      </c>
      <c r="B6" t="s">
        <v>260</v>
      </c>
      <c r="C6">
        <v>1</v>
      </c>
      <c r="D6">
        <v>0</v>
      </c>
      <c r="E6" t="s">
        <v>331</v>
      </c>
      <c r="F6" t="s">
        <v>11</v>
      </c>
      <c r="G6" t="s">
        <v>13</v>
      </c>
    </row>
    <row r="7" spans="1:7" x14ac:dyDescent="0.25">
      <c r="A7">
        <v>8052</v>
      </c>
      <c r="B7" t="s">
        <v>222</v>
      </c>
      <c r="C7">
        <v>1</v>
      </c>
      <c r="D7">
        <v>0</v>
      </c>
      <c r="E7" t="s">
        <v>329</v>
      </c>
      <c r="F7" t="s">
        <v>11</v>
      </c>
      <c r="G7" t="s">
        <v>13</v>
      </c>
    </row>
    <row r="8" spans="1:7" x14ac:dyDescent="0.25">
      <c r="A8">
        <v>5388</v>
      </c>
      <c r="B8" t="s">
        <v>287</v>
      </c>
      <c r="C8">
        <v>1</v>
      </c>
      <c r="D8">
        <v>0</v>
      </c>
      <c r="E8" t="s">
        <v>329</v>
      </c>
      <c r="F8" t="s">
        <v>11</v>
      </c>
      <c r="G8" t="s">
        <v>13</v>
      </c>
    </row>
    <row r="9" spans="1:7" x14ac:dyDescent="0.25">
      <c r="A9">
        <v>4798</v>
      </c>
      <c r="B9" t="s">
        <v>248</v>
      </c>
      <c r="C9">
        <v>1</v>
      </c>
      <c r="D9">
        <v>0</v>
      </c>
      <c r="E9" t="s">
        <v>329</v>
      </c>
      <c r="F9" t="s">
        <v>11</v>
      </c>
      <c r="G9" t="s">
        <v>52</v>
      </c>
    </row>
    <row r="10" spans="1:7" x14ac:dyDescent="0.25">
      <c r="A10">
        <v>6245</v>
      </c>
      <c r="B10" t="s">
        <v>266</v>
      </c>
      <c r="C10">
        <v>4</v>
      </c>
      <c r="D10">
        <v>1</v>
      </c>
      <c r="E10" t="s">
        <v>331</v>
      </c>
      <c r="F10" t="s">
        <v>332</v>
      </c>
      <c r="G10" t="s">
        <v>13</v>
      </c>
    </row>
    <row r="11" spans="1:7" x14ac:dyDescent="0.25">
      <c r="A11">
        <v>11808</v>
      </c>
      <c r="B11" t="s">
        <v>313</v>
      </c>
      <c r="C11">
        <v>1</v>
      </c>
      <c r="D11">
        <v>0</v>
      </c>
      <c r="E11" t="s">
        <v>329</v>
      </c>
      <c r="F11" t="s">
        <v>11</v>
      </c>
      <c r="G11" t="s">
        <v>13</v>
      </c>
    </row>
    <row r="12" spans="1:7" x14ac:dyDescent="0.25">
      <c r="A12">
        <v>8721</v>
      </c>
      <c r="B12" t="s">
        <v>323</v>
      </c>
      <c r="C12">
        <v>2</v>
      </c>
      <c r="D12">
        <v>0</v>
      </c>
      <c r="E12" t="s">
        <v>329</v>
      </c>
      <c r="F12" t="s">
        <v>11</v>
      </c>
      <c r="G12" t="s">
        <v>13</v>
      </c>
    </row>
    <row r="13" spans="1:7" x14ac:dyDescent="0.25">
      <c r="A13">
        <v>10980</v>
      </c>
      <c r="B13" t="s">
        <v>319</v>
      </c>
      <c r="C13">
        <v>7</v>
      </c>
      <c r="D13">
        <v>3</v>
      </c>
      <c r="E13" t="s">
        <v>329</v>
      </c>
      <c r="F13" t="s">
        <v>11</v>
      </c>
      <c r="G13" t="s">
        <v>13</v>
      </c>
    </row>
    <row r="14" spans="1:7" x14ac:dyDescent="0.25">
      <c r="A14">
        <v>5339</v>
      </c>
      <c r="B14" t="s">
        <v>310</v>
      </c>
      <c r="C14">
        <v>2</v>
      </c>
      <c r="D14">
        <v>0</v>
      </c>
      <c r="E14" t="s">
        <v>329</v>
      </c>
      <c r="F14" t="s">
        <v>11</v>
      </c>
      <c r="G14" t="s">
        <v>13</v>
      </c>
    </row>
    <row r="15" spans="1:7" x14ac:dyDescent="0.25">
      <c r="A15">
        <v>10772</v>
      </c>
      <c r="B15" t="s">
        <v>276</v>
      </c>
      <c r="C15">
        <v>3</v>
      </c>
      <c r="D15">
        <v>0</v>
      </c>
      <c r="E15" t="s">
        <v>329</v>
      </c>
      <c r="F15" t="s">
        <v>11</v>
      </c>
      <c r="G15" t="s">
        <v>13</v>
      </c>
    </row>
    <row r="16" spans="1:7" x14ac:dyDescent="0.25">
      <c r="A16">
        <v>11817</v>
      </c>
      <c r="B16" t="s">
        <v>306</v>
      </c>
      <c r="C16">
        <v>2</v>
      </c>
      <c r="D16">
        <v>0</v>
      </c>
      <c r="E16" t="s">
        <v>329</v>
      </c>
      <c r="F16" t="s">
        <v>333</v>
      </c>
      <c r="G16" t="s">
        <v>13</v>
      </c>
    </row>
    <row r="17" spans="1:7" x14ac:dyDescent="0.25">
      <c r="A17">
        <v>8163</v>
      </c>
      <c r="B17" t="s">
        <v>104</v>
      </c>
      <c r="C17">
        <v>1</v>
      </c>
      <c r="D17">
        <v>1</v>
      </c>
      <c r="E17" t="s">
        <v>329</v>
      </c>
      <c r="F17" t="s">
        <v>333</v>
      </c>
      <c r="G17" t="s">
        <v>13</v>
      </c>
    </row>
    <row r="18" spans="1:7" x14ac:dyDescent="0.25">
      <c r="A18">
        <v>7683</v>
      </c>
      <c r="B18" t="s">
        <v>271</v>
      </c>
      <c r="C18">
        <v>1</v>
      </c>
      <c r="D18">
        <v>0</v>
      </c>
      <c r="E18" t="s">
        <v>334</v>
      </c>
      <c r="F18" t="s">
        <v>11</v>
      </c>
      <c r="G18" t="s">
        <v>13</v>
      </c>
    </row>
    <row r="19" spans="1:7" x14ac:dyDescent="0.25">
      <c r="A19">
        <v>4933</v>
      </c>
      <c r="B19" t="s">
        <v>231</v>
      </c>
      <c r="C19">
        <v>1</v>
      </c>
      <c r="D19">
        <v>0</v>
      </c>
      <c r="E19" t="s">
        <v>335</v>
      </c>
      <c r="F19" t="s">
        <v>11</v>
      </c>
      <c r="G19" t="s">
        <v>13</v>
      </c>
    </row>
    <row r="20" spans="1:7" x14ac:dyDescent="0.25">
      <c r="A20">
        <v>547</v>
      </c>
      <c r="B20" t="s">
        <v>176</v>
      </c>
      <c r="C20">
        <v>1</v>
      </c>
      <c r="D20">
        <v>1</v>
      </c>
      <c r="E20" t="s">
        <v>335</v>
      </c>
      <c r="F20" t="s">
        <v>11</v>
      </c>
      <c r="G20" t="s">
        <v>13</v>
      </c>
    </row>
    <row r="21" spans="1:7" x14ac:dyDescent="0.25">
      <c r="A21">
        <v>4025</v>
      </c>
      <c r="B21" t="s">
        <v>225</v>
      </c>
      <c r="C21">
        <v>4</v>
      </c>
      <c r="D21">
        <v>0</v>
      </c>
      <c r="E21" t="s">
        <v>329</v>
      </c>
      <c r="F21" t="s">
        <v>11</v>
      </c>
      <c r="G21" t="s">
        <v>13</v>
      </c>
    </row>
    <row r="22" spans="1:7" x14ac:dyDescent="0.25">
      <c r="A22">
        <v>2249</v>
      </c>
      <c r="B22" t="s">
        <v>296</v>
      </c>
      <c r="C22">
        <v>1</v>
      </c>
      <c r="D22">
        <v>0</v>
      </c>
      <c r="E22" t="s">
        <v>336</v>
      </c>
      <c r="F22" t="s">
        <v>11</v>
      </c>
      <c r="G22" t="s">
        <v>52</v>
      </c>
    </row>
    <row r="23" spans="1:7" x14ac:dyDescent="0.25">
      <c r="A23">
        <v>2337</v>
      </c>
      <c r="B23" t="s">
        <v>219</v>
      </c>
      <c r="C23">
        <v>4</v>
      </c>
      <c r="D23">
        <v>0</v>
      </c>
      <c r="E23" t="s">
        <v>337</v>
      </c>
      <c r="F23" t="s">
        <v>11</v>
      </c>
      <c r="G23" t="s">
        <v>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AW22"/>
  <sheetViews>
    <sheetView workbookViewId="0">
      <selection activeCell="A10" sqref="A10"/>
    </sheetView>
  </sheetViews>
  <sheetFormatPr defaultRowHeight="15" x14ac:dyDescent="0.25"/>
  <cols>
    <col min="1" max="1" width="18.7109375" bestFit="1" customWidth="1"/>
    <col min="2" max="2" width="38.140625" bestFit="1" customWidth="1"/>
    <col min="3" max="3" width="12.7109375" bestFit="1" customWidth="1"/>
    <col min="4" max="4" width="13" bestFit="1" customWidth="1"/>
    <col min="5" max="5" width="15.7109375" bestFit="1" customWidth="1"/>
    <col min="6" max="6" width="14.28515625" bestFit="1" customWidth="1"/>
    <col min="7" max="7" width="14.85546875" bestFit="1" customWidth="1"/>
    <col min="8" max="8" width="8.85546875" bestFit="1" customWidth="1"/>
    <col min="9" max="9" width="18" bestFit="1" customWidth="1"/>
    <col min="10" max="10" width="23.85546875" bestFit="1" customWidth="1"/>
    <col min="11" max="11" width="18.28515625" bestFit="1" customWidth="1"/>
    <col min="12" max="12" width="13.7109375" bestFit="1" customWidth="1"/>
    <col min="13" max="13" width="12.28515625" bestFit="1" customWidth="1"/>
    <col min="14" max="14" width="15" bestFit="1" customWidth="1"/>
    <col min="15" max="15" width="15.5703125" bestFit="1" customWidth="1"/>
    <col min="16" max="16" width="9.7109375" bestFit="1" customWidth="1"/>
    <col min="17" max="17" width="13.42578125" bestFit="1" customWidth="1"/>
    <col min="18" max="18" width="10.7109375" bestFit="1" customWidth="1"/>
    <col min="19" max="19" width="10.28515625" bestFit="1" customWidth="1"/>
    <col min="20" max="20" width="13.85546875" bestFit="1" customWidth="1"/>
    <col min="21" max="21" width="10.7109375" bestFit="1" customWidth="1"/>
    <col min="22" max="22" width="11.5703125" bestFit="1" customWidth="1"/>
    <col min="23" max="23" width="12.42578125" bestFit="1" customWidth="1"/>
    <col min="24" max="24" width="11.85546875" bestFit="1" customWidth="1"/>
    <col min="25" max="25" width="11.28515625" bestFit="1" customWidth="1"/>
    <col min="26" max="26" width="9.5703125" bestFit="1" customWidth="1"/>
    <col min="27" max="27" width="12.42578125" bestFit="1" customWidth="1"/>
    <col min="28" max="28" width="49.42578125" bestFit="1" customWidth="1"/>
    <col min="29" max="29" width="10.28515625" bestFit="1" customWidth="1"/>
    <col min="30" max="30" width="18" bestFit="1" customWidth="1"/>
    <col min="31" max="31" width="13.85546875" bestFit="1" customWidth="1"/>
    <col min="32" max="32" width="14.28515625" bestFit="1" customWidth="1"/>
    <col min="33" max="33" width="38" bestFit="1" customWidth="1"/>
    <col min="34" max="34" width="8.85546875" bestFit="1" customWidth="1"/>
    <col min="35" max="35" width="14.42578125" bestFit="1" customWidth="1"/>
    <col min="36" max="37" width="81.140625" bestFit="1" customWidth="1"/>
    <col min="38" max="38" width="16.42578125" bestFit="1" customWidth="1"/>
    <col min="39" max="39" width="11" bestFit="1" customWidth="1"/>
    <col min="40" max="40" width="7.140625" bestFit="1" customWidth="1"/>
    <col min="41" max="41" width="18.7109375" bestFit="1" customWidth="1"/>
    <col min="42" max="42" width="11.5703125" bestFit="1" customWidth="1"/>
    <col min="43" max="43" width="13.42578125" bestFit="1" customWidth="1"/>
    <col min="44" max="44" width="81.140625" bestFit="1" customWidth="1"/>
    <col min="45" max="45" width="12.7109375" bestFit="1" customWidth="1"/>
    <col min="46" max="46" width="33.140625" bestFit="1" customWidth="1"/>
    <col min="47" max="47" width="14.85546875" bestFit="1" customWidth="1"/>
    <col min="48" max="48" width="38" bestFit="1" customWidth="1"/>
    <col min="49" max="49" width="12.7109375" bestFit="1" customWidth="1"/>
    <col min="50" max="50" width="11.42578125" bestFit="1" customWidth="1"/>
    <col min="51" max="59" width="5.140625" bestFit="1" customWidth="1"/>
    <col min="60" max="78" width="6.140625" bestFit="1" customWidth="1"/>
  </cols>
  <sheetData>
    <row r="1" spans="1:49" x14ac:dyDescent="0.25">
      <c r="A1" t="s">
        <v>621</v>
      </c>
      <c r="B1" t="s">
        <v>622</v>
      </c>
      <c r="C1" t="s">
        <v>623</v>
      </c>
      <c r="D1" t="s">
        <v>625</v>
      </c>
      <c r="E1" t="s">
        <v>626</v>
      </c>
      <c r="F1" t="s">
        <v>627</v>
      </c>
      <c r="G1" t="s">
        <v>629</v>
      </c>
      <c r="H1" t="s">
        <v>631</v>
      </c>
      <c r="I1" t="s">
        <v>635</v>
      </c>
      <c r="J1" t="s">
        <v>639</v>
      </c>
      <c r="K1" t="s">
        <v>640</v>
      </c>
      <c r="L1" t="s">
        <v>641</v>
      </c>
      <c r="M1" t="s">
        <v>642</v>
      </c>
      <c r="N1" t="s">
        <v>643</v>
      </c>
      <c r="O1" t="s">
        <v>644</v>
      </c>
      <c r="P1" t="s">
        <v>648</v>
      </c>
      <c r="Q1" t="s">
        <v>649</v>
      </c>
      <c r="R1" t="s">
        <v>651</v>
      </c>
      <c r="S1" t="s">
        <v>652</v>
      </c>
      <c r="T1" t="s">
        <v>654</v>
      </c>
      <c r="U1" t="s">
        <v>655</v>
      </c>
      <c r="V1" t="s">
        <v>657</v>
      </c>
      <c r="W1" t="s">
        <v>661</v>
      </c>
      <c r="X1" t="s">
        <v>663</v>
      </c>
      <c r="Y1" t="s">
        <v>327</v>
      </c>
      <c r="Z1" t="s">
        <v>664</v>
      </c>
      <c r="AA1" t="s">
        <v>668</v>
      </c>
      <c r="AB1" t="s">
        <v>338</v>
      </c>
      <c r="AC1" t="s">
        <v>670</v>
      </c>
      <c r="AD1" t="s">
        <v>729</v>
      </c>
      <c r="AE1" t="s">
        <v>673</v>
      </c>
      <c r="AF1" t="s">
        <v>674</v>
      </c>
      <c r="AG1" t="s">
        <v>675</v>
      </c>
      <c r="AH1" t="s">
        <v>676</v>
      </c>
      <c r="AI1" t="s">
        <v>678</v>
      </c>
      <c r="AJ1" t="s">
        <v>681</v>
      </c>
      <c r="AK1" t="s">
        <v>730</v>
      </c>
      <c r="AL1" t="s">
        <v>682</v>
      </c>
      <c r="AM1" t="s">
        <v>683</v>
      </c>
      <c r="AN1" t="s">
        <v>684</v>
      </c>
      <c r="AO1" t="s">
        <v>685</v>
      </c>
      <c r="AP1" t="s">
        <v>688</v>
      </c>
      <c r="AQ1" t="s">
        <v>689</v>
      </c>
      <c r="AR1" t="s">
        <v>690</v>
      </c>
      <c r="AS1" t="s">
        <v>691</v>
      </c>
      <c r="AT1" t="s">
        <v>692</v>
      </c>
      <c r="AU1" t="s">
        <v>693</v>
      </c>
      <c r="AV1" t="s">
        <v>339</v>
      </c>
      <c r="AW1" t="s">
        <v>694</v>
      </c>
    </row>
    <row r="2" spans="1:49" x14ac:dyDescent="0.25">
      <c r="A2" t="s">
        <v>554</v>
      </c>
      <c r="B2" t="s">
        <v>555</v>
      </c>
      <c r="C2" t="s">
        <v>695</v>
      </c>
      <c r="D2" t="s">
        <v>350</v>
      </c>
      <c r="E2" t="s">
        <v>695</v>
      </c>
      <c r="F2" t="s">
        <v>469</v>
      </c>
      <c r="G2" t="s">
        <v>695</v>
      </c>
      <c r="H2" t="s">
        <v>695</v>
      </c>
      <c r="J2" t="s">
        <v>556</v>
      </c>
      <c r="K2" t="s">
        <v>57</v>
      </c>
      <c r="L2" t="s">
        <v>695</v>
      </c>
      <c r="M2" t="s">
        <v>695</v>
      </c>
      <c r="N2" t="s">
        <v>695</v>
      </c>
      <c r="O2">
        <v>2015</v>
      </c>
      <c r="P2">
        <v>1</v>
      </c>
      <c r="Q2">
        <v>1</v>
      </c>
      <c r="S2" t="s">
        <v>695</v>
      </c>
      <c r="T2" t="s">
        <v>695</v>
      </c>
      <c r="U2" t="s">
        <v>695</v>
      </c>
      <c r="W2" t="s">
        <v>695</v>
      </c>
      <c r="X2" t="s">
        <v>695</v>
      </c>
      <c r="Y2" t="s">
        <v>11</v>
      </c>
      <c r="Z2" t="s">
        <v>557</v>
      </c>
      <c r="AA2" t="s">
        <v>695</v>
      </c>
      <c r="AB2" t="s">
        <v>86</v>
      </c>
      <c r="AC2" t="s">
        <v>734</v>
      </c>
      <c r="AD2" t="s">
        <v>558</v>
      </c>
      <c r="AE2" t="s">
        <v>695</v>
      </c>
      <c r="AF2" t="s">
        <v>695</v>
      </c>
      <c r="AG2" t="s">
        <v>559</v>
      </c>
      <c r="AI2" t="s">
        <v>695</v>
      </c>
      <c r="AJ2" t="s">
        <v>695</v>
      </c>
      <c r="AK2" t="s">
        <v>695</v>
      </c>
      <c r="AL2" t="s">
        <v>695</v>
      </c>
      <c r="AM2" t="s">
        <v>87</v>
      </c>
      <c r="AN2" t="s">
        <v>58</v>
      </c>
      <c r="AO2" t="s">
        <v>554</v>
      </c>
      <c r="AP2" t="s">
        <v>695</v>
      </c>
      <c r="AQ2" t="s">
        <v>695</v>
      </c>
      <c r="AR2" t="s">
        <v>695</v>
      </c>
      <c r="AT2" t="s">
        <v>26</v>
      </c>
      <c r="AU2" t="s">
        <v>26</v>
      </c>
      <c r="AV2" t="s">
        <v>88</v>
      </c>
      <c r="AW2" t="s">
        <v>695</v>
      </c>
    </row>
    <row r="3" spans="1:49" x14ac:dyDescent="0.25">
      <c r="A3" t="s">
        <v>560</v>
      </c>
      <c r="B3" t="s">
        <v>561</v>
      </c>
      <c r="C3" t="s">
        <v>695</v>
      </c>
      <c r="D3" t="s">
        <v>350</v>
      </c>
      <c r="E3" t="s">
        <v>695</v>
      </c>
      <c r="F3" t="s">
        <v>469</v>
      </c>
      <c r="G3" t="s">
        <v>695</v>
      </c>
      <c r="H3" t="s">
        <v>695</v>
      </c>
      <c r="I3">
        <v>3</v>
      </c>
      <c r="J3" t="s">
        <v>562</v>
      </c>
      <c r="K3" t="s">
        <v>112</v>
      </c>
      <c r="L3" t="s">
        <v>695</v>
      </c>
      <c r="M3" t="s">
        <v>695</v>
      </c>
      <c r="N3" t="s">
        <v>695</v>
      </c>
      <c r="O3">
        <v>2015</v>
      </c>
      <c r="P3">
        <v>0</v>
      </c>
      <c r="Q3">
        <v>1</v>
      </c>
      <c r="S3" t="s">
        <v>695</v>
      </c>
      <c r="T3" t="s">
        <v>695</v>
      </c>
      <c r="U3" t="s">
        <v>695</v>
      </c>
      <c r="W3" t="s">
        <v>695</v>
      </c>
      <c r="X3" t="s">
        <v>695</v>
      </c>
      <c r="Y3" t="s">
        <v>11</v>
      </c>
      <c r="Z3" t="s">
        <v>557</v>
      </c>
      <c r="AA3" t="s">
        <v>695</v>
      </c>
      <c r="AB3" t="s">
        <v>170</v>
      </c>
      <c r="AC3" t="s">
        <v>735</v>
      </c>
      <c r="AD3" t="s">
        <v>695</v>
      </c>
      <c r="AE3" t="s">
        <v>695</v>
      </c>
      <c r="AF3" t="s">
        <v>695</v>
      </c>
      <c r="AG3" t="s">
        <v>563</v>
      </c>
      <c r="AI3" t="s">
        <v>695</v>
      </c>
      <c r="AJ3" t="s">
        <v>695</v>
      </c>
      <c r="AK3" t="s">
        <v>695</v>
      </c>
      <c r="AL3" t="s">
        <v>695</v>
      </c>
      <c r="AM3" t="s">
        <v>171</v>
      </c>
      <c r="AN3" t="s">
        <v>58</v>
      </c>
      <c r="AO3" t="s">
        <v>560</v>
      </c>
      <c r="AP3" t="s">
        <v>695</v>
      </c>
      <c r="AQ3" t="s">
        <v>695</v>
      </c>
      <c r="AR3" t="s">
        <v>695</v>
      </c>
      <c r="AT3" t="s">
        <v>26</v>
      </c>
      <c r="AU3" t="s">
        <v>26</v>
      </c>
      <c r="AV3" t="s">
        <v>172</v>
      </c>
      <c r="AW3" t="s">
        <v>695</v>
      </c>
    </row>
    <row r="4" spans="1:49" x14ac:dyDescent="0.25">
      <c r="A4" t="s">
        <v>564</v>
      </c>
      <c r="B4" t="s">
        <v>565</v>
      </c>
      <c r="C4" t="s">
        <v>695</v>
      </c>
      <c r="D4" t="s">
        <v>350</v>
      </c>
      <c r="E4" t="s">
        <v>695</v>
      </c>
      <c r="F4" t="s">
        <v>344</v>
      </c>
      <c r="G4" t="s">
        <v>695</v>
      </c>
      <c r="H4" t="s">
        <v>695</v>
      </c>
      <c r="J4" t="s">
        <v>695</v>
      </c>
      <c r="K4" t="s">
        <v>13</v>
      </c>
      <c r="L4" t="s">
        <v>695</v>
      </c>
      <c r="M4" t="s">
        <v>695</v>
      </c>
      <c r="N4" t="s">
        <v>695</v>
      </c>
      <c r="O4">
        <v>2015</v>
      </c>
      <c r="P4">
        <v>0</v>
      </c>
      <c r="Q4">
        <v>1</v>
      </c>
      <c r="S4" t="s">
        <v>695</v>
      </c>
      <c r="T4" t="s">
        <v>695</v>
      </c>
      <c r="U4" t="s">
        <v>695</v>
      </c>
      <c r="W4" t="s">
        <v>695</v>
      </c>
      <c r="X4" t="s">
        <v>695</v>
      </c>
      <c r="Y4" t="s">
        <v>11</v>
      </c>
      <c r="Z4" t="s">
        <v>552</v>
      </c>
      <c r="AA4" t="s">
        <v>695</v>
      </c>
      <c r="AB4" t="s">
        <v>24</v>
      </c>
      <c r="AC4" t="s">
        <v>736</v>
      </c>
      <c r="AD4" t="s">
        <v>695</v>
      </c>
      <c r="AE4" t="s">
        <v>695</v>
      </c>
      <c r="AF4" t="s">
        <v>695</v>
      </c>
      <c r="AG4" t="s">
        <v>695</v>
      </c>
      <c r="AI4" t="s">
        <v>695</v>
      </c>
      <c r="AJ4" t="s">
        <v>695</v>
      </c>
      <c r="AK4" t="s">
        <v>695</v>
      </c>
      <c r="AL4" t="s">
        <v>695</v>
      </c>
      <c r="AM4" t="s">
        <v>25</v>
      </c>
      <c r="AN4" t="s">
        <v>695</v>
      </c>
      <c r="AO4" t="s">
        <v>695</v>
      </c>
      <c r="AP4" t="s">
        <v>695</v>
      </c>
      <c r="AQ4" t="s">
        <v>695</v>
      </c>
      <c r="AR4" t="s">
        <v>27</v>
      </c>
      <c r="AT4" t="s">
        <v>26</v>
      </c>
      <c r="AU4" t="s">
        <v>26</v>
      </c>
      <c r="AV4" t="s">
        <v>28</v>
      </c>
      <c r="AW4" t="s">
        <v>695</v>
      </c>
    </row>
    <row r="5" spans="1:49" x14ac:dyDescent="0.25">
      <c r="A5" t="s">
        <v>566</v>
      </c>
      <c r="B5" t="s">
        <v>567</v>
      </c>
      <c r="C5" t="s">
        <v>695</v>
      </c>
      <c r="D5" t="s">
        <v>350</v>
      </c>
      <c r="E5" t="s">
        <v>695</v>
      </c>
      <c r="F5" t="s">
        <v>469</v>
      </c>
      <c r="G5" t="s">
        <v>695</v>
      </c>
      <c r="H5" t="s">
        <v>695</v>
      </c>
      <c r="I5">
        <v>26</v>
      </c>
      <c r="J5" t="s">
        <v>568</v>
      </c>
      <c r="K5" t="s">
        <v>57</v>
      </c>
      <c r="L5" t="s">
        <v>695</v>
      </c>
      <c r="M5" t="s">
        <v>695</v>
      </c>
      <c r="N5" t="s">
        <v>695</v>
      </c>
      <c r="O5">
        <v>2015</v>
      </c>
      <c r="P5">
        <v>1</v>
      </c>
      <c r="Q5">
        <v>1</v>
      </c>
      <c r="S5" t="s">
        <v>695</v>
      </c>
      <c r="T5" t="s">
        <v>695</v>
      </c>
      <c r="U5" t="s">
        <v>695</v>
      </c>
      <c r="W5" t="s">
        <v>695</v>
      </c>
      <c r="X5" t="s">
        <v>695</v>
      </c>
      <c r="Y5" t="s">
        <v>11</v>
      </c>
      <c r="Z5" t="s">
        <v>557</v>
      </c>
      <c r="AA5" t="s">
        <v>695</v>
      </c>
      <c r="AB5" t="s">
        <v>113</v>
      </c>
      <c r="AC5" t="s">
        <v>746</v>
      </c>
      <c r="AD5" t="s">
        <v>558</v>
      </c>
      <c r="AE5" t="s">
        <v>695</v>
      </c>
      <c r="AF5" t="s">
        <v>695</v>
      </c>
      <c r="AG5" t="s">
        <v>569</v>
      </c>
      <c r="AI5" t="s">
        <v>695</v>
      </c>
      <c r="AJ5" t="s">
        <v>695</v>
      </c>
      <c r="AK5" t="s">
        <v>695</v>
      </c>
      <c r="AL5" t="s">
        <v>695</v>
      </c>
      <c r="AM5" t="s">
        <v>114</v>
      </c>
      <c r="AN5" t="s">
        <v>58</v>
      </c>
      <c r="AO5" t="s">
        <v>566</v>
      </c>
      <c r="AP5" t="s">
        <v>695</v>
      </c>
      <c r="AQ5" t="s">
        <v>695</v>
      </c>
      <c r="AR5" t="s">
        <v>695</v>
      </c>
      <c r="AT5" t="s">
        <v>26</v>
      </c>
      <c r="AU5" t="s">
        <v>26</v>
      </c>
      <c r="AV5" t="s">
        <v>115</v>
      </c>
      <c r="AW5" t="s">
        <v>695</v>
      </c>
    </row>
    <row r="6" spans="1:49" x14ac:dyDescent="0.25">
      <c r="A6" t="s">
        <v>574</v>
      </c>
      <c r="B6" t="s">
        <v>575</v>
      </c>
      <c r="C6" t="s">
        <v>695</v>
      </c>
      <c r="D6" t="s">
        <v>350</v>
      </c>
      <c r="E6" t="s">
        <v>695</v>
      </c>
      <c r="F6" t="s">
        <v>469</v>
      </c>
      <c r="G6" t="s">
        <v>695</v>
      </c>
      <c r="H6" t="s">
        <v>695</v>
      </c>
      <c r="I6">
        <v>10</v>
      </c>
      <c r="J6" t="s">
        <v>576</v>
      </c>
      <c r="K6" t="s">
        <v>57</v>
      </c>
      <c r="L6" t="s">
        <v>695</v>
      </c>
      <c r="M6" t="s">
        <v>695</v>
      </c>
      <c r="N6" t="s">
        <v>695</v>
      </c>
      <c r="O6">
        <v>2015</v>
      </c>
      <c r="P6">
        <v>1</v>
      </c>
      <c r="Q6">
        <v>1</v>
      </c>
      <c r="S6" t="s">
        <v>695</v>
      </c>
      <c r="T6" t="s">
        <v>695</v>
      </c>
      <c r="U6" t="s">
        <v>695</v>
      </c>
      <c r="W6" t="s">
        <v>695</v>
      </c>
      <c r="X6" t="s">
        <v>695</v>
      </c>
      <c r="Y6" t="s">
        <v>11</v>
      </c>
      <c r="Z6" t="s">
        <v>557</v>
      </c>
      <c r="AA6" t="s">
        <v>695</v>
      </c>
      <c r="AB6" t="s">
        <v>107</v>
      </c>
      <c r="AC6" t="s">
        <v>746</v>
      </c>
      <c r="AD6" t="s">
        <v>558</v>
      </c>
      <c r="AE6" t="s">
        <v>695</v>
      </c>
      <c r="AF6" t="s">
        <v>695</v>
      </c>
      <c r="AG6" t="s">
        <v>577</v>
      </c>
      <c r="AI6" t="s">
        <v>695</v>
      </c>
      <c r="AJ6" t="s">
        <v>695</v>
      </c>
      <c r="AK6" t="s">
        <v>695</v>
      </c>
      <c r="AL6" t="s">
        <v>695</v>
      </c>
      <c r="AM6" t="s">
        <v>108</v>
      </c>
      <c r="AN6" t="s">
        <v>58</v>
      </c>
      <c r="AO6" t="s">
        <v>574</v>
      </c>
      <c r="AP6" t="s">
        <v>695</v>
      </c>
      <c r="AQ6" t="s">
        <v>695</v>
      </c>
      <c r="AR6" t="s">
        <v>695</v>
      </c>
      <c r="AT6" t="s">
        <v>26</v>
      </c>
      <c r="AU6" t="s">
        <v>26</v>
      </c>
      <c r="AV6" t="s">
        <v>109</v>
      </c>
      <c r="AW6" t="s">
        <v>695</v>
      </c>
    </row>
    <row r="7" spans="1:49" x14ac:dyDescent="0.25">
      <c r="A7" t="s">
        <v>413</v>
      </c>
      <c r="B7" t="s">
        <v>414</v>
      </c>
      <c r="C7" t="s">
        <v>695</v>
      </c>
      <c r="D7" t="s">
        <v>350</v>
      </c>
      <c r="E7" t="s">
        <v>695</v>
      </c>
      <c r="F7" t="s">
        <v>469</v>
      </c>
      <c r="G7" t="s">
        <v>695</v>
      </c>
      <c r="H7" t="s">
        <v>695</v>
      </c>
      <c r="I7">
        <v>64</v>
      </c>
      <c r="J7" t="s">
        <v>580</v>
      </c>
      <c r="K7" t="s">
        <v>112</v>
      </c>
      <c r="L7" t="s">
        <v>695</v>
      </c>
      <c r="M7" t="s">
        <v>695</v>
      </c>
      <c r="N7" t="s">
        <v>695</v>
      </c>
      <c r="O7">
        <v>2015</v>
      </c>
      <c r="P7">
        <v>0</v>
      </c>
      <c r="Q7">
        <v>1</v>
      </c>
      <c r="S7" t="s">
        <v>695</v>
      </c>
      <c r="T7" t="s">
        <v>695</v>
      </c>
      <c r="U7" t="s">
        <v>695</v>
      </c>
      <c r="W7" t="s">
        <v>695</v>
      </c>
      <c r="X7" t="s">
        <v>695</v>
      </c>
      <c r="Y7" t="s">
        <v>11</v>
      </c>
      <c r="Z7" t="s">
        <v>557</v>
      </c>
      <c r="AA7" t="s">
        <v>695</v>
      </c>
      <c r="AB7" t="s">
        <v>173</v>
      </c>
      <c r="AC7" t="s">
        <v>727</v>
      </c>
      <c r="AD7" t="s">
        <v>695</v>
      </c>
      <c r="AE7" t="s">
        <v>695</v>
      </c>
      <c r="AF7" t="s">
        <v>695</v>
      </c>
      <c r="AG7" t="s">
        <v>581</v>
      </c>
      <c r="AI7" t="s">
        <v>695</v>
      </c>
      <c r="AJ7" t="s">
        <v>695</v>
      </c>
      <c r="AK7" t="s">
        <v>695</v>
      </c>
      <c r="AL7" t="s">
        <v>695</v>
      </c>
      <c r="AM7" t="s">
        <v>171</v>
      </c>
      <c r="AN7" t="s">
        <v>58</v>
      </c>
      <c r="AO7" t="s">
        <v>413</v>
      </c>
      <c r="AP7" t="s">
        <v>695</v>
      </c>
      <c r="AQ7" t="s">
        <v>695</v>
      </c>
      <c r="AR7" t="s">
        <v>695</v>
      </c>
      <c r="AT7" t="s">
        <v>26</v>
      </c>
      <c r="AU7" t="s">
        <v>26</v>
      </c>
      <c r="AV7" t="s">
        <v>174</v>
      </c>
      <c r="AW7" t="s">
        <v>695</v>
      </c>
    </row>
    <row r="8" spans="1:49" x14ac:dyDescent="0.25">
      <c r="A8" t="s">
        <v>582</v>
      </c>
      <c r="B8" t="s">
        <v>583</v>
      </c>
      <c r="C8" t="s">
        <v>695</v>
      </c>
      <c r="D8" t="s">
        <v>350</v>
      </c>
      <c r="E8" t="s">
        <v>695</v>
      </c>
      <c r="F8" t="s">
        <v>469</v>
      </c>
      <c r="G8" t="s">
        <v>695</v>
      </c>
      <c r="H8" t="s">
        <v>695</v>
      </c>
      <c r="I8">
        <v>79</v>
      </c>
      <c r="J8" t="s">
        <v>584</v>
      </c>
      <c r="K8" t="s">
        <v>57</v>
      </c>
      <c r="L8" t="s">
        <v>695</v>
      </c>
      <c r="M8" t="s">
        <v>695</v>
      </c>
      <c r="N8" t="s">
        <v>695</v>
      </c>
      <c r="O8">
        <v>2015</v>
      </c>
      <c r="P8">
        <v>1</v>
      </c>
      <c r="Q8">
        <v>1</v>
      </c>
      <c r="S8" t="s">
        <v>695</v>
      </c>
      <c r="T8" t="s">
        <v>695</v>
      </c>
      <c r="U8" t="s">
        <v>695</v>
      </c>
      <c r="W8" t="s">
        <v>695</v>
      </c>
      <c r="X8" t="s">
        <v>695</v>
      </c>
      <c r="Y8" t="s">
        <v>11</v>
      </c>
      <c r="Z8" t="s">
        <v>557</v>
      </c>
      <c r="AA8" t="s">
        <v>695</v>
      </c>
      <c r="AB8" t="s">
        <v>80</v>
      </c>
      <c r="AC8" t="s">
        <v>747</v>
      </c>
      <c r="AD8" t="s">
        <v>558</v>
      </c>
      <c r="AE8" t="s">
        <v>695</v>
      </c>
      <c r="AF8" t="s">
        <v>695</v>
      </c>
      <c r="AG8" t="s">
        <v>585</v>
      </c>
      <c r="AI8" t="s">
        <v>695</v>
      </c>
      <c r="AJ8" t="s">
        <v>695</v>
      </c>
      <c r="AK8" t="s">
        <v>695</v>
      </c>
      <c r="AL8" t="s">
        <v>695</v>
      </c>
      <c r="AM8" t="s">
        <v>81</v>
      </c>
      <c r="AN8" t="s">
        <v>58</v>
      </c>
      <c r="AO8" t="s">
        <v>582</v>
      </c>
      <c r="AP8" t="s">
        <v>695</v>
      </c>
      <c r="AQ8" t="s">
        <v>695</v>
      </c>
      <c r="AR8" t="s">
        <v>695</v>
      </c>
      <c r="AT8" t="s">
        <v>26</v>
      </c>
      <c r="AU8" t="s">
        <v>26</v>
      </c>
      <c r="AV8" t="s">
        <v>82</v>
      </c>
      <c r="AW8" t="s">
        <v>695</v>
      </c>
    </row>
    <row r="9" spans="1:49" x14ac:dyDescent="0.25">
      <c r="A9" t="s">
        <v>586</v>
      </c>
      <c r="B9" t="s">
        <v>587</v>
      </c>
      <c r="C9" t="s">
        <v>695</v>
      </c>
      <c r="D9" t="s">
        <v>350</v>
      </c>
      <c r="E9" t="s">
        <v>695</v>
      </c>
      <c r="F9" t="s">
        <v>469</v>
      </c>
      <c r="G9" t="s">
        <v>695</v>
      </c>
      <c r="H9" t="s">
        <v>695</v>
      </c>
      <c r="I9">
        <v>9</v>
      </c>
      <c r="J9" t="s">
        <v>588</v>
      </c>
      <c r="K9" t="s">
        <v>112</v>
      </c>
      <c r="L9" t="s">
        <v>695</v>
      </c>
      <c r="M9" t="s">
        <v>695</v>
      </c>
      <c r="N9" t="s">
        <v>695</v>
      </c>
      <c r="O9">
        <v>2015</v>
      </c>
      <c r="P9">
        <v>0</v>
      </c>
      <c r="Q9">
        <v>1</v>
      </c>
      <c r="S9" t="s">
        <v>695</v>
      </c>
      <c r="T9" t="s">
        <v>695</v>
      </c>
      <c r="U9" t="s">
        <v>695</v>
      </c>
      <c r="W9" t="s">
        <v>695</v>
      </c>
      <c r="X9" t="s">
        <v>695</v>
      </c>
      <c r="Y9" t="s">
        <v>11</v>
      </c>
      <c r="Z9" t="s">
        <v>557</v>
      </c>
      <c r="AA9" t="s">
        <v>695</v>
      </c>
      <c r="AB9" t="s">
        <v>110</v>
      </c>
      <c r="AC9" t="s">
        <v>589</v>
      </c>
      <c r="AD9" t="s">
        <v>590</v>
      </c>
      <c r="AE9" t="s">
        <v>695</v>
      </c>
      <c r="AF9" t="s">
        <v>695</v>
      </c>
      <c r="AG9" t="s">
        <v>591</v>
      </c>
      <c r="AI9" t="s">
        <v>592</v>
      </c>
      <c r="AJ9" t="s">
        <v>695</v>
      </c>
      <c r="AK9" t="s">
        <v>695</v>
      </c>
      <c r="AL9" t="s">
        <v>695</v>
      </c>
      <c r="AM9" t="s">
        <v>108</v>
      </c>
      <c r="AN9" t="s">
        <v>58</v>
      </c>
      <c r="AO9" t="s">
        <v>586</v>
      </c>
      <c r="AP9" t="s">
        <v>695</v>
      </c>
      <c r="AQ9" t="s">
        <v>695</v>
      </c>
      <c r="AR9" t="s">
        <v>695</v>
      </c>
      <c r="AT9" t="s">
        <v>26</v>
      </c>
      <c r="AU9" t="s">
        <v>26</v>
      </c>
      <c r="AV9" t="s">
        <v>111</v>
      </c>
      <c r="AW9" t="s">
        <v>695</v>
      </c>
    </row>
    <row r="10" spans="1:49" x14ac:dyDescent="0.25">
      <c r="A10" t="s">
        <v>593</v>
      </c>
      <c r="B10" t="s">
        <v>594</v>
      </c>
      <c r="C10" t="s">
        <v>695</v>
      </c>
      <c r="D10" t="s">
        <v>350</v>
      </c>
      <c r="E10" t="s">
        <v>695</v>
      </c>
      <c r="F10" t="s">
        <v>469</v>
      </c>
      <c r="G10" t="s">
        <v>695</v>
      </c>
      <c r="H10" t="s">
        <v>695</v>
      </c>
      <c r="I10">
        <v>21</v>
      </c>
      <c r="J10" t="s">
        <v>595</v>
      </c>
      <c r="K10" t="s">
        <v>57</v>
      </c>
      <c r="L10" t="s">
        <v>695</v>
      </c>
      <c r="M10" t="s">
        <v>695</v>
      </c>
      <c r="N10" t="s">
        <v>695</v>
      </c>
      <c r="O10">
        <v>2015</v>
      </c>
      <c r="P10">
        <v>1</v>
      </c>
      <c r="Q10">
        <v>1</v>
      </c>
      <c r="S10" t="s">
        <v>695</v>
      </c>
      <c r="T10" t="s">
        <v>695</v>
      </c>
      <c r="U10" t="s">
        <v>695</v>
      </c>
      <c r="W10" t="s">
        <v>695</v>
      </c>
      <c r="X10" t="s">
        <v>695</v>
      </c>
      <c r="Y10" t="s">
        <v>11</v>
      </c>
      <c r="Z10" t="s">
        <v>557</v>
      </c>
      <c r="AA10" t="s">
        <v>695</v>
      </c>
      <c r="AB10" t="s">
        <v>54</v>
      </c>
      <c r="AC10" t="s">
        <v>751</v>
      </c>
      <c r="AD10" t="s">
        <v>695</v>
      </c>
      <c r="AE10" t="s">
        <v>695</v>
      </c>
      <c r="AF10" t="s">
        <v>695</v>
      </c>
      <c r="AG10" t="s">
        <v>596</v>
      </c>
      <c r="AI10" t="s">
        <v>592</v>
      </c>
      <c r="AJ10" t="s">
        <v>695</v>
      </c>
      <c r="AK10" t="s">
        <v>695</v>
      </c>
      <c r="AL10" t="s">
        <v>695</v>
      </c>
      <c r="AM10" t="s">
        <v>55</v>
      </c>
      <c r="AN10" t="s">
        <v>58</v>
      </c>
      <c r="AO10" t="s">
        <v>593</v>
      </c>
      <c r="AP10" t="s">
        <v>695</v>
      </c>
      <c r="AQ10" t="s">
        <v>695</v>
      </c>
      <c r="AR10" t="s">
        <v>695</v>
      </c>
      <c r="AT10" t="s">
        <v>26</v>
      </c>
      <c r="AU10" t="s">
        <v>26</v>
      </c>
      <c r="AV10" t="s">
        <v>56</v>
      </c>
      <c r="AW10" t="s">
        <v>695</v>
      </c>
    </row>
    <row r="11" spans="1:49" x14ac:dyDescent="0.25">
      <c r="A11" t="s">
        <v>695</v>
      </c>
      <c r="B11" t="s">
        <v>695</v>
      </c>
      <c r="C11" t="s">
        <v>695</v>
      </c>
      <c r="D11" t="s">
        <v>350</v>
      </c>
      <c r="E11" t="s">
        <v>695</v>
      </c>
      <c r="F11" t="s">
        <v>469</v>
      </c>
      <c r="G11" t="s">
        <v>695</v>
      </c>
      <c r="H11" t="s">
        <v>695</v>
      </c>
      <c r="I11">
        <v>37</v>
      </c>
      <c r="J11" t="s">
        <v>752</v>
      </c>
      <c r="K11" t="s">
        <v>57</v>
      </c>
      <c r="L11" t="s">
        <v>695</v>
      </c>
      <c r="M11" t="s">
        <v>695</v>
      </c>
      <c r="N11" t="s">
        <v>695</v>
      </c>
      <c r="O11">
        <v>2015</v>
      </c>
      <c r="P11">
        <v>1</v>
      </c>
      <c r="Q11">
        <v>1</v>
      </c>
      <c r="S11" t="s">
        <v>695</v>
      </c>
      <c r="T11" t="s">
        <v>695</v>
      </c>
      <c r="U11" t="s">
        <v>695</v>
      </c>
      <c r="W11" t="s">
        <v>695</v>
      </c>
      <c r="X11" t="s">
        <v>695</v>
      </c>
      <c r="Y11" t="s">
        <v>11</v>
      </c>
      <c r="Z11" t="s">
        <v>557</v>
      </c>
      <c r="AA11" t="s">
        <v>695</v>
      </c>
      <c r="AB11" t="s">
        <v>753</v>
      </c>
      <c r="AC11" t="s">
        <v>754</v>
      </c>
      <c r="AD11" t="s">
        <v>695</v>
      </c>
      <c r="AE11" t="s">
        <v>695</v>
      </c>
      <c r="AF11" t="s">
        <v>695</v>
      </c>
      <c r="AG11" t="s">
        <v>755</v>
      </c>
      <c r="AI11" t="s">
        <v>695</v>
      </c>
      <c r="AJ11" t="s">
        <v>695</v>
      </c>
      <c r="AK11" t="s">
        <v>695</v>
      </c>
      <c r="AL11" t="s">
        <v>695</v>
      </c>
      <c r="AM11" t="s">
        <v>756</v>
      </c>
      <c r="AN11" t="s">
        <v>58</v>
      </c>
      <c r="AO11" t="s">
        <v>695</v>
      </c>
      <c r="AP11" t="s">
        <v>695</v>
      </c>
      <c r="AQ11" t="s">
        <v>695</v>
      </c>
      <c r="AR11" t="s">
        <v>695</v>
      </c>
      <c r="AT11" t="s">
        <v>26</v>
      </c>
      <c r="AU11" t="s">
        <v>26</v>
      </c>
      <c r="AV11" t="s">
        <v>757</v>
      </c>
      <c r="AW11" t="s">
        <v>695</v>
      </c>
    </row>
    <row r="12" spans="1:49" x14ac:dyDescent="0.25">
      <c r="A12" t="s">
        <v>597</v>
      </c>
      <c r="B12" t="s">
        <v>598</v>
      </c>
      <c r="C12" t="s">
        <v>695</v>
      </c>
      <c r="D12" t="s">
        <v>350</v>
      </c>
      <c r="E12" t="s">
        <v>695</v>
      </c>
      <c r="F12" t="s">
        <v>469</v>
      </c>
      <c r="G12" t="s">
        <v>695</v>
      </c>
      <c r="H12" t="s">
        <v>695</v>
      </c>
      <c r="I12">
        <v>14</v>
      </c>
      <c r="J12" t="s">
        <v>599</v>
      </c>
      <c r="K12" t="s">
        <v>112</v>
      </c>
      <c r="L12" t="s">
        <v>695</v>
      </c>
      <c r="M12" t="s">
        <v>695</v>
      </c>
      <c r="N12" t="s">
        <v>695</v>
      </c>
      <c r="O12">
        <v>2015</v>
      </c>
      <c r="P12">
        <v>0</v>
      </c>
      <c r="Q12">
        <v>1</v>
      </c>
      <c r="S12" t="s">
        <v>695</v>
      </c>
      <c r="T12" t="s">
        <v>695</v>
      </c>
      <c r="U12" t="s">
        <v>695</v>
      </c>
      <c r="W12" t="s">
        <v>695</v>
      </c>
      <c r="X12" t="s">
        <v>695</v>
      </c>
      <c r="Y12" t="s">
        <v>11</v>
      </c>
      <c r="Z12" t="s">
        <v>557</v>
      </c>
      <c r="AA12" t="s">
        <v>695</v>
      </c>
      <c r="AB12" t="s">
        <v>175</v>
      </c>
      <c r="AC12" t="s">
        <v>748</v>
      </c>
      <c r="AD12" t="s">
        <v>695</v>
      </c>
      <c r="AE12" t="s">
        <v>695</v>
      </c>
      <c r="AF12" t="s">
        <v>695</v>
      </c>
      <c r="AG12" t="s">
        <v>600</v>
      </c>
      <c r="AI12" t="s">
        <v>695</v>
      </c>
      <c r="AJ12" t="s">
        <v>695</v>
      </c>
      <c r="AK12" t="s">
        <v>695</v>
      </c>
      <c r="AL12" t="s">
        <v>695</v>
      </c>
      <c r="AM12" t="s">
        <v>171</v>
      </c>
      <c r="AN12" t="s">
        <v>58</v>
      </c>
      <c r="AO12" t="s">
        <v>597</v>
      </c>
      <c r="AP12" t="s">
        <v>695</v>
      </c>
      <c r="AQ12" t="s">
        <v>695</v>
      </c>
      <c r="AR12" t="s">
        <v>695</v>
      </c>
      <c r="AT12" t="s">
        <v>26</v>
      </c>
      <c r="AU12" t="s">
        <v>26</v>
      </c>
      <c r="AV12" t="s">
        <v>176</v>
      </c>
      <c r="AW12" t="s">
        <v>695</v>
      </c>
    </row>
    <row r="13" spans="1:49" x14ac:dyDescent="0.25">
      <c r="A13" t="s">
        <v>695</v>
      </c>
      <c r="B13" t="s">
        <v>695</v>
      </c>
      <c r="C13" t="s">
        <v>695</v>
      </c>
      <c r="D13" t="s">
        <v>350</v>
      </c>
      <c r="E13" t="s">
        <v>695</v>
      </c>
      <c r="F13" t="s">
        <v>469</v>
      </c>
      <c r="G13" t="s">
        <v>695</v>
      </c>
      <c r="H13" t="s">
        <v>695</v>
      </c>
      <c r="I13">
        <v>64</v>
      </c>
      <c r="J13" t="s">
        <v>761</v>
      </c>
      <c r="K13" t="s">
        <v>57</v>
      </c>
      <c r="L13" t="s">
        <v>695</v>
      </c>
      <c r="M13" t="s">
        <v>695</v>
      </c>
      <c r="N13" t="s">
        <v>695</v>
      </c>
      <c r="O13">
        <v>2015</v>
      </c>
      <c r="P13">
        <v>1</v>
      </c>
      <c r="Q13">
        <v>1</v>
      </c>
      <c r="S13" t="s">
        <v>695</v>
      </c>
      <c r="T13" t="s">
        <v>695</v>
      </c>
      <c r="U13" t="s">
        <v>695</v>
      </c>
      <c r="W13" t="s">
        <v>695</v>
      </c>
      <c r="X13" t="s">
        <v>695</v>
      </c>
      <c r="Y13" t="s">
        <v>11</v>
      </c>
      <c r="Z13" t="s">
        <v>557</v>
      </c>
      <c r="AA13" t="s">
        <v>695</v>
      </c>
      <c r="AB13" t="s">
        <v>762</v>
      </c>
      <c r="AC13" t="s">
        <v>763</v>
      </c>
      <c r="AD13" t="s">
        <v>695</v>
      </c>
      <c r="AE13" t="s">
        <v>695</v>
      </c>
      <c r="AF13" t="s">
        <v>695</v>
      </c>
      <c r="AG13" t="s">
        <v>764</v>
      </c>
      <c r="AI13" t="s">
        <v>592</v>
      </c>
      <c r="AJ13" t="s">
        <v>695</v>
      </c>
      <c r="AK13" t="s">
        <v>695</v>
      </c>
      <c r="AL13" t="s">
        <v>695</v>
      </c>
      <c r="AM13" t="s">
        <v>765</v>
      </c>
      <c r="AN13" t="s">
        <v>58</v>
      </c>
      <c r="AO13" t="s">
        <v>695</v>
      </c>
      <c r="AP13" t="s">
        <v>695</v>
      </c>
      <c r="AQ13" t="s">
        <v>695</v>
      </c>
      <c r="AR13" t="s">
        <v>695</v>
      </c>
      <c r="AT13" t="s">
        <v>26</v>
      </c>
      <c r="AU13" t="s">
        <v>26</v>
      </c>
      <c r="AV13" t="s">
        <v>766</v>
      </c>
      <c r="AW13" t="s">
        <v>695</v>
      </c>
    </row>
    <row r="14" spans="1:49" x14ac:dyDescent="0.25">
      <c r="A14" t="s">
        <v>612</v>
      </c>
      <c r="B14" t="s">
        <v>613</v>
      </c>
      <c r="C14" t="s">
        <v>695</v>
      </c>
      <c r="D14" t="s">
        <v>350</v>
      </c>
      <c r="E14" t="s">
        <v>695</v>
      </c>
      <c r="F14" t="s">
        <v>469</v>
      </c>
      <c r="G14" t="s">
        <v>695</v>
      </c>
      <c r="H14" t="s">
        <v>695</v>
      </c>
      <c r="I14">
        <v>5</v>
      </c>
      <c r="J14" t="s">
        <v>614</v>
      </c>
      <c r="K14" t="s">
        <v>57</v>
      </c>
      <c r="L14" t="s">
        <v>695</v>
      </c>
      <c r="M14" t="s">
        <v>695</v>
      </c>
      <c r="N14" t="s">
        <v>695</v>
      </c>
      <c r="O14">
        <v>2015</v>
      </c>
      <c r="P14">
        <v>1</v>
      </c>
      <c r="Q14">
        <v>1</v>
      </c>
      <c r="S14" t="s">
        <v>695</v>
      </c>
      <c r="T14" t="s">
        <v>695</v>
      </c>
      <c r="U14" t="s">
        <v>695</v>
      </c>
      <c r="W14" t="s">
        <v>695</v>
      </c>
      <c r="X14" t="s">
        <v>695</v>
      </c>
      <c r="Y14" t="s">
        <v>11</v>
      </c>
      <c r="Z14" t="s">
        <v>557</v>
      </c>
      <c r="AA14" t="s">
        <v>695</v>
      </c>
      <c r="AB14" t="s">
        <v>83</v>
      </c>
      <c r="AC14" t="s">
        <v>767</v>
      </c>
      <c r="AD14" t="s">
        <v>615</v>
      </c>
      <c r="AE14" t="s">
        <v>695</v>
      </c>
      <c r="AF14" t="s">
        <v>695</v>
      </c>
      <c r="AG14" t="s">
        <v>616</v>
      </c>
      <c r="AI14" t="s">
        <v>695</v>
      </c>
      <c r="AJ14" t="s">
        <v>695</v>
      </c>
      <c r="AK14" t="s">
        <v>695</v>
      </c>
      <c r="AL14" t="s">
        <v>695</v>
      </c>
      <c r="AM14" t="s">
        <v>84</v>
      </c>
      <c r="AN14" t="s">
        <v>58</v>
      </c>
      <c r="AO14" t="s">
        <v>612</v>
      </c>
      <c r="AP14" t="s">
        <v>695</v>
      </c>
      <c r="AQ14" t="s">
        <v>695</v>
      </c>
      <c r="AR14" t="s">
        <v>695</v>
      </c>
      <c r="AT14" t="s">
        <v>26</v>
      </c>
      <c r="AU14" t="s">
        <v>26</v>
      </c>
      <c r="AV14" t="s">
        <v>85</v>
      </c>
      <c r="AW14" t="s">
        <v>695</v>
      </c>
    </row>
    <row r="15" spans="1:49" x14ac:dyDescent="0.25">
      <c r="A15" t="s">
        <v>617</v>
      </c>
      <c r="B15" t="s">
        <v>618</v>
      </c>
      <c r="C15" t="s">
        <v>695</v>
      </c>
      <c r="D15" t="s">
        <v>350</v>
      </c>
      <c r="E15" t="s">
        <v>695</v>
      </c>
      <c r="F15" t="s">
        <v>469</v>
      </c>
      <c r="G15" t="s">
        <v>695</v>
      </c>
      <c r="H15" t="s">
        <v>695</v>
      </c>
      <c r="I15">
        <v>31</v>
      </c>
      <c r="J15" t="s">
        <v>619</v>
      </c>
      <c r="K15" t="s">
        <v>57</v>
      </c>
      <c r="L15" t="s">
        <v>695</v>
      </c>
      <c r="M15" t="s">
        <v>695</v>
      </c>
      <c r="N15" t="s">
        <v>695</v>
      </c>
      <c r="O15">
        <v>2015</v>
      </c>
      <c r="P15">
        <v>1</v>
      </c>
      <c r="Q15">
        <v>1</v>
      </c>
      <c r="S15" t="s">
        <v>695</v>
      </c>
      <c r="T15" t="s">
        <v>695</v>
      </c>
      <c r="U15" t="s">
        <v>695</v>
      </c>
      <c r="W15" t="s">
        <v>695</v>
      </c>
      <c r="X15" t="s">
        <v>695</v>
      </c>
      <c r="Y15" t="s">
        <v>11</v>
      </c>
      <c r="Z15" t="s">
        <v>557</v>
      </c>
      <c r="AA15" t="s">
        <v>695</v>
      </c>
      <c r="AB15" t="s">
        <v>95</v>
      </c>
      <c r="AC15" t="s">
        <v>768</v>
      </c>
      <c r="AD15" t="s">
        <v>558</v>
      </c>
      <c r="AE15" t="s">
        <v>695</v>
      </c>
      <c r="AF15" t="s">
        <v>695</v>
      </c>
      <c r="AG15" t="s">
        <v>620</v>
      </c>
      <c r="AI15" t="s">
        <v>695</v>
      </c>
      <c r="AJ15" t="s">
        <v>695</v>
      </c>
      <c r="AK15" t="s">
        <v>695</v>
      </c>
      <c r="AL15" t="s">
        <v>695</v>
      </c>
      <c r="AM15" t="s">
        <v>96</v>
      </c>
      <c r="AN15" t="s">
        <v>58</v>
      </c>
      <c r="AO15" t="s">
        <v>617</v>
      </c>
      <c r="AP15" t="s">
        <v>695</v>
      </c>
      <c r="AQ15" t="s">
        <v>695</v>
      </c>
      <c r="AR15" t="s">
        <v>695</v>
      </c>
      <c r="AT15" t="s">
        <v>26</v>
      </c>
      <c r="AU15" t="s">
        <v>26</v>
      </c>
      <c r="AV15" t="s">
        <v>97</v>
      </c>
      <c r="AW15" t="s">
        <v>695</v>
      </c>
    </row>
    <row r="16" spans="1:49" x14ac:dyDescent="0.25">
      <c r="A16" t="s">
        <v>737</v>
      </c>
      <c r="B16" t="s">
        <v>738</v>
      </c>
      <c r="C16" t="s">
        <v>695</v>
      </c>
      <c r="D16" t="s">
        <v>350</v>
      </c>
      <c r="E16" t="s">
        <v>695</v>
      </c>
      <c r="F16" t="s">
        <v>344</v>
      </c>
      <c r="G16" t="s">
        <v>65</v>
      </c>
      <c r="H16" t="s">
        <v>65</v>
      </c>
      <c r="J16" t="s">
        <v>695</v>
      </c>
      <c r="K16" t="s">
        <v>35</v>
      </c>
      <c r="L16" t="s">
        <v>695</v>
      </c>
      <c r="M16" t="s">
        <v>695</v>
      </c>
      <c r="N16" t="s">
        <v>695</v>
      </c>
      <c r="O16">
        <v>2015</v>
      </c>
      <c r="P16">
        <v>1</v>
      </c>
      <c r="Q16">
        <v>1</v>
      </c>
      <c r="S16" t="s">
        <v>695</v>
      </c>
      <c r="T16" t="s">
        <v>695</v>
      </c>
      <c r="U16" t="s">
        <v>695</v>
      </c>
      <c r="V16">
        <v>1</v>
      </c>
      <c r="W16" t="s">
        <v>695</v>
      </c>
      <c r="X16" t="s">
        <v>695</v>
      </c>
      <c r="Y16" t="s">
        <v>11</v>
      </c>
      <c r="Z16" t="s">
        <v>552</v>
      </c>
      <c r="AA16" t="s">
        <v>695</v>
      </c>
      <c r="AB16" t="s">
        <v>739</v>
      </c>
      <c r="AC16" t="s">
        <v>740</v>
      </c>
      <c r="AD16" t="s">
        <v>695</v>
      </c>
      <c r="AE16" t="s">
        <v>695</v>
      </c>
      <c r="AF16" t="s">
        <v>695</v>
      </c>
      <c r="AG16" t="s">
        <v>695</v>
      </c>
      <c r="AH16">
        <v>2</v>
      </c>
      <c r="AI16" t="s">
        <v>695</v>
      </c>
      <c r="AJ16" t="s">
        <v>741</v>
      </c>
      <c r="AK16" t="s">
        <v>742</v>
      </c>
      <c r="AL16" t="s">
        <v>695</v>
      </c>
      <c r="AM16" t="s">
        <v>743</v>
      </c>
      <c r="AN16" t="s">
        <v>695</v>
      </c>
      <c r="AO16" t="s">
        <v>695</v>
      </c>
      <c r="AP16" t="s">
        <v>739</v>
      </c>
      <c r="AQ16" t="s">
        <v>695</v>
      </c>
      <c r="AR16" t="s">
        <v>695</v>
      </c>
      <c r="AS16">
        <v>2</v>
      </c>
      <c r="AT16" t="s">
        <v>744</v>
      </c>
      <c r="AU16" t="s">
        <v>31</v>
      </c>
      <c r="AV16" t="s">
        <v>745</v>
      </c>
      <c r="AW16" t="s">
        <v>695</v>
      </c>
    </row>
    <row r="17" spans="1:49" x14ac:dyDescent="0.25">
      <c r="A17" t="s">
        <v>601</v>
      </c>
      <c r="B17" t="s">
        <v>602</v>
      </c>
      <c r="C17" t="s">
        <v>695</v>
      </c>
      <c r="D17" t="s">
        <v>350</v>
      </c>
      <c r="E17" t="s">
        <v>695</v>
      </c>
      <c r="F17" t="s">
        <v>344</v>
      </c>
      <c r="G17" t="s">
        <v>7</v>
      </c>
      <c r="H17" t="s">
        <v>7</v>
      </c>
      <c r="J17" t="s">
        <v>695</v>
      </c>
      <c r="K17" t="s">
        <v>35</v>
      </c>
      <c r="L17" t="s">
        <v>695</v>
      </c>
      <c r="M17" t="s">
        <v>695</v>
      </c>
      <c r="N17" t="s">
        <v>695</v>
      </c>
      <c r="O17">
        <v>2015</v>
      </c>
      <c r="P17">
        <v>1</v>
      </c>
      <c r="Q17">
        <v>1</v>
      </c>
      <c r="S17" t="s">
        <v>695</v>
      </c>
      <c r="T17" t="s">
        <v>695</v>
      </c>
      <c r="U17" t="s">
        <v>695</v>
      </c>
      <c r="V17">
        <v>1</v>
      </c>
      <c r="W17" t="s">
        <v>695</v>
      </c>
      <c r="X17" t="s">
        <v>695</v>
      </c>
      <c r="Y17" t="s">
        <v>11</v>
      </c>
      <c r="Z17" t="s">
        <v>552</v>
      </c>
      <c r="AA17" t="s">
        <v>695</v>
      </c>
      <c r="AB17" t="s">
        <v>29</v>
      </c>
      <c r="AC17" t="s">
        <v>726</v>
      </c>
      <c r="AD17" t="s">
        <v>695</v>
      </c>
      <c r="AE17" t="s">
        <v>695</v>
      </c>
      <c r="AF17" t="s">
        <v>695</v>
      </c>
      <c r="AG17" t="s">
        <v>695</v>
      </c>
      <c r="AH17">
        <v>1</v>
      </c>
      <c r="AI17" t="s">
        <v>695</v>
      </c>
      <c r="AJ17" t="s">
        <v>603</v>
      </c>
      <c r="AK17" t="s">
        <v>604</v>
      </c>
      <c r="AL17" t="s">
        <v>695</v>
      </c>
      <c r="AM17" t="s">
        <v>30</v>
      </c>
      <c r="AN17" t="s">
        <v>695</v>
      </c>
      <c r="AO17" t="s">
        <v>695</v>
      </c>
      <c r="AP17" t="s">
        <v>29</v>
      </c>
      <c r="AQ17" t="s">
        <v>695</v>
      </c>
      <c r="AR17" t="s">
        <v>33</v>
      </c>
      <c r="AS17">
        <v>1</v>
      </c>
      <c r="AT17" t="s">
        <v>32</v>
      </c>
      <c r="AU17" t="s">
        <v>31</v>
      </c>
      <c r="AV17" t="s">
        <v>34</v>
      </c>
      <c r="AW17" t="s">
        <v>695</v>
      </c>
    </row>
    <row r="18" spans="1:49" x14ac:dyDescent="0.25">
      <c r="A18" t="s">
        <v>578</v>
      </c>
      <c r="B18" t="s">
        <v>579</v>
      </c>
      <c r="C18" t="s">
        <v>695</v>
      </c>
      <c r="D18" t="s">
        <v>350</v>
      </c>
      <c r="E18" t="s">
        <v>695</v>
      </c>
      <c r="F18" t="s">
        <v>344</v>
      </c>
      <c r="G18" t="s">
        <v>65</v>
      </c>
      <c r="H18" t="s">
        <v>65</v>
      </c>
      <c r="J18" t="s">
        <v>695</v>
      </c>
      <c r="K18" t="s">
        <v>35</v>
      </c>
      <c r="L18" t="s">
        <v>695</v>
      </c>
      <c r="M18" t="s">
        <v>695</v>
      </c>
      <c r="N18" t="s">
        <v>695</v>
      </c>
      <c r="O18">
        <v>2015</v>
      </c>
      <c r="P18">
        <v>1</v>
      </c>
      <c r="Q18">
        <v>1</v>
      </c>
      <c r="S18" t="s">
        <v>695</v>
      </c>
      <c r="T18" t="s">
        <v>695</v>
      </c>
      <c r="U18" t="s">
        <v>695</v>
      </c>
      <c r="V18">
        <v>1</v>
      </c>
      <c r="W18" t="s">
        <v>695</v>
      </c>
      <c r="X18" t="s">
        <v>695</v>
      </c>
      <c r="Y18" t="s">
        <v>11</v>
      </c>
      <c r="Z18" t="s">
        <v>552</v>
      </c>
      <c r="AA18" t="s">
        <v>695</v>
      </c>
      <c r="AB18" t="s">
        <v>63</v>
      </c>
      <c r="AC18" t="s">
        <v>748</v>
      </c>
      <c r="AD18" t="s">
        <v>695</v>
      </c>
      <c r="AE18" t="s">
        <v>695</v>
      </c>
      <c r="AF18" t="s">
        <v>695</v>
      </c>
      <c r="AG18" t="s">
        <v>695</v>
      </c>
      <c r="AH18">
        <v>1</v>
      </c>
      <c r="AI18" t="s">
        <v>695</v>
      </c>
      <c r="AJ18" t="s">
        <v>749</v>
      </c>
      <c r="AK18" t="s">
        <v>750</v>
      </c>
      <c r="AL18" t="s">
        <v>695</v>
      </c>
      <c r="AM18" t="s">
        <v>64</v>
      </c>
      <c r="AN18" t="s">
        <v>695</v>
      </c>
      <c r="AO18" t="s">
        <v>695</v>
      </c>
      <c r="AP18" t="s">
        <v>63</v>
      </c>
      <c r="AQ18" t="s">
        <v>695</v>
      </c>
      <c r="AR18" t="s">
        <v>695</v>
      </c>
      <c r="AS18">
        <v>1</v>
      </c>
      <c r="AT18" t="s">
        <v>66</v>
      </c>
      <c r="AU18" t="s">
        <v>31</v>
      </c>
      <c r="AV18" t="s">
        <v>67</v>
      </c>
      <c r="AW18" t="s">
        <v>695</v>
      </c>
    </row>
    <row r="19" spans="1:49" x14ac:dyDescent="0.25">
      <c r="A19" t="s">
        <v>610</v>
      </c>
      <c r="B19" t="s">
        <v>611</v>
      </c>
      <c r="C19" t="s">
        <v>695</v>
      </c>
      <c r="D19" t="s">
        <v>350</v>
      </c>
      <c r="E19" t="s">
        <v>695</v>
      </c>
      <c r="F19" t="s">
        <v>344</v>
      </c>
      <c r="G19" t="s">
        <v>7</v>
      </c>
      <c r="H19" t="s">
        <v>7</v>
      </c>
      <c r="J19" t="s">
        <v>695</v>
      </c>
      <c r="K19" t="s">
        <v>35</v>
      </c>
      <c r="L19" t="s">
        <v>695</v>
      </c>
      <c r="M19" t="s">
        <v>695</v>
      </c>
      <c r="N19" t="s">
        <v>695</v>
      </c>
      <c r="O19">
        <v>2015</v>
      </c>
      <c r="P19">
        <v>1</v>
      </c>
      <c r="Q19">
        <v>1</v>
      </c>
      <c r="S19" t="s">
        <v>695</v>
      </c>
      <c r="T19" t="s">
        <v>695</v>
      </c>
      <c r="U19" t="s">
        <v>695</v>
      </c>
      <c r="V19">
        <v>1</v>
      </c>
      <c r="W19" t="s">
        <v>695</v>
      </c>
      <c r="X19" t="s">
        <v>695</v>
      </c>
      <c r="Y19" t="s">
        <v>11</v>
      </c>
      <c r="Z19" t="s">
        <v>552</v>
      </c>
      <c r="AA19" t="s">
        <v>695</v>
      </c>
      <c r="AB19" t="s">
        <v>59</v>
      </c>
      <c r="AC19" t="s">
        <v>715</v>
      </c>
      <c r="AD19" t="s">
        <v>695</v>
      </c>
      <c r="AE19" t="s">
        <v>695</v>
      </c>
      <c r="AF19" t="s">
        <v>695</v>
      </c>
      <c r="AG19" t="s">
        <v>695</v>
      </c>
      <c r="AH19">
        <v>1</v>
      </c>
      <c r="AI19" t="s">
        <v>695</v>
      </c>
      <c r="AJ19" t="s">
        <v>759</v>
      </c>
      <c r="AK19" t="s">
        <v>760</v>
      </c>
      <c r="AL19" t="s">
        <v>695</v>
      </c>
      <c r="AM19" t="s">
        <v>60</v>
      </c>
      <c r="AN19" t="s">
        <v>695</v>
      </c>
      <c r="AO19" t="s">
        <v>695</v>
      </c>
      <c r="AP19" t="s">
        <v>59</v>
      </c>
      <c r="AQ19" t="s">
        <v>695</v>
      </c>
      <c r="AR19" t="s">
        <v>695</v>
      </c>
      <c r="AS19">
        <v>1</v>
      </c>
      <c r="AT19" t="s">
        <v>61</v>
      </c>
      <c r="AU19" t="s">
        <v>31</v>
      </c>
      <c r="AV19" t="s">
        <v>62</v>
      </c>
      <c r="AW19" t="s">
        <v>695</v>
      </c>
    </row>
    <row r="20" spans="1:49" x14ac:dyDescent="0.25">
      <c r="A20" t="s">
        <v>570</v>
      </c>
      <c r="B20" t="s">
        <v>571</v>
      </c>
      <c r="C20" t="s">
        <v>695</v>
      </c>
      <c r="D20" t="s">
        <v>350</v>
      </c>
      <c r="E20" t="s">
        <v>695</v>
      </c>
      <c r="F20" t="s">
        <v>344</v>
      </c>
      <c r="G20" t="s">
        <v>38</v>
      </c>
      <c r="H20" t="s">
        <v>38</v>
      </c>
      <c r="J20" t="s">
        <v>695</v>
      </c>
      <c r="K20" t="s">
        <v>35</v>
      </c>
      <c r="L20" t="s">
        <v>695</v>
      </c>
      <c r="M20" t="s">
        <v>695</v>
      </c>
      <c r="N20" t="s">
        <v>695</v>
      </c>
      <c r="O20">
        <v>2015</v>
      </c>
      <c r="P20">
        <v>1</v>
      </c>
      <c r="Q20">
        <v>1</v>
      </c>
      <c r="S20" t="s">
        <v>695</v>
      </c>
      <c r="T20" t="s">
        <v>695</v>
      </c>
      <c r="U20" t="s">
        <v>695</v>
      </c>
      <c r="W20" t="s">
        <v>695</v>
      </c>
      <c r="X20" t="s">
        <v>40</v>
      </c>
      <c r="Y20" t="s">
        <v>11</v>
      </c>
      <c r="Z20" t="s">
        <v>552</v>
      </c>
      <c r="AA20" t="s">
        <v>695</v>
      </c>
      <c r="AB20" t="s">
        <v>36</v>
      </c>
      <c r="AC20" t="s">
        <v>747</v>
      </c>
      <c r="AD20" t="s">
        <v>695</v>
      </c>
      <c r="AE20" t="s">
        <v>695</v>
      </c>
      <c r="AF20" t="s">
        <v>695</v>
      </c>
      <c r="AG20" t="s">
        <v>695</v>
      </c>
      <c r="AH20">
        <v>1</v>
      </c>
      <c r="AI20" t="s">
        <v>695</v>
      </c>
      <c r="AJ20" t="s">
        <v>572</v>
      </c>
      <c r="AK20" t="s">
        <v>573</v>
      </c>
      <c r="AL20" t="s">
        <v>695</v>
      </c>
      <c r="AM20" t="s">
        <v>37</v>
      </c>
      <c r="AN20" t="s">
        <v>695</v>
      </c>
      <c r="AO20" t="s">
        <v>695</v>
      </c>
      <c r="AP20" t="s">
        <v>36</v>
      </c>
      <c r="AQ20" t="s">
        <v>695</v>
      </c>
      <c r="AR20" t="s">
        <v>41</v>
      </c>
      <c r="AS20">
        <v>1</v>
      </c>
      <c r="AT20" t="s">
        <v>39</v>
      </c>
      <c r="AU20" t="s">
        <v>31</v>
      </c>
      <c r="AV20" t="s">
        <v>42</v>
      </c>
      <c r="AW20" t="s">
        <v>695</v>
      </c>
    </row>
    <row r="21" spans="1:49" x14ac:dyDescent="0.25">
      <c r="A21" t="s">
        <v>550</v>
      </c>
      <c r="B21" t="s">
        <v>551</v>
      </c>
      <c r="C21" t="s">
        <v>695</v>
      </c>
      <c r="D21" t="s">
        <v>350</v>
      </c>
      <c r="E21" t="s">
        <v>343</v>
      </c>
      <c r="F21" t="s">
        <v>344</v>
      </c>
      <c r="G21" t="s">
        <v>180</v>
      </c>
      <c r="H21" t="s">
        <v>180</v>
      </c>
      <c r="J21" t="s">
        <v>695</v>
      </c>
      <c r="K21" t="s">
        <v>13</v>
      </c>
      <c r="L21" t="s">
        <v>695</v>
      </c>
      <c r="M21" t="s">
        <v>695</v>
      </c>
      <c r="N21" t="s">
        <v>695</v>
      </c>
      <c r="O21">
        <v>2003</v>
      </c>
      <c r="P21">
        <v>0</v>
      </c>
      <c r="Q21">
        <v>1</v>
      </c>
      <c r="R21">
        <v>1</v>
      </c>
      <c r="S21" t="s">
        <v>695</v>
      </c>
      <c r="T21" t="s">
        <v>695</v>
      </c>
      <c r="U21" t="s">
        <v>695</v>
      </c>
      <c r="V21">
        <v>1</v>
      </c>
      <c r="W21" t="s">
        <v>695</v>
      </c>
      <c r="X21" t="s">
        <v>695</v>
      </c>
      <c r="Y21" t="s">
        <v>11</v>
      </c>
      <c r="Z21" t="s">
        <v>552</v>
      </c>
      <c r="AA21" t="s">
        <v>695</v>
      </c>
      <c r="AB21" t="s">
        <v>238</v>
      </c>
      <c r="AC21" t="s">
        <v>731</v>
      </c>
      <c r="AD21" t="s">
        <v>695</v>
      </c>
      <c r="AE21" t="s">
        <v>695</v>
      </c>
      <c r="AF21" t="s">
        <v>695</v>
      </c>
      <c r="AG21" t="s">
        <v>695</v>
      </c>
      <c r="AH21">
        <v>2</v>
      </c>
      <c r="AI21" t="s">
        <v>553</v>
      </c>
      <c r="AJ21" t="s">
        <v>732</v>
      </c>
      <c r="AK21" t="s">
        <v>733</v>
      </c>
      <c r="AL21" t="s">
        <v>695</v>
      </c>
      <c r="AM21" t="s">
        <v>239</v>
      </c>
      <c r="AN21" t="s">
        <v>695</v>
      </c>
      <c r="AO21" t="s">
        <v>695</v>
      </c>
      <c r="AP21" t="s">
        <v>238</v>
      </c>
      <c r="AQ21" t="s">
        <v>695</v>
      </c>
      <c r="AR21" t="s">
        <v>695</v>
      </c>
      <c r="AS21">
        <v>2</v>
      </c>
      <c r="AT21" t="s">
        <v>240</v>
      </c>
      <c r="AU21" t="s">
        <v>31</v>
      </c>
      <c r="AV21" t="s">
        <v>241</v>
      </c>
      <c r="AW21" t="s">
        <v>695</v>
      </c>
    </row>
    <row r="22" spans="1:49" x14ac:dyDescent="0.25">
      <c r="A22" t="s">
        <v>605</v>
      </c>
      <c r="B22" t="s">
        <v>606</v>
      </c>
      <c r="C22" t="s">
        <v>695</v>
      </c>
      <c r="D22" t="s">
        <v>350</v>
      </c>
      <c r="E22" t="s">
        <v>343</v>
      </c>
      <c r="F22" t="s">
        <v>344</v>
      </c>
      <c r="G22" t="s">
        <v>7</v>
      </c>
      <c r="H22" t="s">
        <v>7</v>
      </c>
      <c r="J22" t="s">
        <v>695</v>
      </c>
      <c r="K22" t="s">
        <v>13</v>
      </c>
      <c r="L22" t="s">
        <v>695</v>
      </c>
      <c r="M22" t="s">
        <v>695</v>
      </c>
      <c r="N22" t="s">
        <v>607</v>
      </c>
      <c r="O22">
        <v>2015</v>
      </c>
      <c r="P22">
        <v>0</v>
      </c>
      <c r="Q22">
        <v>1</v>
      </c>
      <c r="S22" t="s">
        <v>695</v>
      </c>
      <c r="T22" t="s">
        <v>695</v>
      </c>
      <c r="U22" t="s">
        <v>695</v>
      </c>
      <c r="W22" t="s">
        <v>695</v>
      </c>
      <c r="X22" t="s">
        <v>190</v>
      </c>
      <c r="Y22" t="s">
        <v>11</v>
      </c>
      <c r="Z22" t="s">
        <v>552</v>
      </c>
      <c r="AA22" t="s">
        <v>695</v>
      </c>
      <c r="AB22" t="s">
        <v>186</v>
      </c>
      <c r="AC22" t="s">
        <v>758</v>
      </c>
      <c r="AD22" t="s">
        <v>695</v>
      </c>
      <c r="AE22" t="s">
        <v>695</v>
      </c>
      <c r="AF22" t="s">
        <v>695</v>
      </c>
      <c r="AG22" t="s">
        <v>695</v>
      </c>
      <c r="AH22">
        <v>4</v>
      </c>
      <c r="AI22" t="s">
        <v>695</v>
      </c>
      <c r="AJ22" t="s">
        <v>608</v>
      </c>
      <c r="AK22" t="s">
        <v>609</v>
      </c>
      <c r="AL22" t="s">
        <v>695</v>
      </c>
      <c r="AM22" t="s">
        <v>187</v>
      </c>
      <c r="AN22" t="s">
        <v>695</v>
      </c>
      <c r="AO22" t="s">
        <v>695</v>
      </c>
      <c r="AP22" t="s">
        <v>188</v>
      </c>
      <c r="AQ22" t="s">
        <v>46</v>
      </c>
      <c r="AR22" t="s">
        <v>190</v>
      </c>
      <c r="AS22">
        <v>4</v>
      </c>
      <c r="AT22" t="s">
        <v>189</v>
      </c>
      <c r="AU22" t="s">
        <v>31</v>
      </c>
      <c r="AV22" t="s">
        <v>191</v>
      </c>
      <c r="AW22" t="s">
        <v>695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7A35-9595-48B9-BCD4-A5F5A67EF64A}">
  <dimension ref="A1:CA45"/>
  <sheetViews>
    <sheetView workbookViewId="0">
      <selection activeCell="Q8" sqref="Q8"/>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8.28515625" bestFit="1" customWidth="1"/>
    <col min="21" max="21" width="30" bestFit="1" customWidth="1"/>
    <col min="22" max="22" width="81.140625" bestFit="1" customWidth="1"/>
    <col min="23" max="23" width="28" bestFit="1" customWidth="1"/>
    <col min="24" max="24" width="15.5703125" bestFit="1" customWidth="1"/>
    <col min="25" max="25" width="7.7109375" bestFit="1" customWidth="1"/>
    <col min="26" max="26" width="25.85546875" bestFit="1" customWidth="1"/>
    <col min="27" max="27" width="21.5703125" bestFit="1" customWidth="1"/>
    <col min="28" max="28" width="9.7109375" bestFit="1" customWidth="1"/>
    <col min="29" max="29" width="13.42578125" bestFit="1" customWidth="1"/>
    <col min="30" max="30" width="14.7109375" bestFit="1" customWidth="1"/>
    <col min="31" max="31" width="10.7109375" bestFit="1" customWidth="1"/>
    <col min="32" max="32" width="10.28515625" bestFit="1" customWidth="1"/>
    <col min="33" max="33" width="17.85546875" bestFit="1" customWidth="1"/>
    <col min="34" max="34" width="15" bestFit="1" customWidth="1"/>
    <col min="35" max="35" width="13.85546875" bestFit="1" customWidth="1"/>
    <col min="36" max="36" width="10.7109375" bestFit="1" customWidth="1"/>
    <col min="37" max="37" width="15.5703125" bestFit="1" customWidth="1"/>
    <col min="38" max="38" width="11.5703125" bestFit="1" customWidth="1"/>
    <col min="39" max="39" width="13.42578125" bestFit="1" customWidth="1"/>
    <col min="40" max="40" width="11" bestFit="1" customWidth="1"/>
    <col min="41" max="41" width="17.85546875" bestFit="1" customWidth="1"/>
    <col min="42" max="42" width="12.42578125" bestFit="1" customWidth="1"/>
    <col min="43" max="43" width="15.85546875" bestFit="1" customWidth="1"/>
    <col min="44" max="44" width="33.42578125" bestFit="1" customWidth="1"/>
    <col min="45" max="45" width="13.140625" bestFit="1" customWidth="1"/>
    <col min="46" max="46" width="8.85546875" bestFit="1" customWidth="1"/>
    <col min="47" max="47" width="51.28515625" bestFit="1" customWidth="1"/>
    <col min="48" max="48" width="6.28515625" bestFit="1" customWidth="1"/>
    <col min="49" max="49" width="9.28515625" bestFit="1" customWidth="1"/>
    <col min="50" max="50" width="12.42578125" bestFit="1" customWidth="1"/>
    <col min="51" max="51" width="13.140625" bestFit="1" customWidth="1"/>
    <col min="52" max="52" width="50.85546875" bestFit="1" customWidth="1"/>
    <col min="53" max="53" width="10.28515625" bestFit="1" customWidth="1"/>
    <col min="54" max="54" width="18.140625" bestFit="1" customWidth="1"/>
    <col min="55" max="55" width="21.85546875" bestFit="1" customWidth="1"/>
    <col min="56" max="56" width="81.140625" bestFit="1" customWidth="1"/>
    <col min="57" max="57" width="74.5703125" bestFit="1" customWidth="1"/>
    <col min="58" max="58" width="8.85546875" bestFit="1" customWidth="1"/>
    <col min="59" max="59" width="30" bestFit="1" customWidth="1"/>
    <col min="60" max="60" width="81.140625" bestFit="1" customWidth="1"/>
    <col min="61" max="61" width="33.85546875" bestFit="1" customWidth="1"/>
    <col min="62" max="62" width="81.140625" bestFit="1" customWidth="1"/>
    <col min="63" max="63" width="35.42578125" bestFit="1" customWidth="1"/>
    <col min="64" max="64" width="11.140625" bestFit="1" customWidth="1"/>
    <col min="65" max="65" width="21.5703125" bestFit="1" customWidth="1"/>
    <col min="66" max="66" width="15" bestFit="1" customWidth="1"/>
    <col min="67" max="67" width="16.42578125" bestFit="1" customWidth="1"/>
    <col min="68" max="68" width="11" bestFit="1" customWidth="1"/>
    <col min="69" max="69" width="7.140625" bestFit="1" customWidth="1"/>
    <col min="70" max="70" width="11.7109375" bestFit="1" customWidth="1"/>
    <col min="71" max="71" width="81.140625" bestFit="1" customWidth="1"/>
    <col min="72" max="72" width="10.42578125" bestFit="1" customWidth="1"/>
    <col min="73" max="73" width="18.28515625" bestFit="1" customWidth="1"/>
    <col min="74" max="74" width="13.42578125" bestFit="1" customWidth="1"/>
    <col min="75" max="75" width="81.140625" bestFit="1" customWidth="1"/>
    <col min="76" max="76" width="12.7109375" bestFit="1" customWidth="1"/>
    <col min="77" max="77" width="36" bestFit="1" customWidth="1"/>
    <col min="78" max="78" width="15.85546875" customWidth="1"/>
    <col min="79" max="80" width="38.140625" bestFit="1" customWidth="1"/>
    <col min="81" max="81" width="81.140625" bestFit="1" customWidth="1"/>
    <col min="82" max="82" width="12.7109375" bestFit="1" customWidth="1"/>
    <col min="83" max="83" width="19.42578125" bestFit="1" customWidth="1"/>
    <col min="84" max="84" width="38.140625" bestFit="1" customWidth="1"/>
    <col min="85" max="85" width="11.42578125" bestFit="1" customWidth="1"/>
    <col min="86" max="86" width="14.85546875" bestFit="1" customWidth="1"/>
    <col min="87" max="87" width="18" bestFit="1" customWidth="1"/>
    <col min="88" max="88" width="12.7109375" bestFit="1" customWidth="1"/>
    <col min="89" max="89" width="11.5703125" bestFit="1" customWidth="1"/>
    <col min="90" max="90" width="71.28515625" bestFit="1" customWidth="1"/>
    <col min="91" max="91" width="12" bestFit="1" customWidth="1"/>
    <col min="92" max="92" width="13.7109375" bestFit="1" customWidth="1"/>
    <col min="93" max="96" width="12.42578125" bestFit="1" customWidth="1"/>
    <col min="97" max="97" width="15.140625" bestFit="1" customWidth="1"/>
    <col min="98" max="98" width="22.7109375" bestFit="1" customWidth="1"/>
    <col min="99" max="99" width="15.5703125" bestFit="1" customWidth="1"/>
    <col min="100" max="100" width="14.85546875" bestFit="1" customWidth="1"/>
    <col min="101" max="101" width="26.42578125" bestFit="1" customWidth="1"/>
    <col min="102" max="102" width="18.28515625" bestFit="1" customWidth="1"/>
    <col min="103" max="103" width="12.42578125" bestFit="1" customWidth="1"/>
    <col min="104" max="104" width="81.140625" bestFit="1" customWidth="1"/>
    <col min="105" max="105" width="28" bestFit="1" customWidth="1"/>
    <col min="106" max="106" width="12.85546875" bestFit="1" customWidth="1"/>
    <col min="107" max="107" width="12.42578125" bestFit="1" customWidth="1"/>
    <col min="108" max="108" width="22.5703125" bestFit="1" customWidth="1"/>
    <col min="109" max="109" width="18.7109375" bestFit="1" customWidth="1"/>
    <col min="110" max="117" width="12.42578125" bestFit="1" customWidth="1"/>
    <col min="118" max="118" width="13.140625" bestFit="1" customWidth="1"/>
    <col min="119" max="121" width="12.42578125" bestFit="1" customWidth="1"/>
    <col min="122" max="122" width="14.7109375" bestFit="1" customWidth="1"/>
    <col min="123" max="123" width="12.42578125" bestFit="1" customWidth="1"/>
    <col min="124" max="124" width="12.85546875" bestFit="1" customWidth="1"/>
    <col min="125" max="125" width="33.42578125" bestFit="1" customWidth="1"/>
    <col min="126" max="126" width="13.140625" bestFit="1" customWidth="1"/>
    <col min="127" max="127" width="12.42578125" bestFit="1" customWidth="1"/>
    <col min="128" max="128" width="51.28515625" bestFit="1" customWidth="1"/>
    <col min="129" max="132" width="12.42578125" bestFit="1" customWidth="1"/>
    <col min="133" max="133" width="50.85546875" bestFit="1" customWidth="1"/>
    <col min="134" max="134" width="12.42578125" bestFit="1" customWidth="1"/>
    <col min="135" max="135" width="15.85546875" bestFit="1" customWidth="1"/>
    <col min="136" max="136" width="19" bestFit="1" customWidth="1"/>
    <col min="137" max="137" width="81.140625" bestFit="1" customWidth="1"/>
    <col min="138" max="138" width="30.5703125" bestFit="1" customWidth="1"/>
    <col min="139" max="139" width="74.5703125" bestFit="1" customWidth="1"/>
    <col min="140" max="140" width="12.42578125" bestFit="1" customWidth="1"/>
    <col min="141" max="141" width="81.140625" bestFit="1" customWidth="1"/>
    <col min="142" max="142" width="35.42578125" bestFit="1" customWidth="1"/>
    <col min="143" max="143" width="12.42578125" bestFit="1" customWidth="1"/>
    <col min="144" max="144" width="19.140625" bestFit="1" customWidth="1"/>
    <col min="145" max="145" width="12.42578125" bestFit="1" customWidth="1"/>
    <col min="146" max="146" width="13.5703125" bestFit="1" customWidth="1"/>
    <col min="147" max="149" width="12.42578125" bestFit="1" customWidth="1"/>
    <col min="150" max="150" width="81.140625" bestFit="1" customWidth="1"/>
    <col min="151" max="151" width="12.42578125" bestFit="1" customWidth="1"/>
    <col min="152" max="152" width="18.28515625" bestFit="1" customWidth="1"/>
    <col min="153" max="153" width="12.42578125" bestFit="1" customWidth="1"/>
    <col min="154" max="154" width="81.140625" bestFit="1" customWidth="1"/>
    <col min="155" max="155" width="12.42578125" bestFit="1" customWidth="1"/>
    <col min="156" max="156" width="36" bestFit="1" customWidth="1"/>
    <col min="157" max="157" width="15.85546875" bestFit="1" customWidth="1"/>
    <col min="158" max="158" width="38.140625" bestFit="1" customWidth="1"/>
    <col min="159" max="159" width="81.140625" bestFit="1" customWidth="1"/>
    <col min="160" max="160" width="12.42578125" bestFit="1" customWidth="1"/>
    <col min="161" max="161" width="19.42578125" bestFit="1" customWidth="1"/>
    <col min="162" max="162" width="38.140625" bestFit="1" customWidth="1"/>
    <col min="163" max="163" width="12.7109375" bestFit="1" customWidth="1"/>
    <col min="164" max="164" width="17.5703125" bestFit="1" customWidth="1"/>
    <col min="165" max="165" width="18" bestFit="1" customWidth="1"/>
    <col min="166" max="166" width="15.7109375" bestFit="1" customWidth="1"/>
    <col min="167" max="167" width="14.28515625" bestFit="1" customWidth="1"/>
    <col min="168" max="168" width="71.28515625" bestFit="1" customWidth="1"/>
    <col min="169" max="169" width="14.85546875" bestFit="1" customWidth="1"/>
    <col min="170" max="170" width="16" bestFit="1" customWidth="1"/>
    <col min="171" max="171" width="8.85546875" bestFit="1" customWidth="1"/>
    <col min="172" max="172" width="10.7109375" bestFit="1" customWidth="1"/>
    <col min="173" max="173" width="11.85546875" bestFit="1" customWidth="1"/>
    <col min="174" max="174" width="14" bestFit="1" customWidth="1"/>
    <col min="175" max="175" width="18" bestFit="1" customWidth="1"/>
    <col min="176" max="176" width="26.140625" bestFit="1" customWidth="1"/>
    <col min="177" max="177" width="18" bestFit="1" customWidth="1"/>
    <col min="178" max="178" width="17" bestFit="1" customWidth="1"/>
    <col min="179" max="179" width="26.42578125" bestFit="1" customWidth="1"/>
    <col min="180" max="180" width="18.28515625" bestFit="1" customWidth="1"/>
    <col min="181" max="181" width="13.7109375" bestFit="1" customWidth="1"/>
    <col min="182" max="182" width="81.140625" bestFit="1" customWidth="1"/>
    <col min="183" max="183" width="28" bestFit="1" customWidth="1"/>
    <col min="184" max="184" width="15.5703125" bestFit="1" customWidth="1"/>
    <col min="185" max="185" width="7.7109375" bestFit="1" customWidth="1"/>
    <col min="186" max="186" width="25.85546875" bestFit="1" customWidth="1"/>
    <col min="187" max="187" width="21.5703125" bestFit="1" customWidth="1"/>
    <col min="188" max="188" width="9.7109375" bestFit="1" customWidth="1"/>
    <col min="189" max="189" width="13.42578125" bestFit="1" customWidth="1"/>
    <col min="190" max="190" width="14.7109375" bestFit="1" customWidth="1"/>
    <col min="191" max="191" width="10.7109375" bestFit="1" customWidth="1"/>
    <col min="192" max="192" width="10.28515625" bestFit="1" customWidth="1"/>
    <col min="193" max="193" width="15" bestFit="1" customWidth="1"/>
    <col min="194" max="194" width="13.85546875" bestFit="1" customWidth="1"/>
    <col min="195" max="195" width="10.7109375" bestFit="1" customWidth="1"/>
    <col min="196" max="196" width="15.5703125" bestFit="1" customWidth="1"/>
    <col min="197" max="197" width="11.5703125" bestFit="1" customWidth="1"/>
    <col min="198" max="198" width="13.42578125" bestFit="1" customWidth="1"/>
    <col min="199" max="199" width="11" bestFit="1" customWidth="1"/>
    <col min="200" max="200" width="17.85546875" bestFit="1" customWidth="1"/>
    <col min="201" max="201" width="12.42578125" bestFit="1" customWidth="1"/>
    <col min="202" max="202" width="15.85546875" bestFit="1" customWidth="1"/>
    <col min="203" max="203" width="33.42578125" bestFit="1" customWidth="1"/>
    <col min="204" max="204" width="13.140625" bestFit="1" customWidth="1"/>
    <col min="205" max="205" width="8.85546875" bestFit="1" customWidth="1"/>
    <col min="206" max="206" width="51.28515625" bestFit="1" customWidth="1"/>
    <col min="207" max="207" width="6.28515625" bestFit="1" customWidth="1"/>
    <col min="208" max="208" width="9.28515625" bestFit="1" customWidth="1"/>
    <col min="209" max="209" width="12.42578125" bestFit="1" customWidth="1"/>
    <col min="210" max="210" width="13.140625" bestFit="1" customWidth="1"/>
    <col min="211" max="211" width="50.85546875" bestFit="1" customWidth="1"/>
    <col min="212" max="212" width="10.28515625" bestFit="1" customWidth="1"/>
    <col min="213" max="213" width="18.140625" bestFit="1" customWidth="1"/>
    <col min="214" max="214" width="21.85546875" bestFit="1" customWidth="1"/>
    <col min="215" max="215" width="81.140625" bestFit="1" customWidth="1"/>
    <col min="216" max="216" width="30.5703125" bestFit="1" customWidth="1"/>
    <col min="217" max="217" width="74.5703125" bestFit="1" customWidth="1"/>
    <col min="218" max="218" width="8.85546875" bestFit="1" customWidth="1"/>
    <col min="219" max="219" width="81.140625" bestFit="1" customWidth="1"/>
    <col min="220" max="220" width="35.42578125" bestFit="1" customWidth="1"/>
    <col min="221" max="221" width="11.140625" bestFit="1" customWidth="1"/>
    <col min="222" max="222" width="21.5703125" bestFit="1" customWidth="1"/>
    <col min="223" max="223" width="15" bestFit="1" customWidth="1"/>
    <col min="224" max="224" width="16.42578125" bestFit="1" customWidth="1"/>
    <col min="225" max="225" width="11" bestFit="1" customWidth="1"/>
    <col min="226" max="226" width="7.140625" bestFit="1" customWidth="1"/>
    <col min="227" max="227" width="11.7109375" bestFit="1" customWidth="1"/>
    <col min="228" max="228" width="81.140625" bestFit="1" customWidth="1"/>
    <col min="229" max="229" width="10.42578125" bestFit="1" customWidth="1"/>
    <col min="230" max="230" width="18.28515625" bestFit="1" customWidth="1"/>
    <col min="231" max="231" width="13.42578125" bestFit="1" customWidth="1"/>
    <col min="232" max="232" width="81.140625" bestFit="1" customWidth="1"/>
    <col min="233" max="233" width="12.7109375" bestFit="1" customWidth="1"/>
    <col min="234" max="234" width="36" bestFit="1" customWidth="1"/>
    <col min="235" max="235" width="15.85546875" bestFit="1" customWidth="1"/>
    <col min="236" max="236" width="38.140625" bestFit="1" customWidth="1"/>
    <col min="237" max="237" width="81.140625" bestFit="1" customWidth="1"/>
    <col min="238" max="238" width="12.7109375" bestFit="1" customWidth="1"/>
  </cols>
  <sheetData>
    <row r="1" spans="1:79" x14ac:dyDescent="0.25">
      <c r="A1" t="s">
        <v>621</v>
      </c>
      <c r="B1" t="s">
        <v>622</v>
      </c>
      <c r="C1" t="s">
        <v>623</v>
      </c>
      <c r="D1" t="s">
        <v>624</v>
      </c>
      <c r="E1" t="s">
        <v>625</v>
      </c>
      <c r="F1" t="s">
        <v>626</v>
      </c>
      <c r="G1" t="s">
        <v>627</v>
      </c>
      <c r="H1" t="s">
        <v>628</v>
      </c>
      <c r="I1" t="s">
        <v>629</v>
      </c>
      <c r="J1" t="s">
        <v>630</v>
      </c>
      <c r="K1" t="s">
        <v>631</v>
      </c>
      <c r="L1" t="s">
        <v>632</v>
      </c>
      <c r="M1" t="s">
        <v>633</v>
      </c>
      <c r="N1" t="s">
        <v>634</v>
      </c>
      <c r="O1" t="s">
        <v>635</v>
      </c>
      <c r="P1" t="s">
        <v>636</v>
      </c>
      <c r="Q1" t="s">
        <v>637</v>
      </c>
      <c r="R1" t="s">
        <v>638</v>
      </c>
      <c r="S1" t="s">
        <v>639</v>
      </c>
      <c r="T1" t="s">
        <v>640</v>
      </c>
      <c r="U1" t="s">
        <v>641</v>
      </c>
      <c r="V1" t="s">
        <v>642</v>
      </c>
      <c r="W1" t="s">
        <v>643</v>
      </c>
      <c r="X1" t="s">
        <v>644</v>
      </c>
      <c r="Y1" t="s">
        <v>645</v>
      </c>
      <c r="Z1" t="s">
        <v>646</v>
      </c>
      <c r="AA1" t="s">
        <v>647</v>
      </c>
      <c r="AB1" t="s">
        <v>648</v>
      </c>
      <c r="AC1" t="s">
        <v>649</v>
      </c>
      <c r="AD1" t="s">
        <v>650</v>
      </c>
      <c r="AE1" t="s">
        <v>651</v>
      </c>
      <c r="AF1" t="s">
        <v>652</v>
      </c>
      <c r="AG1" t="s">
        <v>919</v>
      </c>
      <c r="AH1" t="s">
        <v>653</v>
      </c>
      <c r="AI1" t="s">
        <v>654</v>
      </c>
      <c r="AJ1" t="s">
        <v>655</v>
      </c>
      <c r="AK1" t="s">
        <v>656</v>
      </c>
      <c r="AL1" t="s">
        <v>657</v>
      </c>
      <c r="AM1" t="s">
        <v>658</v>
      </c>
      <c r="AN1" t="s">
        <v>659</v>
      </c>
      <c r="AO1" t="s">
        <v>660</v>
      </c>
      <c r="AP1" t="s">
        <v>661</v>
      </c>
      <c r="AQ1" t="s">
        <v>662</v>
      </c>
      <c r="AR1" t="s">
        <v>663</v>
      </c>
      <c r="AS1" t="s">
        <v>327</v>
      </c>
      <c r="AT1" t="s">
        <v>664</v>
      </c>
      <c r="AU1" t="s">
        <v>665</v>
      </c>
      <c r="AV1" t="s">
        <v>666</v>
      </c>
      <c r="AW1" t="s">
        <v>667</v>
      </c>
      <c r="AX1" t="s">
        <v>668</v>
      </c>
      <c r="AY1" t="s">
        <v>669</v>
      </c>
      <c r="AZ1" t="s">
        <v>338</v>
      </c>
      <c r="BA1" t="s">
        <v>670</v>
      </c>
      <c r="BB1" t="s">
        <v>671</v>
      </c>
      <c r="BC1" t="s">
        <v>672</v>
      </c>
      <c r="BD1" t="s">
        <v>673</v>
      </c>
      <c r="BE1" t="s">
        <v>675</v>
      </c>
      <c r="BF1" t="s">
        <v>676</v>
      </c>
      <c r="BG1" t="s">
        <v>920</v>
      </c>
      <c r="BH1" t="s">
        <v>921</v>
      </c>
      <c r="BI1" t="s">
        <v>922</v>
      </c>
      <c r="BJ1" t="s">
        <v>677</v>
      </c>
      <c r="BK1" t="s">
        <v>678</v>
      </c>
      <c r="BL1" t="s">
        <v>679</v>
      </c>
      <c r="BM1" t="s">
        <v>680</v>
      </c>
      <c r="BN1" t="s">
        <v>681</v>
      </c>
      <c r="BO1" t="s">
        <v>682</v>
      </c>
      <c r="BP1" t="s">
        <v>683</v>
      </c>
      <c r="BQ1" t="s">
        <v>684</v>
      </c>
      <c r="BR1" t="s">
        <v>685</v>
      </c>
      <c r="BS1" t="s">
        <v>686</v>
      </c>
      <c r="BT1" t="s">
        <v>687</v>
      </c>
      <c r="BU1" t="s">
        <v>688</v>
      </c>
      <c r="BV1" t="s">
        <v>689</v>
      </c>
      <c r="BW1" t="s">
        <v>690</v>
      </c>
      <c r="BX1" t="s">
        <v>691</v>
      </c>
      <c r="BY1" t="s">
        <v>692</v>
      </c>
      <c r="BZ1" t="s">
        <v>693</v>
      </c>
      <c r="CA1" t="s">
        <v>339</v>
      </c>
    </row>
    <row r="2" spans="1:79" x14ac:dyDescent="0.25">
      <c r="A2" t="s">
        <v>444</v>
      </c>
      <c r="B2" t="s">
        <v>445</v>
      </c>
      <c r="C2" t="s">
        <v>695</v>
      </c>
      <c r="D2" t="s">
        <v>695</v>
      </c>
      <c r="E2" t="s">
        <v>446</v>
      </c>
      <c r="F2" t="s">
        <v>695</v>
      </c>
      <c r="G2" t="s">
        <v>344</v>
      </c>
      <c r="H2" t="s">
        <v>695</v>
      </c>
      <c r="I2" t="s">
        <v>18</v>
      </c>
      <c r="J2" t="s">
        <v>695</v>
      </c>
      <c r="K2" t="s">
        <v>18</v>
      </c>
      <c r="L2" t="s">
        <v>695</v>
      </c>
      <c r="M2" t="s">
        <v>695</v>
      </c>
      <c r="N2">
        <v>660</v>
      </c>
      <c r="O2">
        <v>72</v>
      </c>
      <c r="Q2" t="s">
        <v>695</v>
      </c>
      <c r="S2" t="s">
        <v>695</v>
      </c>
      <c r="T2" t="s">
        <v>13</v>
      </c>
      <c r="U2" t="s">
        <v>695</v>
      </c>
      <c r="V2" t="s">
        <v>695</v>
      </c>
      <c r="W2" t="s">
        <v>695</v>
      </c>
      <c r="X2">
        <v>2015</v>
      </c>
      <c r="Y2" t="s">
        <v>695</v>
      </c>
      <c r="Z2" t="s">
        <v>695</v>
      </c>
      <c r="AA2" t="s">
        <v>695</v>
      </c>
      <c r="AB2">
        <v>0</v>
      </c>
      <c r="AC2">
        <v>1</v>
      </c>
      <c r="AG2" t="s">
        <v>695</v>
      </c>
      <c r="AI2" t="s">
        <v>695</v>
      </c>
      <c r="AK2" t="s">
        <v>695</v>
      </c>
      <c r="AL2">
        <v>1</v>
      </c>
      <c r="AM2" t="s">
        <v>695</v>
      </c>
      <c r="AO2" t="s">
        <v>695</v>
      </c>
      <c r="AP2" t="s">
        <v>695</v>
      </c>
      <c r="AQ2" t="s">
        <v>695</v>
      </c>
      <c r="AR2" t="s">
        <v>21</v>
      </c>
      <c r="AS2" t="s">
        <v>11</v>
      </c>
      <c r="AT2" t="s">
        <v>345</v>
      </c>
      <c r="AU2" t="s">
        <v>695</v>
      </c>
      <c r="AV2" t="s">
        <v>695</v>
      </c>
      <c r="AW2" t="s">
        <v>695</v>
      </c>
      <c r="AX2" t="s">
        <v>17</v>
      </c>
      <c r="AY2">
        <v>60</v>
      </c>
      <c r="AZ2" t="s">
        <v>15</v>
      </c>
      <c r="BA2" t="s">
        <v>708</v>
      </c>
      <c r="BB2" t="s">
        <v>695</v>
      </c>
      <c r="BC2" s="1"/>
      <c r="BD2" t="s">
        <v>447</v>
      </c>
      <c r="BE2" t="s">
        <v>695</v>
      </c>
      <c r="BF2">
        <v>5</v>
      </c>
      <c r="BG2" t="s">
        <v>695</v>
      </c>
      <c r="BH2" t="s">
        <v>695</v>
      </c>
      <c r="BI2" t="s">
        <v>695</v>
      </c>
      <c r="BJ2" t="s">
        <v>923</v>
      </c>
      <c r="BK2" t="s">
        <v>695</v>
      </c>
      <c r="BL2" t="s">
        <v>23</v>
      </c>
      <c r="BM2" t="s">
        <v>695</v>
      </c>
      <c r="BN2" t="s">
        <v>695</v>
      </c>
      <c r="BO2" t="s">
        <v>347</v>
      </c>
      <c r="BP2" t="s">
        <v>16</v>
      </c>
      <c r="BQ2" t="s">
        <v>695</v>
      </c>
      <c r="BR2" t="s">
        <v>695</v>
      </c>
      <c r="BS2" t="s">
        <v>448</v>
      </c>
      <c r="BT2" t="s">
        <v>695</v>
      </c>
      <c r="BU2" t="s">
        <v>19</v>
      </c>
      <c r="BV2" t="s">
        <v>695</v>
      </c>
      <c r="BW2" t="s">
        <v>924</v>
      </c>
      <c r="BX2">
        <v>7</v>
      </c>
      <c r="BY2" t="s">
        <v>20</v>
      </c>
      <c r="BZ2" t="s">
        <v>6</v>
      </c>
      <c r="CA2" t="s">
        <v>22</v>
      </c>
    </row>
    <row r="3" spans="1:79" x14ac:dyDescent="0.25">
      <c r="A3" t="s">
        <v>488</v>
      </c>
      <c r="B3" t="s">
        <v>489</v>
      </c>
      <c r="C3" t="s">
        <v>695</v>
      </c>
      <c r="D3" t="s">
        <v>695</v>
      </c>
      <c r="E3" t="s">
        <v>350</v>
      </c>
      <c r="F3" t="s">
        <v>695</v>
      </c>
      <c r="G3" t="s">
        <v>344</v>
      </c>
      <c r="H3" t="s">
        <v>695</v>
      </c>
      <c r="I3" t="s">
        <v>65</v>
      </c>
      <c r="J3" t="s">
        <v>695</v>
      </c>
      <c r="K3" t="s">
        <v>65</v>
      </c>
      <c r="L3" t="s">
        <v>695</v>
      </c>
      <c r="M3" t="s">
        <v>695</v>
      </c>
      <c r="N3">
        <v>6250</v>
      </c>
      <c r="O3">
        <v>18</v>
      </c>
      <c r="Q3" t="s">
        <v>695</v>
      </c>
      <c r="S3" t="s">
        <v>695</v>
      </c>
      <c r="T3" t="s">
        <v>52</v>
      </c>
      <c r="U3" t="s">
        <v>695</v>
      </c>
      <c r="V3" t="s">
        <v>490</v>
      </c>
      <c r="W3" t="s">
        <v>695</v>
      </c>
      <c r="X3">
        <v>2003</v>
      </c>
      <c r="Y3" t="s">
        <v>695</v>
      </c>
      <c r="Z3" t="s">
        <v>695</v>
      </c>
      <c r="AA3" t="s">
        <v>695</v>
      </c>
      <c r="AB3">
        <v>1</v>
      </c>
      <c r="AC3">
        <v>0</v>
      </c>
      <c r="AG3" t="s">
        <v>695</v>
      </c>
      <c r="AI3" t="s">
        <v>695</v>
      </c>
      <c r="AJ3">
        <v>1</v>
      </c>
      <c r="AK3" t="s">
        <v>695</v>
      </c>
      <c r="AL3">
        <v>1</v>
      </c>
      <c r="AM3" t="s">
        <v>695</v>
      </c>
      <c r="AN3">
        <v>1</v>
      </c>
      <c r="AO3" t="s">
        <v>695</v>
      </c>
      <c r="AP3" t="s">
        <v>695</v>
      </c>
      <c r="AQ3" t="s">
        <v>695</v>
      </c>
      <c r="AR3" t="s">
        <v>190</v>
      </c>
      <c r="AS3" t="s">
        <v>11</v>
      </c>
      <c r="AT3" t="s">
        <v>345</v>
      </c>
      <c r="AU3" t="s">
        <v>695</v>
      </c>
      <c r="AV3" t="s">
        <v>695</v>
      </c>
      <c r="AW3" t="s">
        <v>695</v>
      </c>
      <c r="AX3" t="s">
        <v>234</v>
      </c>
      <c r="AY3">
        <v>70</v>
      </c>
      <c r="AZ3" t="s">
        <v>232</v>
      </c>
      <c r="BA3" t="s">
        <v>491</v>
      </c>
      <c r="BB3" t="s">
        <v>695</v>
      </c>
      <c r="BC3" s="1">
        <v>41306</v>
      </c>
      <c r="BD3" t="s">
        <v>695</v>
      </c>
      <c r="BE3" t="s">
        <v>695</v>
      </c>
      <c r="BF3">
        <v>4</v>
      </c>
      <c r="BG3" t="s">
        <v>695</v>
      </c>
      <c r="BH3" t="s">
        <v>695</v>
      </c>
      <c r="BI3" t="s">
        <v>695</v>
      </c>
      <c r="BJ3" t="s">
        <v>492</v>
      </c>
      <c r="BK3" t="s">
        <v>493</v>
      </c>
      <c r="BL3" t="s">
        <v>53</v>
      </c>
      <c r="BM3" t="s">
        <v>695</v>
      </c>
      <c r="BN3" t="s">
        <v>695</v>
      </c>
      <c r="BO3" t="s">
        <v>695</v>
      </c>
      <c r="BP3" t="s">
        <v>233</v>
      </c>
      <c r="BQ3" t="s">
        <v>695</v>
      </c>
      <c r="BR3" t="s">
        <v>695</v>
      </c>
      <c r="BS3" t="s">
        <v>695</v>
      </c>
      <c r="BT3" t="s">
        <v>695</v>
      </c>
      <c r="BU3" t="s">
        <v>235</v>
      </c>
      <c r="BV3" t="s">
        <v>695</v>
      </c>
      <c r="BW3" t="s">
        <v>925</v>
      </c>
      <c r="BX3">
        <v>6</v>
      </c>
      <c r="BY3" t="s">
        <v>236</v>
      </c>
      <c r="BZ3" t="s">
        <v>6</v>
      </c>
      <c r="CA3" t="s">
        <v>237</v>
      </c>
    </row>
    <row r="4" spans="1:79" x14ac:dyDescent="0.25">
      <c r="A4" t="s">
        <v>509</v>
      </c>
      <c r="B4" t="s">
        <v>510</v>
      </c>
      <c r="C4" t="s">
        <v>695</v>
      </c>
      <c r="D4" t="s">
        <v>695</v>
      </c>
      <c r="E4" t="s">
        <v>511</v>
      </c>
      <c r="F4" t="s">
        <v>695</v>
      </c>
      <c r="G4" t="s">
        <v>344</v>
      </c>
      <c r="H4" t="s">
        <v>695</v>
      </c>
      <c r="I4" t="s">
        <v>7</v>
      </c>
      <c r="J4" t="s">
        <v>695</v>
      </c>
      <c r="K4" t="s">
        <v>7</v>
      </c>
      <c r="L4" t="s">
        <v>695</v>
      </c>
      <c r="M4" t="s">
        <v>695</v>
      </c>
      <c r="N4">
        <v>16021</v>
      </c>
      <c r="Q4" t="s">
        <v>695</v>
      </c>
      <c r="S4" t="s">
        <v>695</v>
      </c>
      <c r="T4" t="s">
        <v>13</v>
      </c>
      <c r="U4" t="s">
        <v>695</v>
      </c>
      <c r="V4" t="s">
        <v>695</v>
      </c>
      <c r="W4" t="s">
        <v>695</v>
      </c>
      <c r="X4">
        <v>2015</v>
      </c>
      <c r="Y4" t="s">
        <v>695</v>
      </c>
      <c r="Z4" t="s">
        <v>695</v>
      </c>
      <c r="AA4" t="s">
        <v>695</v>
      </c>
      <c r="AB4">
        <v>0</v>
      </c>
      <c r="AC4">
        <v>1</v>
      </c>
      <c r="AG4" t="s">
        <v>695</v>
      </c>
      <c r="AH4">
        <v>1</v>
      </c>
      <c r="AI4" t="s">
        <v>695</v>
      </c>
      <c r="AK4" t="s">
        <v>695</v>
      </c>
      <c r="AL4">
        <v>1</v>
      </c>
      <c r="AM4" t="s">
        <v>695</v>
      </c>
      <c r="AN4">
        <v>1</v>
      </c>
      <c r="AO4" t="s">
        <v>695</v>
      </c>
      <c r="AP4" t="s">
        <v>695</v>
      </c>
      <c r="AQ4" t="s">
        <v>695</v>
      </c>
      <c r="AR4" t="s">
        <v>695</v>
      </c>
      <c r="AS4" t="s">
        <v>11</v>
      </c>
      <c r="AT4" t="s">
        <v>345</v>
      </c>
      <c r="AU4" t="s">
        <v>695</v>
      </c>
      <c r="AV4" t="s">
        <v>695</v>
      </c>
      <c r="AW4" t="s">
        <v>695</v>
      </c>
      <c r="AX4" t="s">
        <v>5</v>
      </c>
      <c r="AY4">
        <v>20</v>
      </c>
      <c r="AZ4" t="s">
        <v>3</v>
      </c>
      <c r="BA4" t="s">
        <v>716</v>
      </c>
      <c r="BB4" t="s">
        <v>695</v>
      </c>
      <c r="BC4" s="1"/>
      <c r="BD4" t="s">
        <v>695</v>
      </c>
      <c r="BE4" t="s">
        <v>695</v>
      </c>
      <c r="BF4">
        <v>2</v>
      </c>
      <c r="BG4" t="s">
        <v>695</v>
      </c>
      <c r="BH4" t="s">
        <v>695</v>
      </c>
      <c r="BI4" t="s">
        <v>695</v>
      </c>
      <c r="BJ4" t="s">
        <v>512</v>
      </c>
      <c r="BK4" t="s">
        <v>695</v>
      </c>
      <c r="BL4" t="s">
        <v>14</v>
      </c>
      <c r="BM4" t="s">
        <v>695</v>
      </c>
      <c r="BN4" t="s">
        <v>695</v>
      </c>
      <c r="BO4" t="s">
        <v>695</v>
      </c>
      <c r="BP4" t="s">
        <v>4</v>
      </c>
      <c r="BQ4" t="s">
        <v>695</v>
      </c>
      <c r="BR4" t="s">
        <v>695</v>
      </c>
      <c r="BS4" t="s">
        <v>695</v>
      </c>
      <c r="BT4" t="s">
        <v>695</v>
      </c>
      <c r="BU4" t="s">
        <v>8</v>
      </c>
      <c r="BV4" t="s">
        <v>695</v>
      </c>
      <c r="BW4" t="s">
        <v>10</v>
      </c>
      <c r="BX4">
        <v>2</v>
      </c>
      <c r="BY4" t="s">
        <v>9</v>
      </c>
      <c r="BZ4" t="s">
        <v>6</v>
      </c>
      <c r="CA4" t="s">
        <v>12</v>
      </c>
    </row>
    <row r="5" spans="1:79" x14ac:dyDescent="0.25">
      <c r="A5" t="s">
        <v>360</v>
      </c>
      <c r="B5" t="s">
        <v>361</v>
      </c>
      <c r="C5" t="s">
        <v>695</v>
      </c>
      <c r="D5" t="s">
        <v>695</v>
      </c>
      <c r="E5" t="s">
        <v>362</v>
      </c>
      <c r="F5" t="s">
        <v>343</v>
      </c>
      <c r="G5" t="s">
        <v>344</v>
      </c>
      <c r="H5" t="s">
        <v>363</v>
      </c>
      <c r="I5" t="s">
        <v>65</v>
      </c>
      <c r="J5" t="s">
        <v>695</v>
      </c>
      <c r="K5" t="s">
        <v>695</v>
      </c>
      <c r="L5" t="s">
        <v>695</v>
      </c>
      <c r="M5" t="s">
        <v>695</v>
      </c>
      <c r="P5">
        <v>110</v>
      </c>
      <c r="Q5" t="s">
        <v>695</v>
      </c>
      <c r="R5">
        <v>110</v>
      </c>
      <c r="S5" t="s">
        <v>364</v>
      </c>
      <c r="T5" t="s">
        <v>35</v>
      </c>
      <c r="U5" t="s">
        <v>695</v>
      </c>
      <c r="V5" t="s">
        <v>365</v>
      </c>
      <c r="W5" t="s">
        <v>366</v>
      </c>
      <c r="X5">
        <v>2015</v>
      </c>
      <c r="Y5" t="s">
        <v>695</v>
      </c>
      <c r="Z5" t="s">
        <v>695</v>
      </c>
      <c r="AA5" t="s">
        <v>695</v>
      </c>
      <c r="AB5">
        <v>1</v>
      </c>
      <c r="AC5">
        <v>1</v>
      </c>
      <c r="AG5" t="s">
        <v>695</v>
      </c>
      <c r="AI5" t="s">
        <v>695</v>
      </c>
      <c r="AK5" t="s">
        <v>695</v>
      </c>
      <c r="AM5" t="s">
        <v>695</v>
      </c>
      <c r="AO5" t="s">
        <v>695</v>
      </c>
      <c r="AP5" t="s">
        <v>695</v>
      </c>
      <c r="AQ5" t="s">
        <v>695</v>
      </c>
      <c r="AR5" t="s">
        <v>367</v>
      </c>
      <c r="AS5" t="s">
        <v>11</v>
      </c>
      <c r="AT5" t="s">
        <v>368</v>
      </c>
      <c r="AU5" t="s">
        <v>695</v>
      </c>
      <c r="AV5" t="s">
        <v>695</v>
      </c>
      <c r="AW5" t="s">
        <v>695</v>
      </c>
      <c r="AX5" t="s">
        <v>695</v>
      </c>
      <c r="AY5">
        <v>110</v>
      </c>
      <c r="AZ5" t="s">
        <v>364</v>
      </c>
      <c r="BA5" t="s">
        <v>369</v>
      </c>
      <c r="BB5" t="s">
        <v>695</v>
      </c>
      <c r="BC5" s="1"/>
      <c r="BD5" t="s">
        <v>370</v>
      </c>
      <c r="BE5" t="s">
        <v>371</v>
      </c>
      <c r="BF5">
        <v>9</v>
      </c>
      <c r="BG5" t="s">
        <v>695</v>
      </c>
      <c r="BH5" t="s">
        <v>695</v>
      </c>
      <c r="BI5" t="s">
        <v>695</v>
      </c>
      <c r="BJ5" t="s">
        <v>372</v>
      </c>
      <c r="BK5" t="s">
        <v>695</v>
      </c>
      <c r="BL5" t="s">
        <v>23</v>
      </c>
      <c r="BM5" t="s">
        <v>695</v>
      </c>
      <c r="BN5" t="s">
        <v>695</v>
      </c>
      <c r="BO5" t="s">
        <v>695</v>
      </c>
      <c r="BP5" t="s">
        <v>199</v>
      </c>
      <c r="BQ5" t="s">
        <v>373</v>
      </c>
      <c r="BR5" t="s">
        <v>695</v>
      </c>
      <c r="BS5" t="s">
        <v>695</v>
      </c>
      <c r="BT5" t="s">
        <v>695</v>
      </c>
      <c r="BU5" t="s">
        <v>374</v>
      </c>
      <c r="BV5" t="s">
        <v>46</v>
      </c>
      <c r="BW5" t="s">
        <v>375</v>
      </c>
      <c r="BX5">
        <v>10</v>
      </c>
      <c r="BY5" t="s">
        <v>376</v>
      </c>
      <c r="BZ5" t="s">
        <v>6</v>
      </c>
      <c r="CA5" t="s">
        <v>377</v>
      </c>
    </row>
    <row r="6" spans="1:79" x14ac:dyDescent="0.25">
      <c r="A6" t="s">
        <v>360</v>
      </c>
      <c r="B6" t="s">
        <v>361</v>
      </c>
      <c r="C6" t="s">
        <v>695</v>
      </c>
      <c r="D6" t="s">
        <v>695</v>
      </c>
      <c r="E6" t="s">
        <v>362</v>
      </c>
      <c r="F6" t="s">
        <v>343</v>
      </c>
      <c r="G6" t="s">
        <v>344</v>
      </c>
      <c r="H6" t="s">
        <v>363</v>
      </c>
      <c r="I6" t="s">
        <v>65</v>
      </c>
      <c r="J6" t="s">
        <v>695</v>
      </c>
      <c r="K6" t="s">
        <v>65</v>
      </c>
      <c r="L6" t="s">
        <v>695</v>
      </c>
      <c r="M6" t="s">
        <v>695</v>
      </c>
      <c r="N6">
        <v>2335</v>
      </c>
      <c r="O6">
        <v>29</v>
      </c>
      <c r="P6">
        <v>70</v>
      </c>
      <c r="Q6" t="s">
        <v>695</v>
      </c>
      <c r="R6">
        <v>70</v>
      </c>
      <c r="S6" t="s">
        <v>422</v>
      </c>
      <c r="T6" t="s">
        <v>35</v>
      </c>
      <c r="U6" t="s">
        <v>695</v>
      </c>
      <c r="V6" t="s">
        <v>423</v>
      </c>
      <c r="W6" t="s">
        <v>366</v>
      </c>
      <c r="X6">
        <v>2015</v>
      </c>
      <c r="Y6" t="s">
        <v>695</v>
      </c>
      <c r="Z6" t="s">
        <v>695</v>
      </c>
      <c r="AA6" t="s">
        <v>695</v>
      </c>
      <c r="AB6">
        <v>1</v>
      </c>
      <c r="AC6">
        <v>1</v>
      </c>
      <c r="AG6" t="s">
        <v>695</v>
      </c>
      <c r="AI6" t="s">
        <v>695</v>
      </c>
      <c r="AK6" t="s">
        <v>695</v>
      </c>
      <c r="AM6" t="s">
        <v>695</v>
      </c>
      <c r="AO6" t="s">
        <v>695</v>
      </c>
      <c r="AP6" t="s">
        <v>695</v>
      </c>
      <c r="AQ6" t="s">
        <v>695</v>
      </c>
      <c r="AR6" t="s">
        <v>424</v>
      </c>
      <c r="AS6" t="s">
        <v>11</v>
      </c>
      <c r="AT6" t="s">
        <v>368</v>
      </c>
      <c r="AU6" t="s">
        <v>398</v>
      </c>
      <c r="AV6" t="s">
        <v>695</v>
      </c>
      <c r="AW6" t="s">
        <v>695</v>
      </c>
      <c r="AX6" t="s">
        <v>234</v>
      </c>
      <c r="AY6">
        <v>70</v>
      </c>
      <c r="AZ6" t="s">
        <v>425</v>
      </c>
      <c r="BA6" t="s">
        <v>926</v>
      </c>
      <c r="BB6" t="s">
        <v>695</v>
      </c>
      <c r="BC6" s="1"/>
      <c r="BD6" t="s">
        <v>426</v>
      </c>
      <c r="BE6" t="s">
        <v>377</v>
      </c>
      <c r="BF6">
        <v>5</v>
      </c>
      <c r="BG6" t="s">
        <v>695</v>
      </c>
      <c r="BH6" t="s">
        <v>695</v>
      </c>
      <c r="BI6" t="s">
        <v>695</v>
      </c>
      <c r="BJ6" t="s">
        <v>372</v>
      </c>
      <c r="BK6" t="s">
        <v>695</v>
      </c>
      <c r="BL6" t="s">
        <v>53</v>
      </c>
      <c r="BM6" t="s">
        <v>695</v>
      </c>
      <c r="BN6" t="s">
        <v>695</v>
      </c>
      <c r="BO6" t="s">
        <v>347</v>
      </c>
      <c r="BP6" t="s">
        <v>199</v>
      </c>
      <c r="BQ6" t="s">
        <v>58</v>
      </c>
      <c r="BR6" t="s">
        <v>695</v>
      </c>
      <c r="BS6" t="s">
        <v>412</v>
      </c>
      <c r="BT6" t="s">
        <v>695</v>
      </c>
      <c r="BU6" t="s">
        <v>201</v>
      </c>
      <c r="BV6" t="s">
        <v>46</v>
      </c>
      <c r="BW6" t="s">
        <v>427</v>
      </c>
      <c r="BX6">
        <v>7</v>
      </c>
      <c r="BY6" t="s">
        <v>202</v>
      </c>
      <c r="BZ6" t="s">
        <v>6</v>
      </c>
      <c r="CA6" t="s">
        <v>428</v>
      </c>
    </row>
    <row r="7" spans="1:79" x14ac:dyDescent="0.25">
      <c r="A7" t="s">
        <v>463</v>
      </c>
      <c r="B7" t="s">
        <v>464</v>
      </c>
      <c r="C7" t="s">
        <v>695</v>
      </c>
      <c r="D7" t="s">
        <v>695</v>
      </c>
      <c r="E7" t="s">
        <v>362</v>
      </c>
      <c r="F7" t="s">
        <v>343</v>
      </c>
      <c r="G7" t="s">
        <v>344</v>
      </c>
      <c r="H7" t="s">
        <v>695</v>
      </c>
      <c r="I7" t="s">
        <v>695</v>
      </c>
      <c r="J7" t="s">
        <v>695</v>
      </c>
      <c r="K7" t="s">
        <v>695</v>
      </c>
      <c r="L7" t="s">
        <v>695</v>
      </c>
      <c r="M7" t="s">
        <v>695</v>
      </c>
      <c r="N7">
        <v>15717</v>
      </c>
      <c r="O7">
        <v>11</v>
      </c>
      <c r="Q7" t="s">
        <v>695</v>
      </c>
      <c r="S7" t="s">
        <v>695</v>
      </c>
      <c r="T7" t="s">
        <v>35</v>
      </c>
      <c r="U7" t="s">
        <v>695</v>
      </c>
      <c r="V7" t="s">
        <v>695</v>
      </c>
      <c r="W7" t="s">
        <v>695</v>
      </c>
      <c r="X7">
        <v>2015</v>
      </c>
      <c r="Y7" t="s">
        <v>695</v>
      </c>
      <c r="Z7" t="s">
        <v>695</v>
      </c>
      <c r="AA7" t="s">
        <v>695</v>
      </c>
      <c r="AB7">
        <v>1</v>
      </c>
      <c r="AC7">
        <v>1</v>
      </c>
      <c r="AG7" t="s">
        <v>695</v>
      </c>
      <c r="AI7" t="s">
        <v>695</v>
      </c>
      <c r="AK7" t="s">
        <v>695</v>
      </c>
      <c r="AL7">
        <v>1</v>
      </c>
      <c r="AM7" t="s">
        <v>695</v>
      </c>
      <c r="AO7" t="s">
        <v>695</v>
      </c>
      <c r="AP7" t="s">
        <v>695</v>
      </c>
      <c r="AQ7" t="s">
        <v>695</v>
      </c>
      <c r="AR7" t="s">
        <v>695</v>
      </c>
      <c r="AS7" t="s">
        <v>11</v>
      </c>
      <c r="AT7" t="s">
        <v>345</v>
      </c>
      <c r="AU7" t="s">
        <v>695</v>
      </c>
      <c r="AV7" t="s">
        <v>695</v>
      </c>
      <c r="AW7" t="s">
        <v>695</v>
      </c>
      <c r="AX7" t="s">
        <v>194</v>
      </c>
      <c r="AY7">
        <v>20</v>
      </c>
      <c r="AZ7" t="s">
        <v>192</v>
      </c>
      <c r="BA7" t="s">
        <v>711</v>
      </c>
      <c r="BB7" t="s">
        <v>695</v>
      </c>
      <c r="BC7" s="1"/>
      <c r="BD7" t="s">
        <v>196</v>
      </c>
      <c r="BE7" t="s">
        <v>695</v>
      </c>
      <c r="BG7" t="s">
        <v>695</v>
      </c>
      <c r="BH7" t="s">
        <v>695</v>
      </c>
      <c r="BI7" t="s">
        <v>695</v>
      </c>
      <c r="BJ7" t="s">
        <v>465</v>
      </c>
      <c r="BK7" t="s">
        <v>695</v>
      </c>
      <c r="BL7" t="s">
        <v>106</v>
      </c>
      <c r="BM7" t="s">
        <v>695</v>
      </c>
      <c r="BN7" t="s">
        <v>695</v>
      </c>
      <c r="BO7" t="s">
        <v>695</v>
      </c>
      <c r="BP7" t="s">
        <v>193</v>
      </c>
      <c r="BQ7" t="s">
        <v>695</v>
      </c>
      <c r="BR7" t="s">
        <v>695</v>
      </c>
      <c r="BS7" t="s">
        <v>466</v>
      </c>
      <c r="BT7" t="s">
        <v>695</v>
      </c>
      <c r="BU7" t="s">
        <v>695</v>
      </c>
      <c r="BV7" t="s">
        <v>695</v>
      </c>
      <c r="BW7" t="s">
        <v>196</v>
      </c>
      <c r="BY7" t="s">
        <v>195</v>
      </c>
      <c r="BZ7" t="s">
        <v>195</v>
      </c>
      <c r="CA7" t="s">
        <v>197</v>
      </c>
    </row>
    <row r="8" spans="1:79" x14ac:dyDescent="0.25">
      <c r="A8" t="s">
        <v>531</v>
      </c>
      <c r="B8" t="s">
        <v>532</v>
      </c>
      <c r="C8" t="s">
        <v>695</v>
      </c>
      <c r="D8" t="s">
        <v>695</v>
      </c>
      <c r="E8" t="s">
        <v>362</v>
      </c>
      <c r="F8" t="s">
        <v>343</v>
      </c>
      <c r="G8" t="s">
        <v>344</v>
      </c>
      <c r="H8" t="s">
        <v>695</v>
      </c>
      <c r="I8" t="s">
        <v>695</v>
      </c>
      <c r="J8" t="s">
        <v>695</v>
      </c>
      <c r="K8" t="s">
        <v>695</v>
      </c>
      <c r="L8" t="s">
        <v>695</v>
      </c>
      <c r="M8" t="s">
        <v>695</v>
      </c>
      <c r="N8">
        <v>14850</v>
      </c>
      <c r="Q8" t="s">
        <v>695</v>
      </c>
      <c r="S8" t="s">
        <v>695</v>
      </c>
      <c r="T8" t="s">
        <v>35</v>
      </c>
      <c r="U8" t="s">
        <v>695</v>
      </c>
      <c r="V8" t="s">
        <v>533</v>
      </c>
      <c r="W8" t="s">
        <v>695</v>
      </c>
      <c r="X8">
        <v>1997</v>
      </c>
      <c r="Y8" t="s">
        <v>695</v>
      </c>
      <c r="Z8" t="s">
        <v>695</v>
      </c>
      <c r="AA8" t="s">
        <v>695</v>
      </c>
      <c r="AB8">
        <v>1</v>
      </c>
      <c r="AC8">
        <v>1</v>
      </c>
      <c r="AG8" t="s">
        <v>695</v>
      </c>
      <c r="AI8" t="s">
        <v>695</v>
      </c>
      <c r="AK8" t="s">
        <v>695</v>
      </c>
      <c r="AM8" t="s">
        <v>695</v>
      </c>
      <c r="AO8" t="s">
        <v>695</v>
      </c>
      <c r="AP8" t="s">
        <v>695</v>
      </c>
      <c r="AQ8" t="s">
        <v>695</v>
      </c>
      <c r="AR8" t="s">
        <v>294</v>
      </c>
      <c r="AS8" t="s">
        <v>11</v>
      </c>
      <c r="AT8" t="s">
        <v>345</v>
      </c>
      <c r="AU8" t="s">
        <v>695</v>
      </c>
      <c r="AV8" t="s">
        <v>695</v>
      </c>
      <c r="AW8" t="s">
        <v>695</v>
      </c>
      <c r="AX8" t="s">
        <v>290</v>
      </c>
      <c r="AY8">
        <v>40</v>
      </c>
      <c r="AZ8" t="s">
        <v>288</v>
      </c>
      <c r="BA8" t="s">
        <v>721</v>
      </c>
      <c r="BB8" t="s">
        <v>695</v>
      </c>
      <c r="BC8" s="1"/>
      <c r="BD8" t="s">
        <v>927</v>
      </c>
      <c r="BE8" t="s">
        <v>695</v>
      </c>
      <c r="BF8">
        <v>0</v>
      </c>
      <c r="BG8" t="s">
        <v>695</v>
      </c>
      <c r="BH8" t="s">
        <v>695</v>
      </c>
      <c r="BI8" t="s">
        <v>695</v>
      </c>
      <c r="BJ8" t="s">
        <v>534</v>
      </c>
      <c r="BK8" t="s">
        <v>695</v>
      </c>
      <c r="BL8" t="s">
        <v>106</v>
      </c>
      <c r="BM8" t="s">
        <v>695</v>
      </c>
      <c r="BN8" t="s">
        <v>695</v>
      </c>
      <c r="BO8" t="s">
        <v>695</v>
      </c>
      <c r="BP8" t="s">
        <v>289</v>
      </c>
      <c r="BQ8" t="s">
        <v>695</v>
      </c>
      <c r="BR8" t="s">
        <v>695</v>
      </c>
      <c r="BS8" t="s">
        <v>535</v>
      </c>
      <c r="BT8" t="s">
        <v>695</v>
      </c>
      <c r="BU8" t="s">
        <v>292</v>
      </c>
      <c r="BV8" t="s">
        <v>695</v>
      </c>
      <c r="BW8" t="s">
        <v>295</v>
      </c>
      <c r="BX8">
        <v>4</v>
      </c>
      <c r="BY8" t="s">
        <v>293</v>
      </c>
      <c r="BZ8" t="s">
        <v>291</v>
      </c>
      <c r="CA8" t="s">
        <v>296</v>
      </c>
    </row>
    <row r="9" spans="1:79" x14ac:dyDescent="0.25">
      <c r="A9" t="s">
        <v>547</v>
      </c>
      <c r="B9" t="s">
        <v>548</v>
      </c>
      <c r="C9" t="s">
        <v>695</v>
      </c>
      <c r="D9" t="s">
        <v>695</v>
      </c>
      <c r="E9" t="s">
        <v>362</v>
      </c>
      <c r="F9" t="s">
        <v>343</v>
      </c>
      <c r="G9" t="s">
        <v>344</v>
      </c>
      <c r="H9" t="s">
        <v>695</v>
      </c>
      <c r="I9" t="s">
        <v>180</v>
      </c>
      <c r="J9" t="s">
        <v>695</v>
      </c>
      <c r="K9" t="s">
        <v>695</v>
      </c>
      <c r="L9" t="s">
        <v>695</v>
      </c>
      <c r="M9" t="s">
        <v>695</v>
      </c>
      <c r="N9">
        <v>21886</v>
      </c>
      <c r="Q9" t="s">
        <v>695</v>
      </c>
      <c r="S9" t="s">
        <v>695</v>
      </c>
      <c r="T9" t="s">
        <v>35</v>
      </c>
      <c r="U9" t="s">
        <v>695</v>
      </c>
      <c r="V9" t="s">
        <v>549</v>
      </c>
      <c r="W9" t="s">
        <v>385</v>
      </c>
      <c r="X9">
        <v>2015</v>
      </c>
      <c r="Y9" t="s">
        <v>695</v>
      </c>
      <c r="Z9" t="s">
        <v>695</v>
      </c>
      <c r="AA9" t="s">
        <v>695</v>
      </c>
      <c r="AB9">
        <v>1</v>
      </c>
      <c r="AC9">
        <v>1</v>
      </c>
      <c r="AG9" t="s">
        <v>695</v>
      </c>
      <c r="AI9" t="s">
        <v>695</v>
      </c>
      <c r="AK9" t="s">
        <v>695</v>
      </c>
      <c r="AM9" t="s">
        <v>695</v>
      </c>
      <c r="AO9" t="s">
        <v>695</v>
      </c>
      <c r="AP9" t="s">
        <v>695</v>
      </c>
      <c r="AQ9" t="s">
        <v>695</v>
      </c>
      <c r="AR9" t="s">
        <v>217</v>
      </c>
      <c r="AS9" t="s">
        <v>11</v>
      </c>
      <c r="AT9" t="s">
        <v>345</v>
      </c>
      <c r="AU9" t="s">
        <v>695</v>
      </c>
      <c r="AV9" t="s">
        <v>695</v>
      </c>
      <c r="AW9" t="s">
        <v>695</v>
      </c>
      <c r="AX9" t="s">
        <v>216</v>
      </c>
      <c r="AY9">
        <v>20</v>
      </c>
      <c r="AZ9" t="s">
        <v>214</v>
      </c>
      <c r="BA9" t="s">
        <v>724</v>
      </c>
      <c r="BB9" t="s">
        <v>695</v>
      </c>
      <c r="BC9" s="1"/>
      <c r="BD9" t="s">
        <v>928</v>
      </c>
      <c r="BE9" t="s">
        <v>695</v>
      </c>
      <c r="BF9">
        <v>2</v>
      </c>
      <c r="BG9" t="s">
        <v>695</v>
      </c>
      <c r="BH9" t="s">
        <v>695</v>
      </c>
      <c r="BI9" t="s">
        <v>695</v>
      </c>
      <c r="BJ9" t="s">
        <v>215</v>
      </c>
      <c r="BK9" t="s">
        <v>695</v>
      </c>
      <c r="BL9" t="s">
        <v>14</v>
      </c>
      <c r="BM9" t="s">
        <v>695</v>
      </c>
      <c r="BN9" t="s">
        <v>695</v>
      </c>
      <c r="BO9" t="s">
        <v>695</v>
      </c>
      <c r="BP9" t="s">
        <v>215</v>
      </c>
      <c r="BQ9" t="s">
        <v>695</v>
      </c>
      <c r="BR9" t="s">
        <v>695</v>
      </c>
      <c r="BS9" t="s">
        <v>929</v>
      </c>
      <c r="BT9" t="s">
        <v>695</v>
      </c>
      <c r="BU9" t="s">
        <v>209</v>
      </c>
      <c r="BV9" t="s">
        <v>695</v>
      </c>
      <c r="BW9" t="s">
        <v>218</v>
      </c>
      <c r="BX9">
        <v>2</v>
      </c>
      <c r="BY9" t="s">
        <v>210</v>
      </c>
      <c r="BZ9" t="s">
        <v>6</v>
      </c>
      <c r="CA9" t="s">
        <v>219</v>
      </c>
    </row>
    <row r="10" spans="1:79" x14ac:dyDescent="0.25">
      <c r="A10" t="s">
        <v>405</v>
      </c>
      <c r="B10" t="s">
        <v>406</v>
      </c>
      <c r="C10" t="s">
        <v>695</v>
      </c>
      <c r="D10" t="s">
        <v>695</v>
      </c>
      <c r="E10" t="s">
        <v>342</v>
      </c>
      <c r="F10" t="s">
        <v>343</v>
      </c>
      <c r="G10" t="s">
        <v>344</v>
      </c>
      <c r="H10" t="s">
        <v>695</v>
      </c>
      <c r="I10" t="s">
        <v>180</v>
      </c>
      <c r="J10" t="s">
        <v>695</v>
      </c>
      <c r="K10" t="s">
        <v>180</v>
      </c>
      <c r="L10" t="s">
        <v>695</v>
      </c>
      <c r="M10" t="s">
        <v>695</v>
      </c>
      <c r="N10">
        <v>12422</v>
      </c>
      <c r="O10">
        <v>75</v>
      </c>
      <c r="Q10" t="s">
        <v>695</v>
      </c>
      <c r="S10" t="s">
        <v>695</v>
      </c>
      <c r="T10" t="s">
        <v>35</v>
      </c>
      <c r="U10" t="s">
        <v>695</v>
      </c>
      <c r="V10" t="s">
        <v>407</v>
      </c>
      <c r="W10" t="s">
        <v>695</v>
      </c>
      <c r="X10">
        <v>2015</v>
      </c>
      <c r="Y10" t="s">
        <v>695</v>
      </c>
      <c r="Z10" t="s">
        <v>695</v>
      </c>
      <c r="AA10" t="s">
        <v>695</v>
      </c>
      <c r="AB10">
        <v>1</v>
      </c>
      <c r="AC10">
        <v>1</v>
      </c>
      <c r="AG10" t="s">
        <v>695</v>
      </c>
      <c r="AI10" t="s">
        <v>695</v>
      </c>
      <c r="AK10" t="s">
        <v>695</v>
      </c>
      <c r="AL10">
        <v>1</v>
      </c>
      <c r="AM10" t="s">
        <v>695</v>
      </c>
      <c r="AO10" t="s">
        <v>695</v>
      </c>
      <c r="AP10" t="s">
        <v>695</v>
      </c>
      <c r="AQ10" t="s">
        <v>695</v>
      </c>
      <c r="AR10" t="s">
        <v>183</v>
      </c>
      <c r="AS10" t="s">
        <v>11</v>
      </c>
      <c r="AT10" t="s">
        <v>345</v>
      </c>
      <c r="AU10" t="s">
        <v>695</v>
      </c>
      <c r="AV10" t="s">
        <v>695</v>
      </c>
      <c r="AW10" t="s">
        <v>695</v>
      </c>
      <c r="AX10" t="s">
        <v>179</v>
      </c>
      <c r="AY10">
        <v>10</v>
      </c>
      <c r="AZ10" t="s">
        <v>177</v>
      </c>
      <c r="BA10" t="s">
        <v>702</v>
      </c>
      <c r="BB10" t="s">
        <v>695</v>
      </c>
      <c r="BC10" s="1"/>
      <c r="BD10" t="s">
        <v>184</v>
      </c>
      <c r="BE10" t="s">
        <v>695</v>
      </c>
      <c r="BG10" t="s">
        <v>695</v>
      </c>
      <c r="BH10" t="s">
        <v>695</v>
      </c>
      <c r="BI10" t="s">
        <v>695</v>
      </c>
      <c r="BJ10" t="s">
        <v>408</v>
      </c>
      <c r="BK10" t="s">
        <v>695</v>
      </c>
      <c r="BL10" t="s">
        <v>14</v>
      </c>
      <c r="BM10" t="s">
        <v>695</v>
      </c>
      <c r="BN10" t="s">
        <v>695</v>
      </c>
      <c r="BO10" t="s">
        <v>695</v>
      </c>
      <c r="BP10" t="s">
        <v>178</v>
      </c>
      <c r="BQ10" t="s">
        <v>695</v>
      </c>
      <c r="BR10" t="s">
        <v>695</v>
      </c>
      <c r="BS10" t="s">
        <v>930</v>
      </c>
      <c r="BT10" t="s">
        <v>695</v>
      </c>
      <c r="BU10" t="s">
        <v>181</v>
      </c>
      <c r="BV10" t="s">
        <v>695</v>
      </c>
      <c r="BW10" t="s">
        <v>184</v>
      </c>
      <c r="BY10" t="s">
        <v>182</v>
      </c>
      <c r="BZ10" t="s">
        <v>156</v>
      </c>
      <c r="CA10" t="s">
        <v>185</v>
      </c>
    </row>
    <row r="11" spans="1:79" x14ac:dyDescent="0.25">
      <c r="A11" t="s">
        <v>477</v>
      </c>
      <c r="B11" t="s">
        <v>478</v>
      </c>
      <c r="C11" t="s">
        <v>695</v>
      </c>
      <c r="D11" t="s">
        <v>695</v>
      </c>
      <c r="E11" t="s">
        <v>350</v>
      </c>
      <c r="F11" t="s">
        <v>343</v>
      </c>
      <c r="G11" t="s">
        <v>344</v>
      </c>
      <c r="H11" t="s">
        <v>695</v>
      </c>
      <c r="I11" t="s">
        <v>65</v>
      </c>
      <c r="J11" t="s">
        <v>695</v>
      </c>
      <c r="K11" t="s">
        <v>65</v>
      </c>
      <c r="L11" t="s">
        <v>695</v>
      </c>
      <c r="M11" t="s">
        <v>695</v>
      </c>
      <c r="N11">
        <v>20118</v>
      </c>
      <c r="Q11" t="s">
        <v>695</v>
      </c>
      <c r="S11" t="s">
        <v>695</v>
      </c>
      <c r="T11" t="s">
        <v>13</v>
      </c>
      <c r="U11" t="s">
        <v>695</v>
      </c>
      <c r="V11" t="s">
        <v>695</v>
      </c>
      <c r="W11" t="s">
        <v>695</v>
      </c>
      <c r="X11">
        <v>1997</v>
      </c>
      <c r="Y11" t="s">
        <v>695</v>
      </c>
      <c r="Z11" t="s">
        <v>695</v>
      </c>
      <c r="AA11" t="s">
        <v>695</v>
      </c>
      <c r="AB11">
        <v>0</v>
      </c>
      <c r="AC11">
        <v>1</v>
      </c>
      <c r="AG11" t="s">
        <v>695</v>
      </c>
      <c r="AI11" t="s">
        <v>695</v>
      </c>
      <c r="AK11" t="s">
        <v>695</v>
      </c>
      <c r="AL11">
        <v>1</v>
      </c>
      <c r="AM11" t="s">
        <v>695</v>
      </c>
      <c r="AO11" t="s">
        <v>695</v>
      </c>
      <c r="AP11" t="s">
        <v>695</v>
      </c>
      <c r="AQ11" t="s">
        <v>695</v>
      </c>
      <c r="AR11" t="s">
        <v>128</v>
      </c>
      <c r="AS11" t="s">
        <v>11</v>
      </c>
      <c r="AT11" t="s">
        <v>345</v>
      </c>
      <c r="AU11" t="s">
        <v>695</v>
      </c>
      <c r="AV11" t="s">
        <v>695</v>
      </c>
      <c r="AW11" t="s">
        <v>695</v>
      </c>
      <c r="AX11" t="s">
        <v>125</v>
      </c>
      <c r="AY11">
        <v>10</v>
      </c>
      <c r="AZ11" t="s">
        <v>123</v>
      </c>
      <c r="BA11" t="s">
        <v>479</v>
      </c>
      <c r="BB11" t="s">
        <v>695</v>
      </c>
      <c r="BC11" s="1">
        <v>45506</v>
      </c>
      <c r="BD11" t="s">
        <v>695</v>
      </c>
      <c r="BE11" t="s">
        <v>695</v>
      </c>
      <c r="BF11">
        <v>1</v>
      </c>
      <c r="BG11" t="s">
        <v>695</v>
      </c>
      <c r="BH11" t="s">
        <v>695</v>
      </c>
      <c r="BI11" t="s">
        <v>695</v>
      </c>
      <c r="BJ11" t="s">
        <v>480</v>
      </c>
      <c r="BK11" t="s">
        <v>695</v>
      </c>
      <c r="BL11" t="s">
        <v>14</v>
      </c>
      <c r="BM11" t="s">
        <v>695</v>
      </c>
      <c r="BN11" t="s">
        <v>695</v>
      </c>
      <c r="BO11" t="s">
        <v>695</v>
      </c>
      <c r="BP11" t="s">
        <v>124</v>
      </c>
      <c r="BQ11" t="s">
        <v>695</v>
      </c>
      <c r="BR11" t="s">
        <v>695</v>
      </c>
      <c r="BS11" t="s">
        <v>481</v>
      </c>
      <c r="BT11" t="s">
        <v>695</v>
      </c>
      <c r="BU11" t="s">
        <v>126</v>
      </c>
      <c r="BV11" t="s">
        <v>695</v>
      </c>
      <c r="BW11" t="s">
        <v>931</v>
      </c>
      <c r="BX11">
        <v>1</v>
      </c>
      <c r="BY11" t="s">
        <v>127</v>
      </c>
      <c r="BZ11" t="s">
        <v>6</v>
      </c>
      <c r="CA11" t="s">
        <v>129</v>
      </c>
    </row>
    <row r="12" spans="1:79" x14ac:dyDescent="0.25">
      <c r="A12" t="s">
        <v>435</v>
      </c>
      <c r="B12" t="s">
        <v>436</v>
      </c>
      <c r="C12" t="s">
        <v>695</v>
      </c>
      <c r="D12" t="s">
        <v>695</v>
      </c>
      <c r="E12" t="s">
        <v>342</v>
      </c>
      <c r="F12" t="s">
        <v>343</v>
      </c>
      <c r="G12" t="s">
        <v>344</v>
      </c>
      <c r="H12" t="s">
        <v>695</v>
      </c>
      <c r="I12" t="s">
        <v>162</v>
      </c>
      <c r="J12" t="s">
        <v>695</v>
      </c>
      <c r="K12" t="s">
        <v>162</v>
      </c>
      <c r="L12" t="s">
        <v>695</v>
      </c>
      <c r="M12" t="s">
        <v>695</v>
      </c>
      <c r="N12">
        <v>17947</v>
      </c>
      <c r="O12">
        <v>33</v>
      </c>
      <c r="Q12" t="s">
        <v>695</v>
      </c>
      <c r="S12" t="s">
        <v>695</v>
      </c>
      <c r="T12" t="s">
        <v>35</v>
      </c>
      <c r="U12" t="s">
        <v>695</v>
      </c>
      <c r="V12" t="s">
        <v>437</v>
      </c>
      <c r="W12" t="s">
        <v>695</v>
      </c>
      <c r="X12">
        <v>2015</v>
      </c>
      <c r="Y12" t="s">
        <v>695</v>
      </c>
      <c r="Z12" t="s">
        <v>695</v>
      </c>
      <c r="AA12" t="s">
        <v>695</v>
      </c>
      <c r="AB12">
        <v>1</v>
      </c>
      <c r="AC12">
        <v>1</v>
      </c>
      <c r="AG12" t="s">
        <v>695</v>
      </c>
      <c r="AI12" t="s">
        <v>695</v>
      </c>
      <c r="AK12" t="s">
        <v>695</v>
      </c>
      <c r="AM12" t="s">
        <v>695</v>
      </c>
      <c r="AO12" t="s">
        <v>695</v>
      </c>
      <c r="AP12" t="s">
        <v>695</v>
      </c>
      <c r="AQ12" t="s">
        <v>695</v>
      </c>
      <c r="AR12" t="s">
        <v>695</v>
      </c>
      <c r="AS12" t="s">
        <v>11</v>
      </c>
      <c r="AT12" t="s">
        <v>345</v>
      </c>
      <c r="AU12" t="s">
        <v>695</v>
      </c>
      <c r="AV12" t="s">
        <v>695</v>
      </c>
      <c r="AW12" t="s">
        <v>695</v>
      </c>
      <c r="AX12" t="s">
        <v>161</v>
      </c>
      <c r="AY12">
        <v>30</v>
      </c>
      <c r="AZ12" t="s">
        <v>159</v>
      </c>
      <c r="BA12" t="s">
        <v>706</v>
      </c>
      <c r="BB12" t="s">
        <v>695</v>
      </c>
      <c r="BC12" s="1"/>
      <c r="BD12" t="s">
        <v>163</v>
      </c>
      <c r="BE12" t="s">
        <v>695</v>
      </c>
      <c r="BG12" t="s">
        <v>695</v>
      </c>
      <c r="BH12" t="s">
        <v>695</v>
      </c>
      <c r="BI12" t="s">
        <v>695</v>
      </c>
      <c r="BJ12" t="s">
        <v>160</v>
      </c>
      <c r="BK12" t="s">
        <v>695</v>
      </c>
      <c r="BL12" t="s">
        <v>14</v>
      </c>
      <c r="BM12" t="s">
        <v>695</v>
      </c>
      <c r="BN12" t="s">
        <v>695</v>
      </c>
      <c r="BO12" t="s">
        <v>695</v>
      </c>
      <c r="BP12" t="s">
        <v>160</v>
      </c>
      <c r="BQ12" t="s">
        <v>695</v>
      </c>
      <c r="BR12" t="s">
        <v>695</v>
      </c>
      <c r="BS12" t="s">
        <v>932</v>
      </c>
      <c r="BT12" t="s">
        <v>695</v>
      </c>
      <c r="BU12" t="s">
        <v>695</v>
      </c>
      <c r="BV12" t="s">
        <v>695</v>
      </c>
      <c r="BW12" t="s">
        <v>163</v>
      </c>
      <c r="BY12" t="s">
        <v>138</v>
      </c>
      <c r="BZ12" t="s">
        <v>138</v>
      </c>
      <c r="CA12" t="s">
        <v>164</v>
      </c>
    </row>
    <row r="13" spans="1:79" x14ac:dyDescent="0.25">
      <c r="A13" t="s">
        <v>355</v>
      </c>
      <c r="B13" t="s">
        <v>356</v>
      </c>
      <c r="C13" t="s">
        <v>695</v>
      </c>
      <c r="D13" t="s">
        <v>695</v>
      </c>
      <c r="E13" t="s">
        <v>350</v>
      </c>
      <c r="F13" t="s">
        <v>343</v>
      </c>
      <c r="G13" t="s">
        <v>344</v>
      </c>
      <c r="H13" t="s">
        <v>695</v>
      </c>
      <c r="I13" t="s">
        <v>18</v>
      </c>
      <c r="J13" t="s">
        <v>695</v>
      </c>
      <c r="K13" t="s">
        <v>18</v>
      </c>
      <c r="L13" t="s">
        <v>695</v>
      </c>
      <c r="M13" t="s">
        <v>695</v>
      </c>
      <c r="N13">
        <v>19535</v>
      </c>
      <c r="Q13" t="s">
        <v>695</v>
      </c>
      <c r="S13" t="s">
        <v>695</v>
      </c>
      <c r="T13" t="s">
        <v>13</v>
      </c>
      <c r="U13" t="s">
        <v>695</v>
      </c>
      <c r="V13" t="s">
        <v>357</v>
      </c>
      <c r="W13" t="s">
        <v>695</v>
      </c>
      <c r="X13">
        <v>2015</v>
      </c>
      <c r="Y13" t="s">
        <v>695</v>
      </c>
      <c r="Z13" t="s">
        <v>695</v>
      </c>
      <c r="AA13" t="s">
        <v>695</v>
      </c>
      <c r="AB13">
        <v>0</v>
      </c>
      <c r="AC13">
        <v>1</v>
      </c>
      <c r="AG13" t="s">
        <v>695</v>
      </c>
      <c r="AI13" t="s">
        <v>695</v>
      </c>
      <c r="AK13" t="s">
        <v>695</v>
      </c>
      <c r="AL13">
        <v>1</v>
      </c>
      <c r="AM13" t="s">
        <v>695</v>
      </c>
      <c r="AO13" t="s">
        <v>695</v>
      </c>
      <c r="AP13" t="s">
        <v>695</v>
      </c>
      <c r="AQ13" t="s">
        <v>695</v>
      </c>
      <c r="AR13" t="s">
        <v>695</v>
      </c>
      <c r="AS13" t="s">
        <v>11</v>
      </c>
      <c r="AT13" t="s">
        <v>345</v>
      </c>
      <c r="AU13" t="s">
        <v>695</v>
      </c>
      <c r="AV13" t="s">
        <v>695</v>
      </c>
      <c r="AW13" t="s">
        <v>695</v>
      </c>
      <c r="AX13" t="s">
        <v>137</v>
      </c>
      <c r="AY13">
        <v>40</v>
      </c>
      <c r="AZ13" t="s">
        <v>136</v>
      </c>
      <c r="BA13" t="s">
        <v>358</v>
      </c>
      <c r="BB13" t="s">
        <v>695</v>
      </c>
      <c r="BC13" s="1">
        <v>43776</v>
      </c>
      <c r="BD13" t="s">
        <v>695</v>
      </c>
      <c r="BE13" t="s">
        <v>695</v>
      </c>
      <c r="BG13" t="s">
        <v>695</v>
      </c>
      <c r="BH13" t="s">
        <v>695</v>
      </c>
      <c r="BI13" t="s">
        <v>695</v>
      </c>
      <c r="BJ13" t="s">
        <v>359</v>
      </c>
      <c r="BK13" t="s">
        <v>695</v>
      </c>
      <c r="BL13" t="s">
        <v>14</v>
      </c>
      <c r="BM13" t="s">
        <v>695</v>
      </c>
      <c r="BN13" t="s">
        <v>695</v>
      </c>
      <c r="BO13" t="s">
        <v>695</v>
      </c>
      <c r="BP13" t="s">
        <v>124</v>
      </c>
      <c r="BQ13" t="s">
        <v>695</v>
      </c>
      <c r="BR13" t="s">
        <v>695</v>
      </c>
      <c r="BS13" t="s">
        <v>354</v>
      </c>
      <c r="BT13" t="s">
        <v>695</v>
      </c>
      <c r="BU13" t="s">
        <v>695</v>
      </c>
      <c r="BV13" t="s">
        <v>695</v>
      </c>
      <c r="BW13" t="s">
        <v>139</v>
      </c>
      <c r="BY13" t="s">
        <v>138</v>
      </c>
      <c r="BZ13" t="s">
        <v>138</v>
      </c>
      <c r="CA13" t="s">
        <v>140</v>
      </c>
    </row>
    <row r="14" spans="1:79" x14ac:dyDescent="0.25">
      <c r="A14" t="s">
        <v>500</v>
      </c>
      <c r="B14" t="s">
        <v>501</v>
      </c>
      <c r="C14" t="s">
        <v>695</v>
      </c>
      <c r="D14" t="s">
        <v>695</v>
      </c>
      <c r="E14" t="s">
        <v>350</v>
      </c>
      <c r="F14" t="s">
        <v>343</v>
      </c>
      <c r="G14" t="s">
        <v>344</v>
      </c>
      <c r="H14" t="s">
        <v>695</v>
      </c>
      <c r="I14" t="s">
        <v>7</v>
      </c>
      <c r="J14" t="s">
        <v>695</v>
      </c>
      <c r="K14" t="s">
        <v>7</v>
      </c>
      <c r="L14" t="s">
        <v>695</v>
      </c>
      <c r="M14" t="s">
        <v>695</v>
      </c>
      <c r="N14">
        <v>23777</v>
      </c>
      <c r="O14">
        <v>2</v>
      </c>
      <c r="Q14" t="s">
        <v>695</v>
      </c>
      <c r="S14" t="s">
        <v>695</v>
      </c>
      <c r="T14" t="s">
        <v>13</v>
      </c>
      <c r="U14" t="s">
        <v>695</v>
      </c>
      <c r="V14" t="s">
        <v>695</v>
      </c>
      <c r="W14" t="s">
        <v>695</v>
      </c>
      <c r="X14">
        <v>1997</v>
      </c>
      <c r="Y14" t="s">
        <v>695</v>
      </c>
      <c r="Z14" t="s">
        <v>695</v>
      </c>
      <c r="AA14" t="s">
        <v>695</v>
      </c>
      <c r="AB14">
        <v>0</v>
      </c>
      <c r="AC14">
        <v>1</v>
      </c>
      <c r="AG14" t="s">
        <v>695</v>
      </c>
      <c r="AI14" t="s">
        <v>695</v>
      </c>
      <c r="AK14" t="s">
        <v>695</v>
      </c>
      <c r="AL14">
        <v>1</v>
      </c>
      <c r="AM14" t="s">
        <v>695</v>
      </c>
      <c r="AO14" t="s">
        <v>695</v>
      </c>
      <c r="AP14" t="s">
        <v>695</v>
      </c>
      <c r="AQ14" t="s">
        <v>695</v>
      </c>
      <c r="AR14" t="s">
        <v>695</v>
      </c>
      <c r="AS14" t="s">
        <v>11</v>
      </c>
      <c r="AT14" t="s">
        <v>345</v>
      </c>
      <c r="AU14" t="s">
        <v>695</v>
      </c>
      <c r="AV14" t="s">
        <v>695</v>
      </c>
      <c r="AW14" t="s">
        <v>695</v>
      </c>
      <c r="AX14" t="s">
        <v>142</v>
      </c>
      <c r="AY14">
        <v>40</v>
      </c>
      <c r="AZ14" t="s">
        <v>141</v>
      </c>
      <c r="BA14" t="s">
        <v>502</v>
      </c>
      <c r="BB14" t="s">
        <v>695</v>
      </c>
      <c r="BC14" s="1">
        <v>43776</v>
      </c>
      <c r="BD14" t="s">
        <v>695</v>
      </c>
      <c r="BE14" t="s">
        <v>695</v>
      </c>
      <c r="BG14" t="s">
        <v>695</v>
      </c>
      <c r="BH14" t="s">
        <v>695</v>
      </c>
      <c r="BI14" t="s">
        <v>695</v>
      </c>
      <c r="BJ14" t="s">
        <v>503</v>
      </c>
      <c r="BK14" t="s">
        <v>695</v>
      </c>
      <c r="BL14" t="s">
        <v>106</v>
      </c>
      <c r="BM14" t="s">
        <v>695</v>
      </c>
      <c r="BN14" t="s">
        <v>695</v>
      </c>
      <c r="BO14" t="s">
        <v>695</v>
      </c>
      <c r="BP14" t="s">
        <v>124</v>
      </c>
      <c r="BQ14" t="s">
        <v>695</v>
      </c>
      <c r="BR14" t="s">
        <v>695</v>
      </c>
      <c r="BS14" t="s">
        <v>354</v>
      </c>
      <c r="BT14" t="s">
        <v>695</v>
      </c>
      <c r="BU14" t="s">
        <v>695</v>
      </c>
      <c r="BV14" t="s">
        <v>695</v>
      </c>
      <c r="BW14" t="s">
        <v>143</v>
      </c>
      <c r="BY14" t="s">
        <v>101</v>
      </c>
      <c r="BZ14" t="s">
        <v>101</v>
      </c>
      <c r="CA14" t="s">
        <v>144</v>
      </c>
    </row>
    <row r="15" spans="1:79" x14ac:dyDescent="0.25">
      <c r="A15" t="s">
        <v>429</v>
      </c>
      <c r="B15" t="s">
        <v>430</v>
      </c>
      <c r="C15" t="s">
        <v>695</v>
      </c>
      <c r="D15" t="s">
        <v>695</v>
      </c>
      <c r="E15" t="s">
        <v>362</v>
      </c>
      <c r="F15" t="s">
        <v>343</v>
      </c>
      <c r="G15" t="s">
        <v>344</v>
      </c>
      <c r="H15" t="s">
        <v>695</v>
      </c>
      <c r="I15" t="s">
        <v>7</v>
      </c>
      <c r="J15" t="s">
        <v>695</v>
      </c>
      <c r="K15" t="s">
        <v>7</v>
      </c>
      <c r="L15" t="s">
        <v>695</v>
      </c>
      <c r="M15" t="s">
        <v>695</v>
      </c>
      <c r="N15">
        <v>22225</v>
      </c>
      <c r="Q15" t="s">
        <v>695</v>
      </c>
      <c r="S15" t="s">
        <v>695</v>
      </c>
      <c r="T15" t="s">
        <v>35</v>
      </c>
      <c r="U15" t="s">
        <v>695</v>
      </c>
      <c r="V15" t="s">
        <v>522</v>
      </c>
      <c r="W15" t="s">
        <v>695</v>
      </c>
      <c r="X15">
        <v>2003</v>
      </c>
      <c r="Y15" t="s">
        <v>695</v>
      </c>
      <c r="Z15" t="s">
        <v>695</v>
      </c>
      <c r="AA15" t="s">
        <v>695</v>
      </c>
      <c r="AB15">
        <v>1</v>
      </c>
      <c r="AC15">
        <v>1</v>
      </c>
      <c r="AG15" t="s">
        <v>695</v>
      </c>
      <c r="AI15" t="s">
        <v>695</v>
      </c>
      <c r="AK15" t="s">
        <v>695</v>
      </c>
      <c r="AM15" t="s">
        <v>695</v>
      </c>
      <c r="AO15" t="s">
        <v>695</v>
      </c>
      <c r="AP15" t="s">
        <v>695</v>
      </c>
      <c r="AQ15" t="s">
        <v>695</v>
      </c>
      <c r="AR15" t="s">
        <v>695</v>
      </c>
      <c r="AS15" t="s">
        <v>11</v>
      </c>
      <c r="AT15" t="s">
        <v>345</v>
      </c>
      <c r="AU15" t="s">
        <v>695</v>
      </c>
      <c r="AV15" t="s">
        <v>695</v>
      </c>
      <c r="AW15" t="s">
        <v>695</v>
      </c>
      <c r="AX15" t="s">
        <v>5</v>
      </c>
      <c r="AY15">
        <v>20</v>
      </c>
      <c r="AZ15" t="s">
        <v>223</v>
      </c>
      <c r="BA15" t="s">
        <v>718</v>
      </c>
      <c r="BB15" t="s">
        <v>695</v>
      </c>
      <c r="BC15" s="1"/>
      <c r="BD15" t="s">
        <v>523</v>
      </c>
      <c r="BE15" t="s">
        <v>695</v>
      </c>
      <c r="BG15" t="s">
        <v>695</v>
      </c>
      <c r="BH15" t="s">
        <v>695</v>
      </c>
      <c r="BI15" t="s">
        <v>695</v>
      </c>
      <c r="BJ15" t="s">
        <v>224</v>
      </c>
      <c r="BK15" t="s">
        <v>695</v>
      </c>
      <c r="BL15" t="s">
        <v>14</v>
      </c>
      <c r="BM15" t="s">
        <v>695</v>
      </c>
      <c r="BN15" t="s">
        <v>695</v>
      </c>
      <c r="BO15" t="s">
        <v>695</v>
      </c>
      <c r="BP15" t="s">
        <v>224</v>
      </c>
      <c r="BQ15" t="s">
        <v>695</v>
      </c>
      <c r="BR15" t="s">
        <v>695</v>
      </c>
      <c r="BS15" t="s">
        <v>933</v>
      </c>
      <c r="BT15" t="s">
        <v>695</v>
      </c>
      <c r="BU15" t="s">
        <v>695</v>
      </c>
      <c r="BV15" t="s">
        <v>695</v>
      </c>
      <c r="BW15" t="s">
        <v>934</v>
      </c>
      <c r="BY15" t="s">
        <v>156</v>
      </c>
      <c r="BZ15" t="s">
        <v>156</v>
      </c>
      <c r="CA15" t="s">
        <v>225</v>
      </c>
    </row>
    <row r="16" spans="1:79" x14ac:dyDescent="0.25">
      <c r="A16" t="s">
        <v>474</v>
      </c>
      <c r="B16" t="s">
        <v>475</v>
      </c>
      <c r="C16" t="s">
        <v>695</v>
      </c>
      <c r="D16" t="s">
        <v>695</v>
      </c>
      <c r="E16" t="s">
        <v>342</v>
      </c>
      <c r="F16" t="s">
        <v>695</v>
      </c>
      <c r="G16" t="s">
        <v>344</v>
      </c>
      <c r="H16" t="s">
        <v>695</v>
      </c>
      <c r="I16" t="s">
        <v>18</v>
      </c>
      <c r="J16" t="s">
        <v>695</v>
      </c>
      <c r="K16" t="s">
        <v>695</v>
      </c>
      <c r="L16" t="s">
        <v>695</v>
      </c>
      <c r="M16" t="s">
        <v>695</v>
      </c>
      <c r="O16">
        <v>38</v>
      </c>
      <c r="Q16" t="s">
        <v>695</v>
      </c>
      <c r="S16" t="s">
        <v>695</v>
      </c>
      <c r="T16" t="s">
        <v>35</v>
      </c>
      <c r="U16" t="s">
        <v>695</v>
      </c>
      <c r="V16" t="s">
        <v>695</v>
      </c>
      <c r="W16" t="s">
        <v>695</v>
      </c>
      <c r="X16">
        <v>2015</v>
      </c>
      <c r="Y16" t="s">
        <v>695</v>
      </c>
      <c r="Z16" t="s">
        <v>695</v>
      </c>
      <c r="AA16" t="s">
        <v>695</v>
      </c>
      <c r="AB16">
        <v>1</v>
      </c>
      <c r="AC16">
        <v>1</v>
      </c>
      <c r="AG16" t="s">
        <v>695</v>
      </c>
      <c r="AI16" t="s">
        <v>695</v>
      </c>
      <c r="AK16" t="s">
        <v>695</v>
      </c>
      <c r="AL16">
        <v>1</v>
      </c>
      <c r="AM16" t="s">
        <v>695</v>
      </c>
      <c r="AN16">
        <v>1</v>
      </c>
      <c r="AO16" t="s">
        <v>695</v>
      </c>
      <c r="AP16" t="s">
        <v>695</v>
      </c>
      <c r="AQ16" t="s">
        <v>695</v>
      </c>
      <c r="AR16" t="s">
        <v>695</v>
      </c>
      <c r="AS16" t="s">
        <v>11</v>
      </c>
      <c r="AT16" t="s">
        <v>345</v>
      </c>
      <c r="AU16" t="s">
        <v>695</v>
      </c>
      <c r="AV16" t="s">
        <v>695</v>
      </c>
      <c r="AW16" t="s">
        <v>695</v>
      </c>
      <c r="AX16" t="s">
        <v>695</v>
      </c>
      <c r="AY16">
        <v>0</v>
      </c>
      <c r="AZ16" t="s">
        <v>89</v>
      </c>
      <c r="BA16" t="s">
        <v>713</v>
      </c>
      <c r="BB16" t="s">
        <v>695</v>
      </c>
      <c r="BC16" s="1"/>
      <c r="BD16" t="s">
        <v>695</v>
      </c>
      <c r="BE16" t="s">
        <v>695</v>
      </c>
      <c r="BG16" t="s">
        <v>695</v>
      </c>
      <c r="BH16" t="s">
        <v>695</v>
      </c>
      <c r="BI16" t="s">
        <v>695</v>
      </c>
      <c r="BJ16" t="s">
        <v>935</v>
      </c>
      <c r="BK16" t="s">
        <v>695</v>
      </c>
      <c r="BL16" t="s">
        <v>14</v>
      </c>
      <c r="BM16" t="s">
        <v>695</v>
      </c>
      <c r="BN16" t="s">
        <v>695</v>
      </c>
      <c r="BO16" t="s">
        <v>695</v>
      </c>
      <c r="BP16" t="s">
        <v>90</v>
      </c>
      <c r="BQ16" t="s">
        <v>695</v>
      </c>
      <c r="BR16" t="s">
        <v>695</v>
      </c>
      <c r="BS16" t="s">
        <v>476</v>
      </c>
      <c r="BT16" t="s">
        <v>695</v>
      </c>
      <c r="BU16" t="s">
        <v>89</v>
      </c>
      <c r="BV16" t="s">
        <v>91</v>
      </c>
      <c r="BW16" t="s">
        <v>93</v>
      </c>
      <c r="BY16" t="s">
        <v>92</v>
      </c>
      <c r="BZ16" t="s">
        <v>70</v>
      </c>
      <c r="CA16" t="s">
        <v>94</v>
      </c>
    </row>
    <row r="17" spans="1:79" x14ac:dyDescent="0.25">
      <c r="A17" t="s">
        <v>360</v>
      </c>
      <c r="B17" t="s">
        <v>361</v>
      </c>
      <c r="C17" t="s">
        <v>695</v>
      </c>
      <c r="D17" t="s">
        <v>695</v>
      </c>
      <c r="E17" t="s">
        <v>362</v>
      </c>
      <c r="F17" t="s">
        <v>343</v>
      </c>
      <c r="G17" t="s">
        <v>344</v>
      </c>
      <c r="H17" t="s">
        <v>363</v>
      </c>
      <c r="I17" t="s">
        <v>65</v>
      </c>
      <c r="J17" t="s">
        <v>695</v>
      </c>
      <c r="K17" t="s">
        <v>65</v>
      </c>
      <c r="L17" t="s">
        <v>695</v>
      </c>
      <c r="M17" t="s">
        <v>695</v>
      </c>
      <c r="N17">
        <v>2484</v>
      </c>
      <c r="O17">
        <v>44</v>
      </c>
      <c r="P17">
        <v>40</v>
      </c>
      <c r="Q17" t="s">
        <v>695</v>
      </c>
      <c r="R17">
        <v>40</v>
      </c>
      <c r="S17" t="s">
        <v>409</v>
      </c>
      <c r="T17" t="s">
        <v>35</v>
      </c>
      <c r="U17" t="s">
        <v>695</v>
      </c>
      <c r="V17" t="s">
        <v>410</v>
      </c>
      <c r="W17" t="s">
        <v>366</v>
      </c>
      <c r="X17">
        <v>2015</v>
      </c>
      <c r="Y17" t="s">
        <v>695</v>
      </c>
      <c r="Z17" t="s">
        <v>695</v>
      </c>
      <c r="AA17" t="s">
        <v>695</v>
      </c>
      <c r="AB17">
        <v>1</v>
      </c>
      <c r="AC17">
        <v>1</v>
      </c>
      <c r="AG17" t="s">
        <v>695</v>
      </c>
      <c r="AI17" t="s">
        <v>695</v>
      </c>
      <c r="AK17" t="s">
        <v>695</v>
      </c>
      <c r="AM17" t="s">
        <v>695</v>
      </c>
      <c r="AO17" t="s">
        <v>695</v>
      </c>
      <c r="AP17" t="s">
        <v>695</v>
      </c>
      <c r="AQ17" t="s">
        <v>695</v>
      </c>
      <c r="AR17" t="s">
        <v>203</v>
      </c>
      <c r="AS17" t="s">
        <v>11</v>
      </c>
      <c r="AT17" t="s">
        <v>368</v>
      </c>
      <c r="AU17" t="s">
        <v>398</v>
      </c>
      <c r="AV17" t="s">
        <v>695</v>
      </c>
      <c r="AW17" t="s">
        <v>695</v>
      </c>
      <c r="AX17" t="s">
        <v>200</v>
      </c>
      <c r="AY17">
        <v>40</v>
      </c>
      <c r="AZ17" t="s">
        <v>198</v>
      </c>
      <c r="BA17" t="s">
        <v>728</v>
      </c>
      <c r="BB17" t="s">
        <v>695</v>
      </c>
      <c r="BC17" s="1"/>
      <c r="BD17" t="s">
        <v>411</v>
      </c>
      <c r="BE17" t="s">
        <v>377</v>
      </c>
      <c r="BF17">
        <v>4</v>
      </c>
      <c r="BG17" t="s">
        <v>695</v>
      </c>
      <c r="BH17" t="s">
        <v>695</v>
      </c>
      <c r="BI17" t="s">
        <v>695</v>
      </c>
      <c r="BJ17" t="s">
        <v>372</v>
      </c>
      <c r="BK17" t="s">
        <v>695</v>
      </c>
      <c r="BL17" t="s">
        <v>23</v>
      </c>
      <c r="BM17" t="s">
        <v>695</v>
      </c>
      <c r="BN17" t="s">
        <v>695</v>
      </c>
      <c r="BO17" t="s">
        <v>347</v>
      </c>
      <c r="BP17" t="s">
        <v>199</v>
      </c>
      <c r="BQ17" t="s">
        <v>58</v>
      </c>
      <c r="BR17" t="s">
        <v>695</v>
      </c>
      <c r="BS17" t="s">
        <v>412</v>
      </c>
      <c r="BT17" t="s">
        <v>695</v>
      </c>
      <c r="BU17" t="s">
        <v>201</v>
      </c>
      <c r="BV17" t="s">
        <v>46</v>
      </c>
      <c r="BW17" t="s">
        <v>204</v>
      </c>
      <c r="BX17">
        <v>3</v>
      </c>
      <c r="BY17" t="s">
        <v>202</v>
      </c>
      <c r="BZ17" t="s">
        <v>6</v>
      </c>
      <c r="CA17" t="s">
        <v>205</v>
      </c>
    </row>
    <row r="18" spans="1:79" x14ac:dyDescent="0.25">
      <c r="A18" t="s">
        <v>378</v>
      </c>
      <c r="B18" t="s">
        <v>379</v>
      </c>
      <c r="C18" t="s">
        <v>695</v>
      </c>
      <c r="D18" t="s">
        <v>695</v>
      </c>
      <c r="E18" t="s">
        <v>380</v>
      </c>
      <c r="F18" t="s">
        <v>695</v>
      </c>
      <c r="G18" t="s">
        <v>344</v>
      </c>
      <c r="H18" t="s">
        <v>695</v>
      </c>
      <c r="I18" t="s">
        <v>180</v>
      </c>
      <c r="J18" t="s">
        <v>695</v>
      </c>
      <c r="K18" t="s">
        <v>180</v>
      </c>
      <c r="L18" t="s">
        <v>695</v>
      </c>
      <c r="M18" t="s">
        <v>695</v>
      </c>
      <c r="N18">
        <v>3361</v>
      </c>
      <c r="O18">
        <v>21</v>
      </c>
      <c r="Q18" t="s">
        <v>695</v>
      </c>
      <c r="S18" t="s">
        <v>695</v>
      </c>
      <c r="T18" t="s">
        <v>35</v>
      </c>
      <c r="U18" t="s">
        <v>695</v>
      </c>
      <c r="V18" t="s">
        <v>695</v>
      </c>
      <c r="W18" t="s">
        <v>695</v>
      </c>
      <c r="X18">
        <v>2015</v>
      </c>
      <c r="Y18" t="s">
        <v>695</v>
      </c>
      <c r="Z18" t="s">
        <v>695</v>
      </c>
      <c r="AA18" t="s">
        <v>695</v>
      </c>
      <c r="AB18">
        <v>1</v>
      </c>
      <c r="AC18">
        <v>1</v>
      </c>
      <c r="AG18" t="s">
        <v>695</v>
      </c>
      <c r="AH18">
        <v>1</v>
      </c>
      <c r="AI18" t="s">
        <v>695</v>
      </c>
      <c r="AJ18">
        <v>1</v>
      </c>
      <c r="AK18" t="s">
        <v>695</v>
      </c>
      <c r="AL18">
        <v>1</v>
      </c>
      <c r="AM18" t="s">
        <v>695</v>
      </c>
      <c r="AO18" t="s">
        <v>695</v>
      </c>
      <c r="AP18" t="s">
        <v>695</v>
      </c>
      <c r="AQ18" t="s">
        <v>695</v>
      </c>
      <c r="AR18" t="s">
        <v>695</v>
      </c>
      <c r="AS18" t="s">
        <v>11</v>
      </c>
      <c r="AT18" t="s">
        <v>345</v>
      </c>
      <c r="AU18" t="s">
        <v>695</v>
      </c>
      <c r="AV18" t="s">
        <v>695</v>
      </c>
      <c r="AW18" t="s">
        <v>695</v>
      </c>
      <c r="AX18" t="s">
        <v>279</v>
      </c>
      <c r="AY18">
        <v>40</v>
      </c>
      <c r="AZ18" t="s">
        <v>277</v>
      </c>
      <c r="BA18" t="s">
        <v>697</v>
      </c>
      <c r="BB18" t="s">
        <v>695</v>
      </c>
      <c r="BC18" s="1">
        <v>44974</v>
      </c>
      <c r="BD18" t="s">
        <v>695</v>
      </c>
      <c r="BE18" t="s">
        <v>695</v>
      </c>
      <c r="BF18">
        <v>4</v>
      </c>
      <c r="BG18" t="s">
        <v>695</v>
      </c>
      <c r="BH18" t="s">
        <v>695</v>
      </c>
      <c r="BI18" t="s">
        <v>695</v>
      </c>
      <c r="BJ18" t="s">
        <v>381</v>
      </c>
      <c r="BK18" t="s">
        <v>695</v>
      </c>
      <c r="BL18" t="s">
        <v>53</v>
      </c>
      <c r="BM18" t="s">
        <v>695</v>
      </c>
      <c r="BN18" t="s">
        <v>695</v>
      </c>
      <c r="BO18" t="s">
        <v>347</v>
      </c>
      <c r="BP18" t="s">
        <v>278</v>
      </c>
      <c r="BQ18" t="s">
        <v>695</v>
      </c>
      <c r="BR18" t="s">
        <v>695</v>
      </c>
      <c r="BS18" t="s">
        <v>695</v>
      </c>
      <c r="BT18" t="s">
        <v>695</v>
      </c>
      <c r="BU18" t="s">
        <v>280</v>
      </c>
      <c r="BV18" t="s">
        <v>695</v>
      </c>
      <c r="BW18" t="s">
        <v>936</v>
      </c>
      <c r="BX18">
        <v>3</v>
      </c>
      <c r="BY18" t="s">
        <v>281</v>
      </c>
      <c r="BZ18" t="s">
        <v>6</v>
      </c>
      <c r="CA18" t="s">
        <v>282</v>
      </c>
    </row>
    <row r="19" spans="1:79" x14ac:dyDescent="0.25">
      <c r="A19" t="s">
        <v>387</v>
      </c>
      <c r="B19" t="s">
        <v>388</v>
      </c>
      <c r="C19" t="s">
        <v>695</v>
      </c>
      <c r="D19" t="s">
        <v>695</v>
      </c>
      <c r="E19" t="s">
        <v>362</v>
      </c>
      <c r="F19" t="s">
        <v>343</v>
      </c>
      <c r="G19" t="s">
        <v>344</v>
      </c>
      <c r="H19" t="s">
        <v>695</v>
      </c>
      <c r="I19" t="s">
        <v>7</v>
      </c>
      <c r="J19" t="s">
        <v>695</v>
      </c>
      <c r="K19" t="s">
        <v>7</v>
      </c>
      <c r="L19" t="s">
        <v>695</v>
      </c>
      <c r="M19" t="s">
        <v>695</v>
      </c>
      <c r="N19">
        <v>23704</v>
      </c>
      <c r="O19">
        <v>25</v>
      </c>
      <c r="Q19" t="s">
        <v>695</v>
      </c>
      <c r="S19" t="s">
        <v>695</v>
      </c>
      <c r="T19" t="s">
        <v>35</v>
      </c>
      <c r="U19" t="s">
        <v>695</v>
      </c>
      <c r="V19" t="s">
        <v>695</v>
      </c>
      <c r="W19" t="s">
        <v>695</v>
      </c>
      <c r="X19">
        <v>2003</v>
      </c>
      <c r="Y19" t="s">
        <v>695</v>
      </c>
      <c r="Z19" t="s">
        <v>695</v>
      </c>
      <c r="AA19" t="s">
        <v>695</v>
      </c>
      <c r="AB19">
        <v>1</v>
      </c>
      <c r="AC19">
        <v>1</v>
      </c>
      <c r="AG19" t="s">
        <v>695</v>
      </c>
      <c r="AI19" t="s">
        <v>695</v>
      </c>
      <c r="AK19" t="s">
        <v>695</v>
      </c>
      <c r="AM19" t="s">
        <v>695</v>
      </c>
      <c r="AO19" t="s">
        <v>695</v>
      </c>
      <c r="AP19" t="s">
        <v>695</v>
      </c>
      <c r="AQ19" t="s">
        <v>695</v>
      </c>
      <c r="AR19" t="s">
        <v>259</v>
      </c>
      <c r="AS19" t="s">
        <v>11</v>
      </c>
      <c r="AT19" t="s">
        <v>345</v>
      </c>
      <c r="AU19" t="s">
        <v>695</v>
      </c>
      <c r="AV19" t="s">
        <v>695</v>
      </c>
      <c r="AW19" t="s">
        <v>695</v>
      </c>
      <c r="AX19" t="s">
        <v>256</v>
      </c>
      <c r="AY19">
        <v>50</v>
      </c>
      <c r="AZ19" t="s">
        <v>254</v>
      </c>
      <c r="BA19" t="s">
        <v>699</v>
      </c>
      <c r="BB19" t="s">
        <v>695</v>
      </c>
      <c r="BC19" s="1"/>
      <c r="BD19" t="s">
        <v>937</v>
      </c>
      <c r="BE19" t="s">
        <v>695</v>
      </c>
      <c r="BF19">
        <v>3</v>
      </c>
      <c r="BG19" t="s">
        <v>695</v>
      </c>
      <c r="BH19" t="s">
        <v>695</v>
      </c>
      <c r="BI19" t="s">
        <v>695</v>
      </c>
      <c r="BJ19" t="s">
        <v>389</v>
      </c>
      <c r="BK19" t="s">
        <v>695</v>
      </c>
      <c r="BL19" t="s">
        <v>106</v>
      </c>
      <c r="BM19" t="s">
        <v>695</v>
      </c>
      <c r="BN19" t="s">
        <v>695</v>
      </c>
      <c r="BO19" t="s">
        <v>695</v>
      </c>
      <c r="BP19" t="s">
        <v>255</v>
      </c>
      <c r="BQ19" t="s">
        <v>695</v>
      </c>
      <c r="BR19" t="s">
        <v>695</v>
      </c>
      <c r="BS19" t="s">
        <v>938</v>
      </c>
      <c r="BT19" t="s">
        <v>695</v>
      </c>
      <c r="BU19" t="s">
        <v>257</v>
      </c>
      <c r="BV19" t="s">
        <v>695</v>
      </c>
      <c r="BW19" t="s">
        <v>939</v>
      </c>
      <c r="BX19">
        <v>1</v>
      </c>
      <c r="BY19" t="s">
        <v>258</v>
      </c>
      <c r="BZ19" t="s">
        <v>6</v>
      </c>
      <c r="CA19" t="s">
        <v>260</v>
      </c>
    </row>
    <row r="20" spans="1:79" x14ac:dyDescent="0.25">
      <c r="A20" t="s">
        <v>413</v>
      </c>
      <c r="B20" t="s">
        <v>414</v>
      </c>
      <c r="C20" t="s">
        <v>695</v>
      </c>
      <c r="D20" t="s">
        <v>695</v>
      </c>
      <c r="E20" t="s">
        <v>362</v>
      </c>
      <c r="F20" t="s">
        <v>343</v>
      </c>
      <c r="G20" t="s">
        <v>344</v>
      </c>
      <c r="H20" t="s">
        <v>695</v>
      </c>
      <c r="I20" t="s">
        <v>18</v>
      </c>
      <c r="J20" t="s">
        <v>695</v>
      </c>
      <c r="K20" t="s">
        <v>18</v>
      </c>
      <c r="L20" t="s">
        <v>695</v>
      </c>
      <c r="M20" t="s">
        <v>695</v>
      </c>
      <c r="N20">
        <v>9912</v>
      </c>
      <c r="O20">
        <v>12</v>
      </c>
      <c r="Q20" t="s">
        <v>695</v>
      </c>
      <c r="S20" t="s">
        <v>695</v>
      </c>
      <c r="T20" t="s">
        <v>35</v>
      </c>
      <c r="U20" t="s">
        <v>695</v>
      </c>
      <c r="V20" t="s">
        <v>415</v>
      </c>
      <c r="W20" t="s">
        <v>695</v>
      </c>
      <c r="X20">
        <v>2003</v>
      </c>
      <c r="Y20" t="s">
        <v>695</v>
      </c>
      <c r="Z20" t="s">
        <v>695</v>
      </c>
      <c r="AA20" t="s">
        <v>695</v>
      </c>
      <c r="AB20">
        <v>1</v>
      </c>
      <c r="AC20">
        <v>1</v>
      </c>
      <c r="AG20" t="s">
        <v>695</v>
      </c>
      <c r="AI20" t="s">
        <v>695</v>
      </c>
      <c r="AK20" t="s">
        <v>695</v>
      </c>
      <c r="AM20" t="s">
        <v>695</v>
      </c>
      <c r="AO20" t="s">
        <v>695</v>
      </c>
      <c r="AP20" t="s">
        <v>695</v>
      </c>
      <c r="AQ20" t="s">
        <v>695</v>
      </c>
      <c r="AR20" t="s">
        <v>246</v>
      </c>
      <c r="AS20" t="s">
        <v>11</v>
      </c>
      <c r="AT20" t="s">
        <v>345</v>
      </c>
      <c r="AU20" t="s">
        <v>695</v>
      </c>
      <c r="AV20" t="s">
        <v>695</v>
      </c>
      <c r="AW20" t="s">
        <v>695</v>
      </c>
      <c r="AX20" t="s">
        <v>118</v>
      </c>
      <c r="AY20">
        <v>30</v>
      </c>
      <c r="AZ20" t="s">
        <v>242</v>
      </c>
      <c r="BA20" t="s">
        <v>703</v>
      </c>
      <c r="BB20" t="s">
        <v>695</v>
      </c>
      <c r="BC20" s="1"/>
      <c r="BD20" t="s">
        <v>416</v>
      </c>
      <c r="BE20" t="s">
        <v>695</v>
      </c>
      <c r="BF20">
        <v>2</v>
      </c>
      <c r="BG20" t="s">
        <v>695</v>
      </c>
      <c r="BH20" t="s">
        <v>695</v>
      </c>
      <c r="BI20" t="s">
        <v>695</v>
      </c>
      <c r="BJ20" t="s">
        <v>417</v>
      </c>
      <c r="BK20" t="s">
        <v>695</v>
      </c>
      <c r="BL20" t="s">
        <v>14</v>
      </c>
      <c r="BM20" t="s">
        <v>695</v>
      </c>
      <c r="BN20" t="s">
        <v>695</v>
      </c>
      <c r="BO20" t="s">
        <v>695</v>
      </c>
      <c r="BP20" t="s">
        <v>243</v>
      </c>
      <c r="BQ20" t="s">
        <v>695</v>
      </c>
      <c r="BR20" t="s">
        <v>695</v>
      </c>
      <c r="BS20" t="s">
        <v>940</v>
      </c>
      <c r="BT20" t="s">
        <v>695</v>
      </c>
      <c r="BU20" t="s">
        <v>244</v>
      </c>
      <c r="BV20" t="s">
        <v>695</v>
      </c>
      <c r="BW20" t="s">
        <v>247</v>
      </c>
      <c r="BX20">
        <v>2</v>
      </c>
      <c r="BY20" t="s">
        <v>245</v>
      </c>
      <c r="BZ20" t="s">
        <v>6</v>
      </c>
      <c r="CA20" t="s">
        <v>248</v>
      </c>
    </row>
    <row r="21" spans="1:79" x14ac:dyDescent="0.25">
      <c r="A21" t="s">
        <v>517</v>
      </c>
      <c r="B21" t="s">
        <v>518</v>
      </c>
      <c r="C21" t="s">
        <v>695</v>
      </c>
      <c r="D21" t="s">
        <v>695</v>
      </c>
      <c r="E21" t="s">
        <v>362</v>
      </c>
      <c r="F21" t="s">
        <v>343</v>
      </c>
      <c r="G21" t="s">
        <v>344</v>
      </c>
      <c r="H21" t="s">
        <v>695</v>
      </c>
      <c r="I21" t="s">
        <v>7</v>
      </c>
      <c r="J21" t="s">
        <v>695</v>
      </c>
      <c r="K21" t="s">
        <v>7</v>
      </c>
      <c r="L21" t="s">
        <v>695</v>
      </c>
      <c r="M21" t="s">
        <v>695</v>
      </c>
      <c r="N21">
        <v>18102</v>
      </c>
      <c r="O21">
        <v>62</v>
      </c>
      <c r="Q21" t="s">
        <v>695</v>
      </c>
      <c r="S21" t="s">
        <v>695</v>
      </c>
      <c r="T21" t="s">
        <v>35</v>
      </c>
      <c r="U21" t="s">
        <v>695</v>
      </c>
      <c r="V21" t="s">
        <v>695</v>
      </c>
      <c r="W21" t="s">
        <v>695</v>
      </c>
      <c r="X21">
        <v>2003</v>
      </c>
      <c r="Y21" t="s">
        <v>695</v>
      </c>
      <c r="Z21" t="s">
        <v>695</v>
      </c>
      <c r="AA21" t="s">
        <v>695</v>
      </c>
      <c r="AB21">
        <v>1</v>
      </c>
      <c r="AC21">
        <v>1</v>
      </c>
      <c r="AG21" t="s">
        <v>695</v>
      </c>
      <c r="AI21" t="s">
        <v>695</v>
      </c>
      <c r="AK21" t="s">
        <v>695</v>
      </c>
      <c r="AM21" t="s">
        <v>695</v>
      </c>
      <c r="AO21" t="s">
        <v>695</v>
      </c>
      <c r="AP21" t="s">
        <v>695</v>
      </c>
      <c r="AQ21" t="s">
        <v>695</v>
      </c>
      <c r="AR21" t="s">
        <v>229</v>
      </c>
      <c r="AS21" t="s">
        <v>11</v>
      </c>
      <c r="AT21" t="s">
        <v>345</v>
      </c>
      <c r="AU21" t="s">
        <v>695</v>
      </c>
      <c r="AV21" t="s">
        <v>695</v>
      </c>
      <c r="AW21" t="s">
        <v>695</v>
      </c>
      <c r="AX21" t="s">
        <v>228</v>
      </c>
      <c r="AY21">
        <v>60</v>
      </c>
      <c r="AZ21" t="s">
        <v>226</v>
      </c>
      <c r="BA21" t="s">
        <v>718</v>
      </c>
      <c r="BB21" t="s">
        <v>695</v>
      </c>
      <c r="BC21" s="1"/>
      <c r="BD21" t="s">
        <v>519</v>
      </c>
      <c r="BE21" t="s">
        <v>695</v>
      </c>
      <c r="BG21" t="s">
        <v>695</v>
      </c>
      <c r="BH21" t="s">
        <v>695</v>
      </c>
      <c r="BI21" t="s">
        <v>695</v>
      </c>
      <c r="BJ21" t="s">
        <v>227</v>
      </c>
      <c r="BK21" t="s">
        <v>695</v>
      </c>
      <c r="BL21" t="s">
        <v>53</v>
      </c>
      <c r="BM21" t="s">
        <v>695</v>
      </c>
      <c r="BN21" t="s">
        <v>695</v>
      </c>
      <c r="BO21" t="s">
        <v>695</v>
      </c>
      <c r="BP21" t="s">
        <v>227</v>
      </c>
      <c r="BQ21" t="s">
        <v>695</v>
      </c>
      <c r="BR21" t="s">
        <v>695</v>
      </c>
      <c r="BS21" t="s">
        <v>941</v>
      </c>
      <c r="BT21" t="s">
        <v>695</v>
      </c>
      <c r="BU21" t="s">
        <v>695</v>
      </c>
      <c r="BV21" t="s">
        <v>695</v>
      </c>
      <c r="BW21" t="s">
        <v>230</v>
      </c>
      <c r="BY21" t="s">
        <v>156</v>
      </c>
      <c r="BZ21" t="s">
        <v>156</v>
      </c>
      <c r="CA21" t="s">
        <v>231</v>
      </c>
    </row>
    <row r="22" spans="1:79" x14ac:dyDescent="0.25">
      <c r="A22" t="s">
        <v>453</v>
      </c>
      <c r="B22" t="s">
        <v>454</v>
      </c>
      <c r="C22" t="s">
        <v>695</v>
      </c>
      <c r="D22" t="s">
        <v>695</v>
      </c>
      <c r="E22" t="s">
        <v>350</v>
      </c>
      <c r="F22" t="s">
        <v>343</v>
      </c>
      <c r="G22" t="s">
        <v>344</v>
      </c>
      <c r="H22" t="s">
        <v>695</v>
      </c>
      <c r="I22" t="s">
        <v>18</v>
      </c>
      <c r="J22" t="s">
        <v>695</v>
      </c>
      <c r="K22" t="s">
        <v>18</v>
      </c>
      <c r="L22" t="s">
        <v>695</v>
      </c>
      <c r="M22" t="s">
        <v>695</v>
      </c>
      <c r="N22">
        <v>28413</v>
      </c>
      <c r="Q22" t="s">
        <v>695</v>
      </c>
      <c r="S22" t="s">
        <v>695</v>
      </c>
      <c r="T22" t="s">
        <v>13</v>
      </c>
      <c r="U22" t="s">
        <v>695</v>
      </c>
      <c r="V22" t="s">
        <v>455</v>
      </c>
      <c r="W22" t="s">
        <v>695</v>
      </c>
      <c r="X22">
        <v>1993</v>
      </c>
      <c r="Y22" t="s">
        <v>695</v>
      </c>
      <c r="Z22" t="s">
        <v>695</v>
      </c>
      <c r="AA22" t="s">
        <v>695</v>
      </c>
      <c r="AB22">
        <v>0</v>
      </c>
      <c r="AC22">
        <v>1</v>
      </c>
      <c r="AG22" t="s">
        <v>695</v>
      </c>
      <c r="AI22" t="s">
        <v>695</v>
      </c>
      <c r="AK22" t="s">
        <v>695</v>
      </c>
      <c r="AM22" t="s">
        <v>695</v>
      </c>
      <c r="AO22" t="s">
        <v>695</v>
      </c>
      <c r="AP22" t="s">
        <v>695</v>
      </c>
      <c r="AQ22" t="s">
        <v>695</v>
      </c>
      <c r="AR22" t="s">
        <v>695</v>
      </c>
      <c r="AS22" t="s">
        <v>11</v>
      </c>
      <c r="AT22" t="s">
        <v>345</v>
      </c>
      <c r="AU22" t="s">
        <v>695</v>
      </c>
      <c r="AV22" t="s">
        <v>695</v>
      </c>
      <c r="AW22" t="s">
        <v>695</v>
      </c>
      <c r="AX22" t="s">
        <v>309</v>
      </c>
      <c r="AY22">
        <v>40</v>
      </c>
      <c r="AZ22" t="s">
        <v>307</v>
      </c>
      <c r="BA22" t="s">
        <v>456</v>
      </c>
      <c r="BB22" t="s">
        <v>695</v>
      </c>
      <c r="BC22" s="1"/>
      <c r="BD22" t="s">
        <v>942</v>
      </c>
      <c r="BE22" t="s">
        <v>695</v>
      </c>
      <c r="BF22">
        <v>6</v>
      </c>
      <c r="BG22" t="s">
        <v>695</v>
      </c>
      <c r="BH22" t="s">
        <v>695</v>
      </c>
      <c r="BI22" t="s">
        <v>695</v>
      </c>
      <c r="BJ22" t="s">
        <v>457</v>
      </c>
      <c r="BK22" t="s">
        <v>695</v>
      </c>
      <c r="BL22" t="s">
        <v>14</v>
      </c>
      <c r="BM22" t="s">
        <v>695</v>
      </c>
      <c r="BN22" t="s">
        <v>695</v>
      </c>
      <c r="BO22" t="s">
        <v>695</v>
      </c>
      <c r="BP22" t="s">
        <v>308</v>
      </c>
      <c r="BQ22" t="s">
        <v>695</v>
      </c>
      <c r="BR22" t="s">
        <v>695</v>
      </c>
      <c r="BS22" t="s">
        <v>458</v>
      </c>
      <c r="BT22" t="s">
        <v>695</v>
      </c>
      <c r="BU22" t="s">
        <v>19</v>
      </c>
      <c r="BV22" t="s">
        <v>695</v>
      </c>
      <c r="BW22" t="s">
        <v>943</v>
      </c>
      <c r="BX22">
        <v>2</v>
      </c>
      <c r="BY22" t="s">
        <v>20</v>
      </c>
      <c r="BZ22" t="s">
        <v>6</v>
      </c>
      <c r="CA22" t="s">
        <v>310</v>
      </c>
    </row>
    <row r="23" spans="1:79" x14ac:dyDescent="0.25">
      <c r="A23" t="s">
        <v>402</v>
      </c>
      <c r="B23" t="s">
        <v>403</v>
      </c>
      <c r="C23" t="s">
        <v>695</v>
      </c>
      <c r="D23" t="s">
        <v>695</v>
      </c>
      <c r="E23" t="s">
        <v>362</v>
      </c>
      <c r="F23" t="s">
        <v>343</v>
      </c>
      <c r="G23" t="s">
        <v>344</v>
      </c>
      <c r="H23" t="s">
        <v>695</v>
      </c>
      <c r="I23" t="s">
        <v>180</v>
      </c>
      <c r="J23" t="s">
        <v>695</v>
      </c>
      <c r="K23" t="s">
        <v>180</v>
      </c>
      <c r="L23" t="s">
        <v>695</v>
      </c>
      <c r="M23" t="s">
        <v>695</v>
      </c>
      <c r="N23">
        <v>26944</v>
      </c>
      <c r="O23">
        <v>12</v>
      </c>
      <c r="Q23" t="s">
        <v>695</v>
      </c>
      <c r="S23" t="s">
        <v>695</v>
      </c>
      <c r="T23" t="s">
        <v>35</v>
      </c>
      <c r="U23" t="s">
        <v>695</v>
      </c>
      <c r="V23" t="s">
        <v>695</v>
      </c>
      <c r="W23" t="s">
        <v>695</v>
      </c>
      <c r="X23">
        <v>1997</v>
      </c>
      <c r="Y23" t="s">
        <v>695</v>
      </c>
      <c r="Z23" t="s">
        <v>695</v>
      </c>
      <c r="AA23" t="s">
        <v>695</v>
      </c>
      <c r="AB23">
        <v>1</v>
      </c>
      <c r="AC23">
        <v>1</v>
      </c>
      <c r="AG23" t="s">
        <v>695</v>
      </c>
      <c r="AI23" t="s">
        <v>695</v>
      </c>
      <c r="AK23" t="s">
        <v>695</v>
      </c>
      <c r="AM23" t="s">
        <v>695</v>
      </c>
      <c r="AO23" t="s">
        <v>695</v>
      </c>
      <c r="AP23" t="s">
        <v>695</v>
      </c>
      <c r="AQ23" t="s">
        <v>695</v>
      </c>
      <c r="AR23" t="s">
        <v>285</v>
      </c>
      <c r="AS23" t="s">
        <v>11</v>
      </c>
      <c r="AT23" t="s">
        <v>345</v>
      </c>
      <c r="AU23" t="s">
        <v>695</v>
      </c>
      <c r="AV23" t="s">
        <v>695</v>
      </c>
      <c r="AW23" t="s">
        <v>695</v>
      </c>
      <c r="AX23" t="s">
        <v>216</v>
      </c>
      <c r="AY23">
        <v>20</v>
      </c>
      <c r="AZ23" t="s">
        <v>283</v>
      </c>
      <c r="BA23" t="s">
        <v>701</v>
      </c>
      <c r="BB23" t="s">
        <v>695</v>
      </c>
      <c r="BC23" s="1"/>
      <c r="BD23" t="s">
        <v>944</v>
      </c>
      <c r="BE23" t="s">
        <v>695</v>
      </c>
      <c r="BG23" t="s">
        <v>695</v>
      </c>
      <c r="BH23" t="s">
        <v>695</v>
      </c>
      <c r="BI23" t="s">
        <v>695</v>
      </c>
      <c r="BJ23" t="s">
        <v>404</v>
      </c>
      <c r="BK23" t="s">
        <v>695</v>
      </c>
      <c r="BL23" t="s">
        <v>14</v>
      </c>
      <c r="BM23" t="s">
        <v>695</v>
      </c>
      <c r="BN23" t="s">
        <v>695</v>
      </c>
      <c r="BO23" t="s">
        <v>695</v>
      </c>
      <c r="BP23" t="s">
        <v>284</v>
      </c>
      <c r="BQ23" t="s">
        <v>695</v>
      </c>
      <c r="BR23" t="s">
        <v>695</v>
      </c>
      <c r="BS23" t="s">
        <v>945</v>
      </c>
      <c r="BT23" t="s">
        <v>695</v>
      </c>
      <c r="BU23" t="s">
        <v>695</v>
      </c>
      <c r="BV23" t="s">
        <v>695</v>
      </c>
      <c r="BW23" t="s">
        <v>286</v>
      </c>
      <c r="BY23" t="s">
        <v>101</v>
      </c>
      <c r="BZ23" t="s">
        <v>101</v>
      </c>
      <c r="CA23" t="s">
        <v>287</v>
      </c>
    </row>
    <row r="24" spans="1:79" x14ac:dyDescent="0.25">
      <c r="A24" t="s">
        <v>418</v>
      </c>
      <c r="B24" t="s">
        <v>419</v>
      </c>
      <c r="C24" t="s">
        <v>695</v>
      </c>
      <c r="D24" t="s">
        <v>695</v>
      </c>
      <c r="E24" t="s">
        <v>362</v>
      </c>
      <c r="F24" t="s">
        <v>343</v>
      </c>
      <c r="G24" t="s">
        <v>344</v>
      </c>
      <c r="H24" t="s">
        <v>695</v>
      </c>
      <c r="I24" t="s">
        <v>65</v>
      </c>
      <c r="J24" t="s">
        <v>695</v>
      </c>
      <c r="K24" t="s">
        <v>65</v>
      </c>
      <c r="L24" t="s">
        <v>695</v>
      </c>
      <c r="M24" t="s">
        <v>695</v>
      </c>
      <c r="N24">
        <v>18740</v>
      </c>
      <c r="O24">
        <v>54</v>
      </c>
      <c r="Q24" t="s">
        <v>695</v>
      </c>
      <c r="S24" t="s">
        <v>695</v>
      </c>
      <c r="T24" t="s">
        <v>35</v>
      </c>
      <c r="U24" t="s">
        <v>695</v>
      </c>
      <c r="V24" t="s">
        <v>420</v>
      </c>
      <c r="W24" t="s">
        <v>695</v>
      </c>
      <c r="X24">
        <v>2003</v>
      </c>
      <c r="Y24" t="s">
        <v>695</v>
      </c>
      <c r="Z24" t="s">
        <v>695</v>
      </c>
      <c r="AA24" t="s">
        <v>695</v>
      </c>
      <c r="AB24">
        <v>1</v>
      </c>
      <c r="AC24">
        <v>1</v>
      </c>
      <c r="AG24" t="s">
        <v>695</v>
      </c>
      <c r="AI24" t="s">
        <v>695</v>
      </c>
      <c r="AK24" t="s">
        <v>695</v>
      </c>
      <c r="AM24" t="s">
        <v>695</v>
      </c>
      <c r="AO24" t="s">
        <v>695</v>
      </c>
      <c r="AP24" t="s">
        <v>695</v>
      </c>
      <c r="AQ24" t="s">
        <v>695</v>
      </c>
      <c r="AR24" t="s">
        <v>264</v>
      </c>
      <c r="AS24" t="s">
        <v>11</v>
      </c>
      <c r="AT24" t="s">
        <v>345</v>
      </c>
      <c r="AU24" t="s">
        <v>695</v>
      </c>
      <c r="AV24" t="s">
        <v>695</v>
      </c>
      <c r="AW24" t="s">
        <v>695</v>
      </c>
      <c r="AX24" t="s">
        <v>263</v>
      </c>
      <c r="AY24">
        <v>20</v>
      </c>
      <c r="AZ24" t="s">
        <v>261</v>
      </c>
      <c r="BA24" t="s">
        <v>704</v>
      </c>
      <c r="BB24" t="s">
        <v>695</v>
      </c>
      <c r="BC24" s="1"/>
      <c r="BD24" t="s">
        <v>421</v>
      </c>
      <c r="BE24" t="s">
        <v>695</v>
      </c>
      <c r="BG24" t="s">
        <v>695</v>
      </c>
      <c r="BH24" t="s">
        <v>695</v>
      </c>
      <c r="BI24" t="s">
        <v>695</v>
      </c>
      <c r="BJ24" t="s">
        <v>262</v>
      </c>
      <c r="BK24" t="s">
        <v>695</v>
      </c>
      <c r="BL24" t="s">
        <v>14</v>
      </c>
      <c r="BM24" t="s">
        <v>695</v>
      </c>
      <c r="BN24" t="s">
        <v>695</v>
      </c>
      <c r="BO24" t="s">
        <v>695</v>
      </c>
      <c r="BP24" t="s">
        <v>262</v>
      </c>
      <c r="BQ24" t="s">
        <v>695</v>
      </c>
      <c r="BR24" t="s">
        <v>695</v>
      </c>
      <c r="BS24" t="s">
        <v>946</v>
      </c>
      <c r="BT24" t="s">
        <v>695</v>
      </c>
      <c r="BU24" t="s">
        <v>695</v>
      </c>
      <c r="BV24" t="s">
        <v>695</v>
      </c>
      <c r="BW24" t="s">
        <v>265</v>
      </c>
      <c r="BY24" t="s">
        <v>138</v>
      </c>
      <c r="BZ24" t="s">
        <v>138</v>
      </c>
      <c r="CA24" t="s">
        <v>266</v>
      </c>
    </row>
    <row r="25" spans="1:79" x14ac:dyDescent="0.25">
      <c r="A25" t="s">
        <v>541</v>
      </c>
      <c r="B25" t="s">
        <v>542</v>
      </c>
      <c r="C25" t="s">
        <v>695</v>
      </c>
      <c r="D25" t="s">
        <v>695</v>
      </c>
      <c r="E25" t="s">
        <v>511</v>
      </c>
      <c r="F25" t="s">
        <v>343</v>
      </c>
      <c r="G25" t="s">
        <v>344</v>
      </c>
      <c r="H25" t="s">
        <v>695</v>
      </c>
      <c r="I25" t="s">
        <v>470</v>
      </c>
      <c r="J25" t="s">
        <v>695</v>
      </c>
      <c r="K25" t="s">
        <v>470</v>
      </c>
      <c r="L25" t="s">
        <v>695</v>
      </c>
      <c r="M25" t="s">
        <v>695</v>
      </c>
      <c r="N25">
        <v>5411</v>
      </c>
      <c r="O25">
        <v>4</v>
      </c>
      <c r="Q25" t="s">
        <v>695</v>
      </c>
      <c r="S25" t="s">
        <v>695</v>
      </c>
      <c r="T25" t="s">
        <v>13</v>
      </c>
      <c r="U25" t="s">
        <v>695</v>
      </c>
      <c r="V25" t="s">
        <v>695</v>
      </c>
      <c r="W25" t="s">
        <v>695</v>
      </c>
      <c r="X25">
        <v>2015</v>
      </c>
      <c r="Y25" t="s">
        <v>695</v>
      </c>
      <c r="Z25" t="s">
        <v>695</v>
      </c>
      <c r="AA25" t="s">
        <v>695</v>
      </c>
      <c r="AB25">
        <v>0</v>
      </c>
      <c r="AC25">
        <v>1</v>
      </c>
      <c r="AG25" t="s">
        <v>695</v>
      </c>
      <c r="AH25">
        <v>1</v>
      </c>
      <c r="AI25" t="s">
        <v>695</v>
      </c>
      <c r="AK25" t="s">
        <v>695</v>
      </c>
      <c r="AL25">
        <v>1</v>
      </c>
      <c r="AM25" t="s">
        <v>695</v>
      </c>
      <c r="AO25" t="s">
        <v>695</v>
      </c>
      <c r="AP25" t="s">
        <v>695</v>
      </c>
      <c r="AQ25" t="s">
        <v>695</v>
      </c>
      <c r="AR25" t="s">
        <v>151</v>
      </c>
      <c r="AS25" t="s">
        <v>11</v>
      </c>
      <c r="AT25" t="s">
        <v>345</v>
      </c>
      <c r="AU25" t="s">
        <v>543</v>
      </c>
      <c r="AV25" t="s">
        <v>695</v>
      </c>
      <c r="AW25" t="s">
        <v>544</v>
      </c>
      <c r="AX25" t="s">
        <v>147</v>
      </c>
      <c r="AY25">
        <v>20</v>
      </c>
      <c r="AZ25" t="s">
        <v>145</v>
      </c>
      <c r="BA25" t="s">
        <v>723</v>
      </c>
      <c r="BB25" t="s">
        <v>695</v>
      </c>
      <c r="BC25" s="1"/>
      <c r="BD25" t="s">
        <v>545</v>
      </c>
      <c r="BE25" t="s">
        <v>695</v>
      </c>
      <c r="BG25" t="s">
        <v>695</v>
      </c>
      <c r="BH25" t="s">
        <v>695</v>
      </c>
      <c r="BI25" t="s">
        <v>695</v>
      </c>
      <c r="BJ25" t="s">
        <v>546</v>
      </c>
      <c r="BK25" t="s">
        <v>695</v>
      </c>
      <c r="BL25" t="s">
        <v>23</v>
      </c>
      <c r="BM25" t="s">
        <v>695</v>
      </c>
      <c r="BN25" t="s">
        <v>695</v>
      </c>
      <c r="BO25" t="s">
        <v>695</v>
      </c>
      <c r="BP25" t="s">
        <v>146</v>
      </c>
      <c r="BQ25" t="s">
        <v>695</v>
      </c>
      <c r="BR25" t="s">
        <v>695</v>
      </c>
      <c r="BS25" t="s">
        <v>695</v>
      </c>
      <c r="BT25" t="s">
        <v>695</v>
      </c>
      <c r="BU25" t="s">
        <v>149</v>
      </c>
      <c r="BV25" t="s">
        <v>46</v>
      </c>
      <c r="BW25" t="s">
        <v>947</v>
      </c>
      <c r="BY25" t="s">
        <v>150</v>
      </c>
      <c r="BZ25" t="s">
        <v>148</v>
      </c>
      <c r="CA25" t="s">
        <v>152</v>
      </c>
    </row>
    <row r="26" spans="1:79" x14ac:dyDescent="0.25">
      <c r="A26" t="s">
        <v>340</v>
      </c>
      <c r="B26" t="s">
        <v>341</v>
      </c>
      <c r="C26" t="s">
        <v>695</v>
      </c>
      <c r="D26" t="s">
        <v>695</v>
      </c>
      <c r="E26" t="s">
        <v>342</v>
      </c>
      <c r="F26" t="s">
        <v>343</v>
      </c>
      <c r="G26" t="s">
        <v>344</v>
      </c>
      <c r="H26" t="s">
        <v>695</v>
      </c>
      <c r="I26" t="s">
        <v>18</v>
      </c>
      <c r="J26" t="s">
        <v>695</v>
      </c>
      <c r="K26" t="s">
        <v>18</v>
      </c>
      <c r="L26" t="s">
        <v>695</v>
      </c>
      <c r="M26" t="s">
        <v>695</v>
      </c>
      <c r="N26">
        <v>8654</v>
      </c>
      <c r="Q26" t="s">
        <v>695</v>
      </c>
      <c r="S26" t="s">
        <v>695</v>
      </c>
      <c r="T26" t="s">
        <v>35</v>
      </c>
      <c r="U26" t="s">
        <v>695</v>
      </c>
      <c r="V26" t="s">
        <v>695</v>
      </c>
      <c r="W26" t="s">
        <v>695</v>
      </c>
      <c r="X26">
        <v>2015</v>
      </c>
      <c r="Y26" t="s">
        <v>695</v>
      </c>
      <c r="Z26" t="s">
        <v>695</v>
      </c>
      <c r="AA26" t="s">
        <v>695</v>
      </c>
      <c r="AB26">
        <v>1</v>
      </c>
      <c r="AC26">
        <v>1</v>
      </c>
      <c r="AG26" t="s">
        <v>695</v>
      </c>
      <c r="AI26" t="s">
        <v>695</v>
      </c>
      <c r="AK26" t="s">
        <v>695</v>
      </c>
      <c r="AM26" t="s">
        <v>695</v>
      </c>
      <c r="AO26" t="s">
        <v>695</v>
      </c>
      <c r="AP26" t="s">
        <v>695</v>
      </c>
      <c r="AQ26" t="s">
        <v>695</v>
      </c>
      <c r="AR26" t="s">
        <v>695</v>
      </c>
      <c r="AS26" t="s">
        <v>11</v>
      </c>
      <c r="AT26" t="s">
        <v>345</v>
      </c>
      <c r="AU26" t="s">
        <v>695</v>
      </c>
      <c r="AV26" t="s">
        <v>695</v>
      </c>
      <c r="AW26" t="s">
        <v>695</v>
      </c>
      <c r="AX26" t="s">
        <v>167</v>
      </c>
      <c r="AY26">
        <v>20</v>
      </c>
      <c r="AZ26" t="s">
        <v>165</v>
      </c>
      <c r="BA26" t="s">
        <v>696</v>
      </c>
      <c r="BB26" t="s">
        <v>695</v>
      </c>
      <c r="BC26" s="1"/>
      <c r="BD26" t="s">
        <v>168</v>
      </c>
      <c r="BE26" t="s">
        <v>695</v>
      </c>
      <c r="BG26" t="s">
        <v>695</v>
      </c>
      <c r="BH26" t="s">
        <v>695</v>
      </c>
      <c r="BI26" t="s">
        <v>695</v>
      </c>
      <c r="BJ26" t="s">
        <v>346</v>
      </c>
      <c r="BK26" t="s">
        <v>695</v>
      </c>
      <c r="BL26" t="s">
        <v>53</v>
      </c>
      <c r="BM26" t="s">
        <v>695</v>
      </c>
      <c r="BN26" t="s">
        <v>695</v>
      </c>
      <c r="BO26" t="s">
        <v>347</v>
      </c>
      <c r="BP26" t="s">
        <v>166</v>
      </c>
      <c r="BQ26" t="s">
        <v>695</v>
      </c>
      <c r="BR26" t="s">
        <v>695</v>
      </c>
      <c r="BS26" t="s">
        <v>948</v>
      </c>
      <c r="BT26" t="s">
        <v>695</v>
      </c>
      <c r="BU26" t="s">
        <v>695</v>
      </c>
      <c r="BV26" t="s">
        <v>695</v>
      </c>
      <c r="BW26" t="s">
        <v>168</v>
      </c>
      <c r="BY26" t="s">
        <v>138</v>
      </c>
      <c r="BZ26" t="s">
        <v>138</v>
      </c>
      <c r="CA26" t="s">
        <v>169</v>
      </c>
    </row>
    <row r="27" spans="1:79" x14ac:dyDescent="0.25">
      <c r="A27" t="s">
        <v>513</v>
      </c>
      <c r="B27" t="s">
        <v>514</v>
      </c>
      <c r="C27" t="s">
        <v>695</v>
      </c>
      <c r="D27" t="s">
        <v>695</v>
      </c>
      <c r="E27" t="s">
        <v>362</v>
      </c>
      <c r="F27" t="s">
        <v>343</v>
      </c>
      <c r="G27" t="s">
        <v>344</v>
      </c>
      <c r="H27" t="s">
        <v>695</v>
      </c>
      <c r="I27" t="s">
        <v>18</v>
      </c>
      <c r="J27" t="s">
        <v>695</v>
      </c>
      <c r="K27" t="s">
        <v>18</v>
      </c>
      <c r="L27" t="s">
        <v>695</v>
      </c>
      <c r="M27" t="s">
        <v>695</v>
      </c>
      <c r="N27">
        <v>26671</v>
      </c>
      <c r="O27">
        <v>12</v>
      </c>
      <c r="Q27" t="s">
        <v>695</v>
      </c>
      <c r="S27" t="s">
        <v>695</v>
      </c>
      <c r="T27" t="s">
        <v>35</v>
      </c>
      <c r="U27" t="s">
        <v>695</v>
      </c>
      <c r="V27" t="s">
        <v>515</v>
      </c>
      <c r="W27" t="s">
        <v>695</v>
      </c>
      <c r="X27">
        <v>2003</v>
      </c>
      <c r="Y27" t="s">
        <v>695</v>
      </c>
      <c r="Z27" t="s">
        <v>695</v>
      </c>
      <c r="AA27" t="s">
        <v>695</v>
      </c>
      <c r="AB27">
        <v>1</v>
      </c>
      <c r="AC27">
        <v>1</v>
      </c>
      <c r="AG27" t="s">
        <v>695</v>
      </c>
      <c r="AI27" t="s">
        <v>695</v>
      </c>
      <c r="AK27" t="s">
        <v>695</v>
      </c>
      <c r="AM27" t="s">
        <v>695</v>
      </c>
      <c r="AO27" t="s">
        <v>695</v>
      </c>
      <c r="AP27" t="s">
        <v>695</v>
      </c>
      <c r="AQ27" t="s">
        <v>695</v>
      </c>
      <c r="AR27" t="s">
        <v>695</v>
      </c>
      <c r="AS27" t="s">
        <v>11</v>
      </c>
      <c r="AT27" t="s">
        <v>345</v>
      </c>
      <c r="AU27" t="s">
        <v>695</v>
      </c>
      <c r="AV27" t="s">
        <v>695</v>
      </c>
      <c r="AW27" t="s">
        <v>695</v>
      </c>
      <c r="AX27" t="s">
        <v>118</v>
      </c>
      <c r="AY27">
        <v>30</v>
      </c>
      <c r="AZ27" t="s">
        <v>267</v>
      </c>
      <c r="BA27" t="s">
        <v>717</v>
      </c>
      <c r="BB27" t="s">
        <v>695</v>
      </c>
      <c r="BC27" s="1"/>
      <c r="BD27" t="s">
        <v>516</v>
      </c>
      <c r="BE27" t="s">
        <v>695</v>
      </c>
      <c r="BF27">
        <v>2</v>
      </c>
      <c r="BG27" t="s">
        <v>695</v>
      </c>
      <c r="BH27" t="s">
        <v>695</v>
      </c>
      <c r="BI27" t="s">
        <v>695</v>
      </c>
      <c r="BJ27" t="s">
        <v>268</v>
      </c>
      <c r="BK27" t="s">
        <v>695</v>
      </c>
      <c r="BL27" t="s">
        <v>106</v>
      </c>
      <c r="BM27" t="s">
        <v>695</v>
      </c>
      <c r="BN27" t="s">
        <v>695</v>
      </c>
      <c r="BO27" t="s">
        <v>695</v>
      </c>
      <c r="BP27" t="s">
        <v>268</v>
      </c>
      <c r="BQ27" t="s">
        <v>695</v>
      </c>
      <c r="BR27" t="s">
        <v>695</v>
      </c>
      <c r="BS27" t="s">
        <v>949</v>
      </c>
      <c r="BT27" t="s">
        <v>695</v>
      </c>
      <c r="BU27" t="s">
        <v>269</v>
      </c>
      <c r="BV27" t="s">
        <v>695</v>
      </c>
      <c r="BW27" t="s">
        <v>950</v>
      </c>
      <c r="BX27">
        <v>2</v>
      </c>
      <c r="BY27" t="s">
        <v>270</v>
      </c>
      <c r="BZ27" t="s">
        <v>6</v>
      </c>
      <c r="CA27" t="s">
        <v>271</v>
      </c>
    </row>
    <row r="28" spans="1:79" x14ac:dyDescent="0.25">
      <c r="A28" t="s">
        <v>520</v>
      </c>
      <c r="B28" t="s">
        <v>521</v>
      </c>
      <c r="C28" t="s">
        <v>695</v>
      </c>
      <c r="D28" t="s">
        <v>695</v>
      </c>
      <c r="E28" t="s">
        <v>380</v>
      </c>
      <c r="F28" t="s">
        <v>343</v>
      </c>
      <c r="G28" t="s">
        <v>344</v>
      </c>
      <c r="H28" t="s">
        <v>695</v>
      </c>
      <c r="I28" t="s">
        <v>65</v>
      </c>
      <c r="J28" t="s">
        <v>695</v>
      </c>
      <c r="K28" t="s">
        <v>695</v>
      </c>
      <c r="L28" t="s">
        <v>695</v>
      </c>
      <c r="M28" t="s">
        <v>695</v>
      </c>
      <c r="O28">
        <v>45</v>
      </c>
      <c r="Q28" t="s">
        <v>695</v>
      </c>
      <c r="S28" t="s">
        <v>695</v>
      </c>
      <c r="T28" t="s">
        <v>35</v>
      </c>
      <c r="U28" t="s">
        <v>695</v>
      </c>
      <c r="V28" t="s">
        <v>695</v>
      </c>
      <c r="W28" t="s">
        <v>695</v>
      </c>
      <c r="X28">
        <v>1997</v>
      </c>
      <c r="Y28" t="s">
        <v>695</v>
      </c>
      <c r="Z28" t="s">
        <v>695</v>
      </c>
      <c r="AA28" t="s">
        <v>695</v>
      </c>
      <c r="AB28">
        <v>1</v>
      </c>
      <c r="AC28">
        <v>1</v>
      </c>
      <c r="AG28" t="s">
        <v>695</v>
      </c>
      <c r="AH28">
        <v>1</v>
      </c>
      <c r="AI28" t="s">
        <v>695</v>
      </c>
      <c r="AK28" t="s">
        <v>695</v>
      </c>
      <c r="AL28">
        <v>1</v>
      </c>
      <c r="AM28" t="s">
        <v>695</v>
      </c>
      <c r="AO28" t="s">
        <v>695</v>
      </c>
      <c r="AP28" t="s">
        <v>695</v>
      </c>
      <c r="AQ28" t="s">
        <v>695</v>
      </c>
      <c r="AR28" t="s">
        <v>695</v>
      </c>
      <c r="AS28" t="s">
        <v>11</v>
      </c>
      <c r="AT28" t="s">
        <v>345</v>
      </c>
      <c r="AU28" t="s">
        <v>695</v>
      </c>
      <c r="AV28" t="s">
        <v>695</v>
      </c>
      <c r="AW28" t="s">
        <v>695</v>
      </c>
      <c r="AX28" t="s">
        <v>695</v>
      </c>
      <c r="AY28">
        <v>0</v>
      </c>
      <c r="AZ28" t="s">
        <v>249</v>
      </c>
      <c r="BA28" t="s">
        <v>719</v>
      </c>
      <c r="BB28" t="s">
        <v>695</v>
      </c>
      <c r="BC28" s="1"/>
      <c r="BD28" t="s">
        <v>65</v>
      </c>
      <c r="BE28" t="s">
        <v>695</v>
      </c>
      <c r="BG28" t="s">
        <v>695</v>
      </c>
      <c r="BH28" t="s">
        <v>695</v>
      </c>
      <c r="BI28" t="s">
        <v>695</v>
      </c>
      <c r="BJ28" t="s">
        <v>951</v>
      </c>
      <c r="BK28" t="s">
        <v>695</v>
      </c>
      <c r="BL28" t="s">
        <v>14</v>
      </c>
      <c r="BM28" t="s">
        <v>695</v>
      </c>
      <c r="BN28" t="s">
        <v>695</v>
      </c>
      <c r="BO28" t="s">
        <v>695</v>
      </c>
      <c r="BP28" t="s">
        <v>250</v>
      </c>
      <c r="BQ28" t="s">
        <v>695</v>
      </c>
      <c r="BR28" t="s">
        <v>695</v>
      </c>
      <c r="BS28" t="s">
        <v>695</v>
      </c>
      <c r="BT28" t="s">
        <v>695</v>
      </c>
      <c r="BU28" t="s">
        <v>249</v>
      </c>
      <c r="BV28" t="s">
        <v>91</v>
      </c>
      <c r="BW28" t="s">
        <v>252</v>
      </c>
      <c r="BY28" t="s">
        <v>251</v>
      </c>
      <c r="BZ28" t="s">
        <v>70</v>
      </c>
      <c r="CA28" t="s">
        <v>253</v>
      </c>
    </row>
    <row r="29" spans="1:79" x14ac:dyDescent="0.25">
      <c r="A29" t="s">
        <v>390</v>
      </c>
      <c r="B29" t="s">
        <v>391</v>
      </c>
      <c r="C29" t="s">
        <v>695</v>
      </c>
      <c r="D29" t="s">
        <v>695</v>
      </c>
      <c r="E29" t="s">
        <v>362</v>
      </c>
      <c r="F29" t="s">
        <v>343</v>
      </c>
      <c r="G29" t="s">
        <v>344</v>
      </c>
      <c r="H29" t="s">
        <v>695</v>
      </c>
      <c r="I29" t="s">
        <v>18</v>
      </c>
      <c r="J29" t="s">
        <v>695</v>
      </c>
      <c r="K29" t="s">
        <v>18</v>
      </c>
      <c r="L29" t="s">
        <v>695</v>
      </c>
      <c r="M29" t="s">
        <v>695</v>
      </c>
      <c r="N29">
        <v>12080</v>
      </c>
      <c r="Q29" t="s">
        <v>695</v>
      </c>
      <c r="S29" t="s">
        <v>695</v>
      </c>
      <c r="T29" t="s">
        <v>35</v>
      </c>
      <c r="U29" t="s">
        <v>695</v>
      </c>
      <c r="V29" t="s">
        <v>392</v>
      </c>
      <c r="W29" t="s">
        <v>695</v>
      </c>
      <c r="X29">
        <v>2015</v>
      </c>
      <c r="Y29" t="s">
        <v>695</v>
      </c>
      <c r="Z29" t="s">
        <v>695</v>
      </c>
      <c r="AA29" t="s">
        <v>695</v>
      </c>
      <c r="AB29">
        <v>1</v>
      </c>
      <c r="AC29">
        <v>1</v>
      </c>
      <c r="AG29" t="s">
        <v>695</v>
      </c>
      <c r="AI29" t="s">
        <v>695</v>
      </c>
      <c r="AK29" t="s">
        <v>695</v>
      </c>
      <c r="AL29">
        <v>1</v>
      </c>
      <c r="AM29" t="s">
        <v>695</v>
      </c>
      <c r="AO29" t="s">
        <v>695</v>
      </c>
      <c r="AP29" t="s">
        <v>695</v>
      </c>
      <c r="AQ29" t="s">
        <v>695</v>
      </c>
      <c r="AR29" t="s">
        <v>695</v>
      </c>
      <c r="AS29" t="s">
        <v>11</v>
      </c>
      <c r="AT29" t="s">
        <v>345</v>
      </c>
      <c r="AU29" t="s">
        <v>695</v>
      </c>
      <c r="AV29" t="s">
        <v>695</v>
      </c>
      <c r="AW29" t="s">
        <v>695</v>
      </c>
      <c r="AX29" t="s">
        <v>167</v>
      </c>
      <c r="AY29">
        <v>20</v>
      </c>
      <c r="AZ29" t="s">
        <v>220</v>
      </c>
      <c r="BA29" t="s">
        <v>700</v>
      </c>
      <c r="BB29" t="s">
        <v>695</v>
      </c>
      <c r="BC29" s="1"/>
      <c r="BD29" t="s">
        <v>221</v>
      </c>
      <c r="BE29" t="s">
        <v>695</v>
      </c>
      <c r="BG29" t="s">
        <v>695</v>
      </c>
      <c r="BH29" t="s">
        <v>695</v>
      </c>
      <c r="BI29" t="s">
        <v>695</v>
      </c>
      <c r="BJ29" t="s">
        <v>393</v>
      </c>
      <c r="BK29" t="s">
        <v>695</v>
      </c>
      <c r="BL29" t="s">
        <v>14</v>
      </c>
      <c r="BM29" t="s">
        <v>695</v>
      </c>
      <c r="BN29" t="s">
        <v>695</v>
      </c>
      <c r="BO29" t="s">
        <v>695</v>
      </c>
      <c r="BP29" t="s">
        <v>215</v>
      </c>
      <c r="BQ29" t="s">
        <v>695</v>
      </c>
      <c r="BR29" t="s">
        <v>695</v>
      </c>
      <c r="BS29" t="s">
        <v>952</v>
      </c>
      <c r="BT29" t="s">
        <v>695</v>
      </c>
      <c r="BU29" t="s">
        <v>695</v>
      </c>
      <c r="BV29" t="s">
        <v>695</v>
      </c>
      <c r="BW29" t="s">
        <v>221</v>
      </c>
      <c r="BY29" t="s">
        <v>138</v>
      </c>
      <c r="BZ29" t="s">
        <v>138</v>
      </c>
      <c r="CA29" t="s">
        <v>222</v>
      </c>
    </row>
    <row r="30" spans="1:79" x14ac:dyDescent="0.25">
      <c r="A30" t="s">
        <v>504</v>
      </c>
      <c r="B30" t="s">
        <v>505</v>
      </c>
      <c r="C30" t="s">
        <v>695</v>
      </c>
      <c r="D30" t="s">
        <v>695</v>
      </c>
      <c r="E30" t="s">
        <v>362</v>
      </c>
      <c r="F30" t="s">
        <v>695</v>
      </c>
      <c r="G30" t="s">
        <v>344</v>
      </c>
      <c r="H30" t="s">
        <v>695</v>
      </c>
      <c r="I30" t="s">
        <v>65</v>
      </c>
      <c r="J30" t="s">
        <v>695</v>
      </c>
      <c r="K30" t="s">
        <v>65</v>
      </c>
      <c r="L30" t="s">
        <v>695</v>
      </c>
      <c r="M30" t="s">
        <v>695</v>
      </c>
      <c r="N30">
        <v>13828</v>
      </c>
      <c r="O30">
        <v>15</v>
      </c>
      <c r="Q30" t="s">
        <v>695</v>
      </c>
      <c r="S30" t="s">
        <v>695</v>
      </c>
      <c r="T30" t="s">
        <v>105</v>
      </c>
      <c r="U30" t="s">
        <v>695</v>
      </c>
      <c r="V30" t="s">
        <v>506</v>
      </c>
      <c r="W30" t="s">
        <v>695</v>
      </c>
      <c r="X30">
        <v>1997</v>
      </c>
      <c r="Y30" t="s">
        <v>695</v>
      </c>
      <c r="Z30" t="s">
        <v>695</v>
      </c>
      <c r="AA30" t="s">
        <v>695</v>
      </c>
      <c r="AB30">
        <v>1</v>
      </c>
      <c r="AC30">
        <v>1</v>
      </c>
      <c r="AG30" t="s">
        <v>695</v>
      </c>
      <c r="AI30" t="s">
        <v>695</v>
      </c>
      <c r="AK30" t="s">
        <v>695</v>
      </c>
      <c r="AM30" t="s">
        <v>695</v>
      </c>
      <c r="AN30">
        <v>1</v>
      </c>
      <c r="AO30" t="s">
        <v>695</v>
      </c>
      <c r="AP30" t="s">
        <v>695</v>
      </c>
      <c r="AQ30" t="s">
        <v>695</v>
      </c>
      <c r="AR30" t="s">
        <v>102</v>
      </c>
      <c r="AS30" t="s">
        <v>11</v>
      </c>
      <c r="AT30" t="s">
        <v>345</v>
      </c>
      <c r="AU30" t="s">
        <v>695</v>
      </c>
      <c r="AV30" t="s">
        <v>695</v>
      </c>
      <c r="AW30" t="s">
        <v>695</v>
      </c>
      <c r="AX30" t="s">
        <v>100</v>
      </c>
      <c r="AY30">
        <v>10</v>
      </c>
      <c r="AZ30" t="s">
        <v>98</v>
      </c>
      <c r="BA30" t="s">
        <v>713</v>
      </c>
      <c r="BB30" t="s">
        <v>695</v>
      </c>
      <c r="BC30" s="1"/>
      <c r="BD30" t="s">
        <v>103</v>
      </c>
      <c r="BE30" t="s">
        <v>695</v>
      </c>
      <c r="BG30" t="s">
        <v>695</v>
      </c>
      <c r="BH30" t="s">
        <v>695</v>
      </c>
      <c r="BI30" t="s">
        <v>695</v>
      </c>
      <c r="BJ30" t="s">
        <v>953</v>
      </c>
      <c r="BK30" t="s">
        <v>472</v>
      </c>
      <c r="BL30" t="s">
        <v>106</v>
      </c>
      <c r="BM30" t="s">
        <v>695</v>
      </c>
      <c r="BN30" t="s">
        <v>695</v>
      </c>
      <c r="BO30" t="s">
        <v>695</v>
      </c>
      <c r="BP30" t="s">
        <v>99</v>
      </c>
      <c r="BQ30" t="s">
        <v>695</v>
      </c>
      <c r="BR30" t="s">
        <v>695</v>
      </c>
      <c r="BS30" t="s">
        <v>507</v>
      </c>
      <c r="BT30" t="s">
        <v>695</v>
      </c>
      <c r="BU30" t="s">
        <v>695</v>
      </c>
      <c r="BV30" t="s">
        <v>695</v>
      </c>
      <c r="BW30" t="s">
        <v>103</v>
      </c>
      <c r="BY30" t="s">
        <v>101</v>
      </c>
      <c r="BZ30" t="s">
        <v>101</v>
      </c>
      <c r="CA30" t="s">
        <v>104</v>
      </c>
    </row>
    <row r="31" spans="1:79" x14ac:dyDescent="0.25">
      <c r="A31" t="s">
        <v>504</v>
      </c>
      <c r="B31" t="s">
        <v>505</v>
      </c>
      <c r="C31" t="s">
        <v>695</v>
      </c>
      <c r="D31" t="s">
        <v>695</v>
      </c>
      <c r="E31" t="s">
        <v>362</v>
      </c>
      <c r="F31" t="s">
        <v>343</v>
      </c>
      <c r="G31" t="s">
        <v>344</v>
      </c>
      <c r="H31" t="s">
        <v>695</v>
      </c>
      <c r="I31" t="s">
        <v>65</v>
      </c>
      <c r="J31" t="s">
        <v>695</v>
      </c>
      <c r="K31" t="s">
        <v>65</v>
      </c>
      <c r="L31" t="s">
        <v>695</v>
      </c>
      <c r="M31" t="s">
        <v>695</v>
      </c>
      <c r="N31">
        <v>13828</v>
      </c>
      <c r="O31">
        <v>15</v>
      </c>
      <c r="Q31" t="s">
        <v>695</v>
      </c>
      <c r="S31" t="s">
        <v>695</v>
      </c>
      <c r="T31" t="s">
        <v>35</v>
      </c>
      <c r="U31" t="s">
        <v>695</v>
      </c>
      <c r="V31" t="s">
        <v>506</v>
      </c>
      <c r="W31" t="s">
        <v>695</v>
      </c>
      <c r="X31">
        <v>2015</v>
      </c>
      <c r="Y31" t="s">
        <v>695</v>
      </c>
      <c r="Z31" t="s">
        <v>695</v>
      </c>
      <c r="AA31" t="s">
        <v>695</v>
      </c>
      <c r="AB31">
        <v>1</v>
      </c>
      <c r="AC31">
        <v>1</v>
      </c>
      <c r="AG31" t="s">
        <v>695</v>
      </c>
      <c r="AI31" t="s">
        <v>695</v>
      </c>
      <c r="AK31" t="s">
        <v>695</v>
      </c>
      <c r="AM31" t="s">
        <v>695</v>
      </c>
      <c r="AO31" t="s">
        <v>695</v>
      </c>
      <c r="AP31" t="s">
        <v>695</v>
      </c>
      <c r="AQ31" t="s">
        <v>695</v>
      </c>
      <c r="AR31" t="s">
        <v>102</v>
      </c>
      <c r="AS31" t="s">
        <v>11</v>
      </c>
      <c r="AT31" t="s">
        <v>345</v>
      </c>
      <c r="AU31" t="s">
        <v>695</v>
      </c>
      <c r="AV31" t="s">
        <v>695</v>
      </c>
      <c r="AW31" t="s">
        <v>695</v>
      </c>
      <c r="AX31" t="s">
        <v>100</v>
      </c>
      <c r="AY31">
        <v>10</v>
      </c>
      <c r="AZ31" t="s">
        <v>98</v>
      </c>
      <c r="BA31" t="s">
        <v>747</v>
      </c>
      <c r="BB31" t="s">
        <v>695</v>
      </c>
      <c r="BC31" s="1"/>
      <c r="BD31" t="s">
        <v>103</v>
      </c>
      <c r="BE31" t="s">
        <v>695</v>
      </c>
      <c r="BG31" t="s">
        <v>695</v>
      </c>
      <c r="BH31" t="s">
        <v>695</v>
      </c>
      <c r="BI31" t="s">
        <v>695</v>
      </c>
      <c r="BJ31" t="s">
        <v>953</v>
      </c>
      <c r="BK31" t="s">
        <v>695</v>
      </c>
      <c r="BL31" t="s">
        <v>106</v>
      </c>
      <c r="BM31" t="s">
        <v>695</v>
      </c>
      <c r="BN31" t="s">
        <v>695</v>
      </c>
      <c r="BO31" t="s">
        <v>695</v>
      </c>
      <c r="BP31" t="s">
        <v>99</v>
      </c>
      <c r="BQ31" t="s">
        <v>695</v>
      </c>
      <c r="BR31" t="s">
        <v>695</v>
      </c>
      <c r="BS31" t="s">
        <v>954</v>
      </c>
      <c r="BT31" t="s">
        <v>695</v>
      </c>
      <c r="BU31" t="s">
        <v>695</v>
      </c>
      <c r="BV31" t="s">
        <v>695</v>
      </c>
      <c r="BW31" t="s">
        <v>103</v>
      </c>
      <c r="BY31" t="s">
        <v>101</v>
      </c>
      <c r="BZ31" t="s">
        <v>101</v>
      </c>
      <c r="CA31" t="s">
        <v>508</v>
      </c>
    </row>
    <row r="32" spans="1:79" x14ac:dyDescent="0.25">
      <c r="A32" t="s">
        <v>524</v>
      </c>
      <c r="B32" t="s">
        <v>525</v>
      </c>
      <c r="C32" t="s">
        <v>695</v>
      </c>
      <c r="D32" t="s">
        <v>695</v>
      </c>
      <c r="E32" t="s">
        <v>342</v>
      </c>
      <c r="F32" t="s">
        <v>695</v>
      </c>
      <c r="G32" t="s">
        <v>469</v>
      </c>
      <c r="H32" t="s">
        <v>695</v>
      </c>
      <c r="I32" t="s">
        <v>695</v>
      </c>
      <c r="J32" t="s">
        <v>695</v>
      </c>
      <c r="K32" t="s">
        <v>695</v>
      </c>
      <c r="L32" t="s">
        <v>695</v>
      </c>
      <c r="M32" t="s">
        <v>695</v>
      </c>
      <c r="N32">
        <v>183</v>
      </c>
      <c r="O32">
        <v>14</v>
      </c>
      <c r="Q32" t="s">
        <v>695</v>
      </c>
      <c r="S32" t="s">
        <v>695</v>
      </c>
      <c r="T32" t="s">
        <v>35</v>
      </c>
      <c r="U32" t="s">
        <v>695</v>
      </c>
      <c r="V32" t="s">
        <v>526</v>
      </c>
      <c r="W32" t="s">
        <v>527</v>
      </c>
      <c r="X32">
        <v>2015</v>
      </c>
      <c r="Y32" t="s">
        <v>695</v>
      </c>
      <c r="Z32" t="s">
        <v>695</v>
      </c>
      <c r="AA32" t="s">
        <v>695</v>
      </c>
      <c r="AB32">
        <v>1</v>
      </c>
      <c r="AC32">
        <v>1</v>
      </c>
      <c r="AE32">
        <v>1</v>
      </c>
      <c r="AG32" t="s">
        <v>695</v>
      </c>
      <c r="AI32" t="s">
        <v>695</v>
      </c>
      <c r="AK32" t="s">
        <v>695</v>
      </c>
      <c r="AL32">
        <v>1</v>
      </c>
      <c r="AM32" t="s">
        <v>695</v>
      </c>
      <c r="AN32">
        <v>1</v>
      </c>
      <c r="AO32" t="s">
        <v>695</v>
      </c>
      <c r="AP32" t="s">
        <v>695</v>
      </c>
      <c r="AQ32" t="s">
        <v>695</v>
      </c>
      <c r="AR32" t="s">
        <v>695</v>
      </c>
      <c r="AS32" t="s">
        <v>11</v>
      </c>
      <c r="AT32" t="s">
        <v>345</v>
      </c>
      <c r="AU32" t="s">
        <v>695</v>
      </c>
      <c r="AV32" t="s">
        <v>695</v>
      </c>
      <c r="AW32" t="s">
        <v>695</v>
      </c>
      <c r="AX32" t="s">
        <v>695</v>
      </c>
      <c r="AY32">
        <v>0</v>
      </c>
      <c r="AZ32" t="s">
        <v>68</v>
      </c>
      <c r="BA32" t="s">
        <v>720</v>
      </c>
      <c r="BB32" t="s">
        <v>695</v>
      </c>
      <c r="BC32" s="1">
        <v>45401</v>
      </c>
      <c r="BD32" t="s">
        <v>528</v>
      </c>
      <c r="BE32" t="s">
        <v>695</v>
      </c>
      <c r="BG32" t="s">
        <v>695</v>
      </c>
      <c r="BH32" t="s">
        <v>695</v>
      </c>
      <c r="BI32" t="s">
        <v>695</v>
      </c>
      <c r="BJ32" t="s">
        <v>529</v>
      </c>
      <c r="BK32" t="s">
        <v>472</v>
      </c>
      <c r="BL32" t="s">
        <v>23</v>
      </c>
      <c r="BM32" t="s">
        <v>695</v>
      </c>
      <c r="BN32" t="s">
        <v>695</v>
      </c>
      <c r="BO32" t="s">
        <v>347</v>
      </c>
      <c r="BP32" t="s">
        <v>69</v>
      </c>
      <c r="BQ32" t="s">
        <v>695</v>
      </c>
      <c r="BR32" t="s">
        <v>695</v>
      </c>
      <c r="BS32" t="s">
        <v>530</v>
      </c>
      <c r="BT32" t="s">
        <v>695</v>
      </c>
      <c r="BU32" t="s">
        <v>695</v>
      </c>
      <c r="BV32" t="s">
        <v>695</v>
      </c>
      <c r="BW32" t="s">
        <v>955</v>
      </c>
      <c r="BY32" t="s">
        <v>70</v>
      </c>
      <c r="BZ32" t="s">
        <v>70</v>
      </c>
      <c r="CA32" t="s">
        <v>71</v>
      </c>
    </row>
    <row r="33" spans="1:79" x14ac:dyDescent="0.25">
      <c r="A33" t="s">
        <v>429</v>
      </c>
      <c r="B33" t="s">
        <v>430</v>
      </c>
      <c r="C33" t="s">
        <v>695</v>
      </c>
      <c r="D33" t="s">
        <v>695</v>
      </c>
      <c r="E33" t="s">
        <v>350</v>
      </c>
      <c r="F33" t="s">
        <v>695</v>
      </c>
      <c r="G33" t="s">
        <v>344</v>
      </c>
      <c r="H33" t="s">
        <v>695</v>
      </c>
      <c r="I33" t="s">
        <v>18</v>
      </c>
      <c r="J33" t="s">
        <v>695</v>
      </c>
      <c r="K33" t="s">
        <v>18</v>
      </c>
      <c r="L33" t="s">
        <v>695</v>
      </c>
      <c r="M33" t="s">
        <v>695</v>
      </c>
      <c r="N33">
        <v>596</v>
      </c>
      <c r="O33">
        <v>2</v>
      </c>
      <c r="Q33" t="s">
        <v>695</v>
      </c>
      <c r="S33" t="s">
        <v>695</v>
      </c>
      <c r="T33" t="s">
        <v>52</v>
      </c>
      <c r="U33" t="s">
        <v>695</v>
      </c>
      <c r="V33" t="s">
        <v>695</v>
      </c>
      <c r="W33" t="s">
        <v>695</v>
      </c>
      <c r="X33">
        <v>2015</v>
      </c>
      <c r="Y33" t="s">
        <v>695</v>
      </c>
      <c r="Z33" t="s">
        <v>695</v>
      </c>
      <c r="AA33" t="s">
        <v>695</v>
      </c>
      <c r="AB33">
        <v>1</v>
      </c>
      <c r="AC33">
        <v>0</v>
      </c>
      <c r="AD33">
        <v>1</v>
      </c>
      <c r="AG33" t="s">
        <v>695</v>
      </c>
      <c r="AI33" t="s">
        <v>695</v>
      </c>
      <c r="AJ33">
        <v>1</v>
      </c>
      <c r="AK33" t="s">
        <v>695</v>
      </c>
      <c r="AL33">
        <v>1</v>
      </c>
      <c r="AM33" t="s">
        <v>695</v>
      </c>
      <c r="AN33">
        <v>1</v>
      </c>
      <c r="AO33" t="s">
        <v>695</v>
      </c>
      <c r="AP33" t="s">
        <v>695</v>
      </c>
      <c r="AQ33" t="s">
        <v>695</v>
      </c>
      <c r="AR33" t="s">
        <v>121</v>
      </c>
      <c r="AS33" t="s">
        <v>11</v>
      </c>
      <c r="AT33" t="s">
        <v>345</v>
      </c>
      <c r="AU33" t="s">
        <v>695</v>
      </c>
      <c r="AV33" t="s">
        <v>695</v>
      </c>
      <c r="AW33" t="s">
        <v>695</v>
      </c>
      <c r="AX33" t="s">
        <v>118</v>
      </c>
      <c r="AY33">
        <v>30</v>
      </c>
      <c r="AZ33" t="s">
        <v>116</v>
      </c>
      <c r="BA33" t="s">
        <v>431</v>
      </c>
      <c r="BB33" t="s">
        <v>695</v>
      </c>
      <c r="BC33" s="1"/>
      <c r="BD33" t="s">
        <v>695</v>
      </c>
      <c r="BE33" t="s">
        <v>695</v>
      </c>
      <c r="BF33">
        <v>2</v>
      </c>
      <c r="BG33" t="s">
        <v>695</v>
      </c>
      <c r="BH33" t="s">
        <v>695</v>
      </c>
      <c r="BI33" t="s">
        <v>695</v>
      </c>
      <c r="BJ33" t="s">
        <v>956</v>
      </c>
      <c r="BK33" t="s">
        <v>432</v>
      </c>
      <c r="BL33" t="s">
        <v>53</v>
      </c>
      <c r="BM33" t="s">
        <v>695</v>
      </c>
      <c r="BN33" t="s">
        <v>695</v>
      </c>
      <c r="BO33" t="s">
        <v>347</v>
      </c>
      <c r="BP33" t="s">
        <v>117</v>
      </c>
      <c r="BQ33" t="s">
        <v>695</v>
      </c>
      <c r="BR33" t="s">
        <v>695</v>
      </c>
      <c r="BS33" t="s">
        <v>695</v>
      </c>
      <c r="BT33" t="s">
        <v>695</v>
      </c>
      <c r="BU33" t="s">
        <v>119</v>
      </c>
      <c r="BV33" t="s">
        <v>695</v>
      </c>
      <c r="BW33" t="s">
        <v>957</v>
      </c>
      <c r="BX33">
        <v>3</v>
      </c>
      <c r="BY33" t="s">
        <v>120</v>
      </c>
      <c r="BZ33" t="s">
        <v>6</v>
      </c>
      <c r="CA33" t="s">
        <v>122</v>
      </c>
    </row>
    <row r="34" spans="1:79" x14ac:dyDescent="0.25">
      <c r="A34" t="s">
        <v>536</v>
      </c>
      <c r="B34" t="s">
        <v>537</v>
      </c>
      <c r="C34" t="s">
        <v>695</v>
      </c>
      <c r="D34" t="s">
        <v>695</v>
      </c>
      <c r="E34" t="s">
        <v>362</v>
      </c>
      <c r="F34" t="s">
        <v>343</v>
      </c>
      <c r="G34" t="s">
        <v>344</v>
      </c>
      <c r="H34" t="s">
        <v>695</v>
      </c>
      <c r="I34" t="s">
        <v>65</v>
      </c>
      <c r="J34" t="s">
        <v>695</v>
      </c>
      <c r="K34" t="s">
        <v>65</v>
      </c>
      <c r="L34" t="s">
        <v>695</v>
      </c>
      <c r="M34" t="s">
        <v>695</v>
      </c>
      <c r="N34">
        <v>19632</v>
      </c>
      <c r="Q34" t="s">
        <v>695</v>
      </c>
      <c r="S34" t="s">
        <v>695</v>
      </c>
      <c r="T34" t="s">
        <v>35</v>
      </c>
      <c r="U34" t="s">
        <v>695</v>
      </c>
      <c r="V34" t="s">
        <v>538</v>
      </c>
      <c r="W34" t="s">
        <v>695</v>
      </c>
      <c r="X34">
        <v>1997</v>
      </c>
      <c r="Y34" t="s">
        <v>695</v>
      </c>
      <c r="Z34" t="s">
        <v>695</v>
      </c>
      <c r="AA34" t="s">
        <v>695</v>
      </c>
      <c r="AB34">
        <v>1</v>
      </c>
      <c r="AC34">
        <v>1</v>
      </c>
      <c r="AG34" t="s">
        <v>695</v>
      </c>
      <c r="AI34" t="s">
        <v>695</v>
      </c>
      <c r="AK34" t="s">
        <v>695</v>
      </c>
      <c r="AM34" t="s">
        <v>695</v>
      </c>
      <c r="AO34" t="s">
        <v>695</v>
      </c>
      <c r="AP34" t="s">
        <v>695</v>
      </c>
      <c r="AQ34" t="s">
        <v>695</v>
      </c>
      <c r="AR34" t="s">
        <v>695</v>
      </c>
      <c r="AS34" t="s">
        <v>11</v>
      </c>
      <c r="AT34" t="s">
        <v>345</v>
      </c>
      <c r="AU34" t="s">
        <v>695</v>
      </c>
      <c r="AV34" t="s">
        <v>695</v>
      </c>
      <c r="AW34" t="s">
        <v>695</v>
      </c>
      <c r="AX34" t="s">
        <v>263</v>
      </c>
      <c r="AY34">
        <v>20</v>
      </c>
      <c r="AZ34" t="s">
        <v>297</v>
      </c>
      <c r="BA34" t="s">
        <v>722</v>
      </c>
      <c r="BB34" t="s">
        <v>695</v>
      </c>
      <c r="BC34" s="1"/>
      <c r="BD34" t="s">
        <v>539</v>
      </c>
      <c r="BE34" t="s">
        <v>695</v>
      </c>
      <c r="BG34" t="s">
        <v>695</v>
      </c>
      <c r="BH34" t="s">
        <v>695</v>
      </c>
      <c r="BI34" t="s">
        <v>695</v>
      </c>
      <c r="BJ34" t="s">
        <v>289</v>
      </c>
      <c r="BK34" t="s">
        <v>695</v>
      </c>
      <c r="BL34" t="s">
        <v>106</v>
      </c>
      <c r="BM34" t="s">
        <v>695</v>
      </c>
      <c r="BN34" t="s">
        <v>695</v>
      </c>
      <c r="BO34" t="s">
        <v>695</v>
      </c>
      <c r="BP34" t="s">
        <v>289</v>
      </c>
      <c r="BQ34" t="s">
        <v>695</v>
      </c>
      <c r="BR34" t="s">
        <v>695</v>
      </c>
      <c r="BS34" t="s">
        <v>540</v>
      </c>
      <c r="BT34" t="s">
        <v>695</v>
      </c>
      <c r="BU34" t="s">
        <v>695</v>
      </c>
      <c r="BV34" t="s">
        <v>695</v>
      </c>
      <c r="BW34" t="s">
        <v>298</v>
      </c>
      <c r="BY34" t="s">
        <v>138</v>
      </c>
      <c r="BZ34" t="s">
        <v>138</v>
      </c>
      <c r="CA34" t="s">
        <v>299</v>
      </c>
    </row>
    <row r="35" spans="1:79" x14ac:dyDescent="0.25">
      <c r="A35" t="s">
        <v>438</v>
      </c>
      <c r="B35" t="s">
        <v>439</v>
      </c>
      <c r="C35" t="s">
        <v>695</v>
      </c>
      <c r="D35" t="s">
        <v>695</v>
      </c>
      <c r="E35" t="s">
        <v>350</v>
      </c>
      <c r="F35" t="s">
        <v>343</v>
      </c>
      <c r="G35" t="s">
        <v>440</v>
      </c>
      <c r="H35" t="s">
        <v>695</v>
      </c>
      <c r="I35" t="s">
        <v>65</v>
      </c>
      <c r="J35" t="s">
        <v>695</v>
      </c>
      <c r="K35" t="s">
        <v>65</v>
      </c>
      <c r="L35" t="s">
        <v>695</v>
      </c>
      <c r="M35" t="s">
        <v>695</v>
      </c>
      <c r="N35">
        <v>11489</v>
      </c>
      <c r="O35">
        <v>2</v>
      </c>
      <c r="Q35" t="s">
        <v>695</v>
      </c>
      <c r="S35" t="s">
        <v>695</v>
      </c>
      <c r="T35" t="s">
        <v>13</v>
      </c>
      <c r="U35" t="s">
        <v>695</v>
      </c>
      <c r="V35" t="s">
        <v>695</v>
      </c>
      <c r="W35" t="s">
        <v>695</v>
      </c>
      <c r="X35">
        <v>1993</v>
      </c>
      <c r="Y35" t="s">
        <v>695</v>
      </c>
      <c r="Z35" t="s">
        <v>695</v>
      </c>
      <c r="AA35" t="s">
        <v>695</v>
      </c>
      <c r="AB35">
        <v>0</v>
      </c>
      <c r="AC35">
        <v>1</v>
      </c>
      <c r="AG35" t="s">
        <v>695</v>
      </c>
      <c r="AI35" t="s">
        <v>695</v>
      </c>
      <c r="AK35" t="s">
        <v>695</v>
      </c>
      <c r="AL35">
        <v>1</v>
      </c>
      <c r="AM35" t="s">
        <v>695</v>
      </c>
      <c r="AO35" t="s">
        <v>695</v>
      </c>
      <c r="AP35" t="s">
        <v>695</v>
      </c>
      <c r="AQ35" t="s">
        <v>695</v>
      </c>
      <c r="AR35" t="s">
        <v>695</v>
      </c>
      <c r="AS35" t="s">
        <v>11</v>
      </c>
      <c r="AT35" t="s">
        <v>345</v>
      </c>
      <c r="AU35" t="s">
        <v>695</v>
      </c>
      <c r="AV35" t="s">
        <v>695</v>
      </c>
      <c r="AW35" t="s">
        <v>695</v>
      </c>
      <c r="AX35" t="s">
        <v>200</v>
      </c>
      <c r="AY35">
        <v>40</v>
      </c>
      <c r="AZ35" t="s">
        <v>320</v>
      </c>
      <c r="BA35" t="s">
        <v>707</v>
      </c>
      <c r="BB35" t="s">
        <v>695</v>
      </c>
      <c r="BC35" s="1"/>
      <c r="BD35" t="s">
        <v>441</v>
      </c>
      <c r="BE35" t="s">
        <v>695</v>
      </c>
      <c r="BG35" t="s">
        <v>695</v>
      </c>
      <c r="BH35" t="s">
        <v>695</v>
      </c>
      <c r="BI35" t="s">
        <v>695</v>
      </c>
      <c r="BJ35" t="s">
        <v>442</v>
      </c>
      <c r="BK35" t="s">
        <v>695</v>
      </c>
      <c r="BL35" t="s">
        <v>106</v>
      </c>
      <c r="BM35" t="s">
        <v>695</v>
      </c>
      <c r="BN35" t="s">
        <v>695</v>
      </c>
      <c r="BO35" t="s">
        <v>695</v>
      </c>
      <c r="BP35" t="s">
        <v>321</v>
      </c>
      <c r="BQ35" t="s">
        <v>695</v>
      </c>
      <c r="BR35" t="s">
        <v>695</v>
      </c>
      <c r="BS35" t="s">
        <v>443</v>
      </c>
      <c r="BT35" t="s">
        <v>695</v>
      </c>
      <c r="BU35" t="s">
        <v>695</v>
      </c>
      <c r="BV35" t="s">
        <v>695</v>
      </c>
      <c r="BW35" t="s">
        <v>322</v>
      </c>
      <c r="BY35" t="s">
        <v>101</v>
      </c>
      <c r="BZ35" t="s">
        <v>101</v>
      </c>
      <c r="CA35" t="s">
        <v>323</v>
      </c>
    </row>
    <row r="36" spans="1:79" x14ac:dyDescent="0.25">
      <c r="A36" t="s">
        <v>348</v>
      </c>
      <c r="B36" t="s">
        <v>349</v>
      </c>
      <c r="C36" t="s">
        <v>695</v>
      </c>
      <c r="D36" t="s">
        <v>695</v>
      </c>
      <c r="E36" t="s">
        <v>350</v>
      </c>
      <c r="F36" t="s">
        <v>343</v>
      </c>
      <c r="G36" t="s">
        <v>344</v>
      </c>
      <c r="H36" t="s">
        <v>695</v>
      </c>
      <c r="I36" t="s">
        <v>18</v>
      </c>
      <c r="J36" t="s">
        <v>695</v>
      </c>
      <c r="K36" t="s">
        <v>18</v>
      </c>
      <c r="L36" t="s">
        <v>695</v>
      </c>
      <c r="M36" t="s">
        <v>695</v>
      </c>
      <c r="N36">
        <v>12386</v>
      </c>
      <c r="Q36" t="s">
        <v>695</v>
      </c>
      <c r="S36" t="s">
        <v>695</v>
      </c>
      <c r="T36" t="s">
        <v>13</v>
      </c>
      <c r="U36" t="s">
        <v>695</v>
      </c>
      <c r="V36" t="s">
        <v>351</v>
      </c>
      <c r="W36" t="s">
        <v>695</v>
      </c>
      <c r="X36">
        <v>2015</v>
      </c>
      <c r="Y36" t="s">
        <v>695</v>
      </c>
      <c r="Z36" t="s">
        <v>695</v>
      </c>
      <c r="AA36" t="s">
        <v>695</v>
      </c>
      <c r="AB36">
        <v>0</v>
      </c>
      <c r="AC36">
        <v>1</v>
      </c>
      <c r="AG36" t="s">
        <v>695</v>
      </c>
      <c r="AI36" t="s">
        <v>695</v>
      </c>
      <c r="AK36" t="s">
        <v>695</v>
      </c>
      <c r="AL36">
        <v>1</v>
      </c>
      <c r="AM36" t="s">
        <v>695</v>
      </c>
      <c r="AO36" t="s">
        <v>695</v>
      </c>
      <c r="AP36" t="s">
        <v>695</v>
      </c>
      <c r="AQ36" t="s">
        <v>695</v>
      </c>
      <c r="AR36" t="s">
        <v>134</v>
      </c>
      <c r="AS36" t="s">
        <v>11</v>
      </c>
      <c r="AT36" t="s">
        <v>345</v>
      </c>
      <c r="AU36" t="s">
        <v>695</v>
      </c>
      <c r="AV36" t="s">
        <v>695</v>
      </c>
      <c r="AW36" t="s">
        <v>695</v>
      </c>
      <c r="AX36" t="s">
        <v>131</v>
      </c>
      <c r="AY36">
        <v>50</v>
      </c>
      <c r="AZ36" t="s">
        <v>130</v>
      </c>
      <c r="BA36" t="s">
        <v>352</v>
      </c>
      <c r="BB36" t="s">
        <v>695</v>
      </c>
      <c r="BC36" s="1">
        <v>43776</v>
      </c>
      <c r="BD36" t="s">
        <v>695</v>
      </c>
      <c r="BE36" t="s">
        <v>695</v>
      </c>
      <c r="BF36">
        <v>4</v>
      </c>
      <c r="BG36" t="s">
        <v>695</v>
      </c>
      <c r="BH36" t="s">
        <v>695</v>
      </c>
      <c r="BI36" t="s">
        <v>695</v>
      </c>
      <c r="BJ36" t="s">
        <v>353</v>
      </c>
      <c r="BK36" t="s">
        <v>695</v>
      </c>
      <c r="BL36" t="s">
        <v>106</v>
      </c>
      <c r="BM36" t="s">
        <v>695</v>
      </c>
      <c r="BN36" t="s">
        <v>695</v>
      </c>
      <c r="BO36" t="s">
        <v>695</v>
      </c>
      <c r="BP36" t="s">
        <v>124</v>
      </c>
      <c r="BQ36" t="s">
        <v>695</v>
      </c>
      <c r="BR36" t="s">
        <v>695</v>
      </c>
      <c r="BS36" t="s">
        <v>354</v>
      </c>
      <c r="BT36" t="s">
        <v>695</v>
      </c>
      <c r="BU36" t="s">
        <v>132</v>
      </c>
      <c r="BV36" t="s">
        <v>695</v>
      </c>
      <c r="BW36" t="s">
        <v>958</v>
      </c>
      <c r="BX36">
        <v>4</v>
      </c>
      <c r="BY36" t="s">
        <v>133</v>
      </c>
      <c r="BZ36" t="s">
        <v>6</v>
      </c>
      <c r="CA36" t="s">
        <v>135</v>
      </c>
    </row>
    <row r="37" spans="1:79" x14ac:dyDescent="0.25">
      <c r="A37" t="s">
        <v>394</v>
      </c>
      <c r="B37" t="s">
        <v>395</v>
      </c>
      <c r="C37" t="s">
        <v>695</v>
      </c>
      <c r="D37" t="s">
        <v>695</v>
      </c>
      <c r="E37" t="s">
        <v>362</v>
      </c>
      <c r="F37" t="s">
        <v>695</v>
      </c>
      <c r="G37" t="s">
        <v>344</v>
      </c>
      <c r="H37" t="s">
        <v>695</v>
      </c>
      <c r="I37" t="s">
        <v>396</v>
      </c>
      <c r="J37" t="s">
        <v>695</v>
      </c>
      <c r="K37" t="s">
        <v>396</v>
      </c>
      <c r="L37" t="s">
        <v>695</v>
      </c>
      <c r="M37" t="s">
        <v>695</v>
      </c>
      <c r="N37">
        <v>5386</v>
      </c>
      <c r="O37">
        <v>16</v>
      </c>
      <c r="Q37" t="s">
        <v>695</v>
      </c>
      <c r="S37" t="s">
        <v>695</v>
      </c>
      <c r="T37" t="s">
        <v>52</v>
      </c>
      <c r="U37" t="s">
        <v>959</v>
      </c>
      <c r="V37" t="s">
        <v>695</v>
      </c>
      <c r="W37" t="s">
        <v>397</v>
      </c>
      <c r="X37">
        <v>2015</v>
      </c>
      <c r="Y37" t="s">
        <v>695</v>
      </c>
      <c r="Z37" t="s">
        <v>695</v>
      </c>
      <c r="AA37" t="s">
        <v>695</v>
      </c>
      <c r="AB37">
        <v>1</v>
      </c>
      <c r="AC37">
        <v>0</v>
      </c>
      <c r="AG37" t="s">
        <v>695</v>
      </c>
      <c r="AI37" t="s">
        <v>695</v>
      </c>
      <c r="AK37" t="s">
        <v>695</v>
      </c>
      <c r="AM37" t="s">
        <v>695</v>
      </c>
      <c r="AN37">
        <v>1</v>
      </c>
      <c r="AO37" t="s">
        <v>695</v>
      </c>
      <c r="AP37" t="s">
        <v>695</v>
      </c>
      <c r="AQ37" t="s">
        <v>695</v>
      </c>
      <c r="AR37" t="s">
        <v>49</v>
      </c>
      <c r="AS37" t="s">
        <v>50</v>
      </c>
      <c r="AT37" t="s">
        <v>345</v>
      </c>
      <c r="AU37" t="s">
        <v>398</v>
      </c>
      <c r="AV37" t="s">
        <v>695</v>
      </c>
      <c r="AW37" t="s">
        <v>695</v>
      </c>
      <c r="AX37" t="s">
        <v>45</v>
      </c>
      <c r="AY37">
        <v>30</v>
      </c>
      <c r="AZ37" t="s">
        <v>43</v>
      </c>
      <c r="BA37" t="s">
        <v>725</v>
      </c>
      <c r="BB37" t="s">
        <v>695</v>
      </c>
      <c r="BC37" s="1"/>
      <c r="BD37" t="s">
        <v>695</v>
      </c>
      <c r="BE37" t="s">
        <v>695</v>
      </c>
      <c r="BF37">
        <v>0</v>
      </c>
      <c r="BG37" t="s">
        <v>959</v>
      </c>
      <c r="BH37" t="s">
        <v>960</v>
      </c>
      <c r="BI37" t="s">
        <v>961</v>
      </c>
      <c r="BJ37" t="s">
        <v>44</v>
      </c>
      <c r="BK37" t="s">
        <v>399</v>
      </c>
      <c r="BL37" t="s">
        <v>53</v>
      </c>
      <c r="BM37" t="s">
        <v>695</v>
      </c>
      <c r="BN37" t="s">
        <v>695</v>
      </c>
      <c r="BO37" t="s">
        <v>400</v>
      </c>
      <c r="BP37" t="s">
        <v>44</v>
      </c>
      <c r="BQ37" t="s">
        <v>695</v>
      </c>
      <c r="BR37" t="s">
        <v>695</v>
      </c>
      <c r="BS37" t="s">
        <v>401</v>
      </c>
      <c r="BT37" t="s">
        <v>695</v>
      </c>
      <c r="BU37" t="s">
        <v>47</v>
      </c>
      <c r="BV37" t="s">
        <v>46</v>
      </c>
      <c r="BW37" t="s">
        <v>962</v>
      </c>
      <c r="BX37">
        <v>4</v>
      </c>
      <c r="BY37" t="s">
        <v>48</v>
      </c>
      <c r="BZ37" t="s">
        <v>6</v>
      </c>
      <c r="CA37" t="s">
        <v>51</v>
      </c>
    </row>
    <row r="38" spans="1:79" x14ac:dyDescent="0.25">
      <c r="A38" t="s">
        <v>494</v>
      </c>
      <c r="B38" t="s">
        <v>495</v>
      </c>
      <c r="C38" t="s">
        <v>695</v>
      </c>
      <c r="D38" t="s">
        <v>695</v>
      </c>
      <c r="E38" t="s">
        <v>350</v>
      </c>
      <c r="F38" t="s">
        <v>695</v>
      </c>
      <c r="G38" t="s">
        <v>496</v>
      </c>
      <c r="H38" t="s">
        <v>695</v>
      </c>
      <c r="I38" t="s">
        <v>65</v>
      </c>
      <c r="J38" t="s">
        <v>695</v>
      </c>
      <c r="K38" t="s">
        <v>65</v>
      </c>
      <c r="L38" t="s">
        <v>695</v>
      </c>
      <c r="M38" t="s">
        <v>695</v>
      </c>
      <c r="Q38" t="s">
        <v>695</v>
      </c>
      <c r="S38" t="s">
        <v>695</v>
      </c>
      <c r="T38" t="s">
        <v>13</v>
      </c>
      <c r="U38" t="s">
        <v>695</v>
      </c>
      <c r="V38" t="s">
        <v>497</v>
      </c>
      <c r="W38" t="s">
        <v>695</v>
      </c>
      <c r="X38">
        <v>2015</v>
      </c>
      <c r="Y38" t="s">
        <v>695</v>
      </c>
      <c r="Z38" t="s">
        <v>695</v>
      </c>
      <c r="AA38" t="s">
        <v>695</v>
      </c>
      <c r="AB38">
        <v>0</v>
      </c>
      <c r="AC38">
        <v>1</v>
      </c>
      <c r="AF38">
        <v>1</v>
      </c>
      <c r="AG38" t="s">
        <v>695</v>
      </c>
      <c r="AI38" t="s">
        <v>695</v>
      </c>
      <c r="AK38" t="s">
        <v>695</v>
      </c>
      <c r="AL38">
        <v>1</v>
      </c>
      <c r="AM38" t="s">
        <v>695</v>
      </c>
      <c r="AN38">
        <v>1</v>
      </c>
      <c r="AO38" t="s">
        <v>695</v>
      </c>
      <c r="AP38" t="s">
        <v>695</v>
      </c>
      <c r="AQ38" t="s">
        <v>695</v>
      </c>
      <c r="AR38" t="s">
        <v>695</v>
      </c>
      <c r="AS38" t="s">
        <v>11</v>
      </c>
      <c r="AT38" t="s">
        <v>345</v>
      </c>
      <c r="AU38" t="s">
        <v>695</v>
      </c>
      <c r="AV38" t="s">
        <v>695</v>
      </c>
      <c r="AW38" t="s">
        <v>695</v>
      </c>
      <c r="AX38" t="s">
        <v>155</v>
      </c>
      <c r="AY38">
        <v>30</v>
      </c>
      <c r="AZ38" t="s">
        <v>153</v>
      </c>
      <c r="BA38" t="s">
        <v>715</v>
      </c>
      <c r="BB38" t="s">
        <v>695</v>
      </c>
      <c r="BC38" s="1"/>
      <c r="BD38" t="s">
        <v>157</v>
      </c>
      <c r="BE38" t="s">
        <v>695</v>
      </c>
      <c r="BG38" t="s">
        <v>695</v>
      </c>
      <c r="BH38" t="s">
        <v>695</v>
      </c>
      <c r="BI38" t="s">
        <v>695</v>
      </c>
      <c r="BJ38" t="s">
        <v>498</v>
      </c>
      <c r="BK38" t="s">
        <v>695</v>
      </c>
      <c r="BL38" t="s">
        <v>53</v>
      </c>
      <c r="BM38" t="s">
        <v>695</v>
      </c>
      <c r="BN38" t="s">
        <v>695</v>
      </c>
      <c r="BO38" t="s">
        <v>347</v>
      </c>
      <c r="BP38" t="s">
        <v>154</v>
      </c>
      <c r="BQ38" t="s">
        <v>695</v>
      </c>
      <c r="BR38" t="s">
        <v>695</v>
      </c>
      <c r="BS38" t="s">
        <v>499</v>
      </c>
      <c r="BT38" t="s">
        <v>695</v>
      </c>
      <c r="BU38" t="s">
        <v>695</v>
      </c>
      <c r="BV38" t="s">
        <v>695</v>
      </c>
      <c r="BW38" t="s">
        <v>157</v>
      </c>
      <c r="BY38" t="s">
        <v>156</v>
      </c>
      <c r="BZ38" t="s">
        <v>156</v>
      </c>
      <c r="CA38" t="s">
        <v>158</v>
      </c>
    </row>
    <row r="39" spans="1:79" x14ac:dyDescent="0.25">
      <c r="A39" t="s">
        <v>459</v>
      </c>
      <c r="B39" t="s">
        <v>460</v>
      </c>
      <c r="C39" t="s">
        <v>695</v>
      </c>
      <c r="D39" t="s">
        <v>695</v>
      </c>
      <c r="E39" t="s">
        <v>362</v>
      </c>
      <c r="F39" t="s">
        <v>343</v>
      </c>
      <c r="G39" t="s">
        <v>344</v>
      </c>
      <c r="H39" t="s">
        <v>695</v>
      </c>
      <c r="I39" t="s">
        <v>180</v>
      </c>
      <c r="J39" t="s">
        <v>695</v>
      </c>
      <c r="K39" t="s">
        <v>180</v>
      </c>
      <c r="L39" t="s">
        <v>695</v>
      </c>
      <c r="M39" t="s">
        <v>695</v>
      </c>
      <c r="N39">
        <v>13047</v>
      </c>
      <c r="O39">
        <v>56</v>
      </c>
      <c r="Q39" t="s">
        <v>695</v>
      </c>
      <c r="S39" t="s">
        <v>695</v>
      </c>
      <c r="T39" t="s">
        <v>35</v>
      </c>
      <c r="U39" t="s">
        <v>695</v>
      </c>
      <c r="V39" t="s">
        <v>461</v>
      </c>
      <c r="W39" t="s">
        <v>695</v>
      </c>
      <c r="X39">
        <v>1997</v>
      </c>
      <c r="Y39" t="s">
        <v>695</v>
      </c>
      <c r="Z39" t="s">
        <v>695</v>
      </c>
      <c r="AA39" t="s">
        <v>695</v>
      </c>
      <c r="AB39">
        <v>1</v>
      </c>
      <c r="AC39">
        <v>1</v>
      </c>
      <c r="AG39" t="s">
        <v>695</v>
      </c>
      <c r="AI39" t="s">
        <v>695</v>
      </c>
      <c r="AK39" t="s">
        <v>695</v>
      </c>
      <c r="AL39">
        <v>1</v>
      </c>
      <c r="AM39" t="s">
        <v>695</v>
      </c>
      <c r="AO39" t="s">
        <v>695</v>
      </c>
      <c r="AP39" t="s">
        <v>695</v>
      </c>
      <c r="AQ39" t="s">
        <v>695</v>
      </c>
      <c r="AR39" t="s">
        <v>695</v>
      </c>
      <c r="AS39" t="s">
        <v>11</v>
      </c>
      <c r="AT39" t="s">
        <v>345</v>
      </c>
      <c r="AU39" t="s">
        <v>695</v>
      </c>
      <c r="AV39" t="s">
        <v>695</v>
      </c>
      <c r="AW39" t="s">
        <v>695</v>
      </c>
      <c r="AX39" t="s">
        <v>274</v>
      </c>
      <c r="AY39">
        <v>30</v>
      </c>
      <c r="AZ39" t="s">
        <v>272</v>
      </c>
      <c r="BA39" t="s">
        <v>710</v>
      </c>
      <c r="BB39" t="s">
        <v>695</v>
      </c>
      <c r="BC39" s="1"/>
      <c r="BD39" t="s">
        <v>275</v>
      </c>
      <c r="BE39" t="s">
        <v>695</v>
      </c>
      <c r="BG39" t="s">
        <v>695</v>
      </c>
      <c r="BH39" t="s">
        <v>695</v>
      </c>
      <c r="BI39" t="s">
        <v>695</v>
      </c>
      <c r="BJ39" t="s">
        <v>462</v>
      </c>
      <c r="BK39" t="s">
        <v>695</v>
      </c>
      <c r="BL39" t="s">
        <v>14</v>
      </c>
      <c r="BM39" t="s">
        <v>695</v>
      </c>
      <c r="BN39" t="s">
        <v>695</v>
      </c>
      <c r="BO39" t="s">
        <v>695</v>
      </c>
      <c r="BP39" t="s">
        <v>273</v>
      </c>
      <c r="BQ39" t="s">
        <v>695</v>
      </c>
      <c r="BR39" t="s">
        <v>695</v>
      </c>
      <c r="BS39" t="s">
        <v>963</v>
      </c>
      <c r="BT39" t="s">
        <v>695</v>
      </c>
      <c r="BU39" t="s">
        <v>695</v>
      </c>
      <c r="BV39" t="s">
        <v>695</v>
      </c>
      <c r="BW39" t="s">
        <v>275</v>
      </c>
      <c r="BY39" t="s">
        <v>101</v>
      </c>
      <c r="BZ39" t="s">
        <v>101</v>
      </c>
      <c r="CA39" t="s">
        <v>276</v>
      </c>
    </row>
    <row r="40" spans="1:79" x14ac:dyDescent="0.25">
      <c r="A40" t="s">
        <v>449</v>
      </c>
      <c r="B40" t="s">
        <v>450</v>
      </c>
      <c r="C40" t="s">
        <v>695</v>
      </c>
      <c r="D40" t="s">
        <v>695</v>
      </c>
      <c r="E40" t="s">
        <v>350</v>
      </c>
      <c r="F40" t="s">
        <v>343</v>
      </c>
      <c r="G40" t="s">
        <v>344</v>
      </c>
      <c r="H40" t="s">
        <v>695</v>
      </c>
      <c r="I40" t="s">
        <v>18</v>
      </c>
      <c r="J40" t="s">
        <v>695</v>
      </c>
      <c r="K40" t="s">
        <v>18</v>
      </c>
      <c r="L40" t="s">
        <v>695</v>
      </c>
      <c r="M40" t="s">
        <v>695</v>
      </c>
      <c r="N40">
        <v>13629</v>
      </c>
      <c r="O40">
        <v>9</v>
      </c>
      <c r="Q40" t="s">
        <v>695</v>
      </c>
      <c r="S40" t="s">
        <v>695</v>
      </c>
      <c r="T40" t="s">
        <v>13</v>
      </c>
      <c r="U40" t="s">
        <v>695</v>
      </c>
      <c r="V40" t="s">
        <v>695</v>
      </c>
      <c r="W40" t="s">
        <v>695</v>
      </c>
      <c r="X40">
        <v>1993</v>
      </c>
      <c r="Y40" t="s">
        <v>695</v>
      </c>
      <c r="Z40" t="s">
        <v>695</v>
      </c>
      <c r="AA40" t="s">
        <v>695</v>
      </c>
      <c r="AB40">
        <v>0</v>
      </c>
      <c r="AC40">
        <v>1</v>
      </c>
      <c r="AG40" t="s">
        <v>695</v>
      </c>
      <c r="AI40" t="s">
        <v>695</v>
      </c>
      <c r="AK40" t="s">
        <v>695</v>
      </c>
      <c r="AM40" t="s">
        <v>695</v>
      </c>
      <c r="AO40" t="s">
        <v>695</v>
      </c>
      <c r="AP40" t="s">
        <v>695</v>
      </c>
      <c r="AQ40" t="s">
        <v>695</v>
      </c>
      <c r="AR40" t="s">
        <v>695</v>
      </c>
      <c r="AS40" t="s">
        <v>11</v>
      </c>
      <c r="AT40" t="s">
        <v>345</v>
      </c>
      <c r="AU40" t="s">
        <v>695</v>
      </c>
      <c r="AV40" t="s">
        <v>695</v>
      </c>
      <c r="AW40" t="s">
        <v>695</v>
      </c>
      <c r="AX40" t="s">
        <v>316</v>
      </c>
      <c r="AY40">
        <v>30</v>
      </c>
      <c r="AZ40" t="s">
        <v>314</v>
      </c>
      <c r="BA40" t="s">
        <v>709</v>
      </c>
      <c r="BB40" t="s">
        <v>695</v>
      </c>
      <c r="BC40" s="1"/>
      <c r="BD40" t="s">
        <v>964</v>
      </c>
      <c r="BE40" t="s">
        <v>695</v>
      </c>
      <c r="BF40">
        <v>2</v>
      </c>
      <c r="BG40" t="s">
        <v>695</v>
      </c>
      <c r="BH40" t="s">
        <v>695</v>
      </c>
      <c r="BI40" t="s">
        <v>695</v>
      </c>
      <c r="BJ40" t="s">
        <v>451</v>
      </c>
      <c r="BK40" t="s">
        <v>695</v>
      </c>
      <c r="BL40" t="s">
        <v>106</v>
      </c>
      <c r="BM40" t="s">
        <v>695</v>
      </c>
      <c r="BN40" t="s">
        <v>695</v>
      </c>
      <c r="BO40" t="s">
        <v>695</v>
      </c>
      <c r="BP40" t="s">
        <v>315</v>
      </c>
      <c r="BQ40" t="s">
        <v>695</v>
      </c>
      <c r="BR40" t="s">
        <v>695</v>
      </c>
      <c r="BS40" t="s">
        <v>452</v>
      </c>
      <c r="BT40" t="s">
        <v>695</v>
      </c>
      <c r="BU40" t="s">
        <v>317</v>
      </c>
      <c r="BV40" t="s">
        <v>695</v>
      </c>
      <c r="BW40" t="s">
        <v>965</v>
      </c>
      <c r="BX40">
        <v>2</v>
      </c>
      <c r="BY40" t="s">
        <v>318</v>
      </c>
      <c r="BZ40" t="s">
        <v>6</v>
      </c>
      <c r="CA40" t="s">
        <v>319</v>
      </c>
    </row>
    <row r="41" spans="1:79" x14ac:dyDescent="0.25">
      <c r="A41" t="s">
        <v>467</v>
      </c>
      <c r="B41" t="s">
        <v>468</v>
      </c>
      <c r="C41" t="s">
        <v>695</v>
      </c>
      <c r="D41" t="s">
        <v>695</v>
      </c>
      <c r="E41" t="s">
        <v>350</v>
      </c>
      <c r="F41" t="s">
        <v>695</v>
      </c>
      <c r="G41" t="s">
        <v>469</v>
      </c>
      <c r="H41" t="s">
        <v>695</v>
      </c>
      <c r="I41" t="s">
        <v>470</v>
      </c>
      <c r="J41" t="s">
        <v>695</v>
      </c>
      <c r="K41" t="s">
        <v>470</v>
      </c>
      <c r="L41" t="s">
        <v>695</v>
      </c>
      <c r="M41" t="s">
        <v>695</v>
      </c>
      <c r="N41">
        <v>4167</v>
      </c>
      <c r="O41">
        <v>15</v>
      </c>
      <c r="Q41" t="s">
        <v>695</v>
      </c>
      <c r="S41" t="s">
        <v>695</v>
      </c>
      <c r="T41" t="s">
        <v>35</v>
      </c>
      <c r="U41" t="s">
        <v>695</v>
      </c>
      <c r="V41" t="s">
        <v>695</v>
      </c>
      <c r="W41" t="s">
        <v>471</v>
      </c>
      <c r="X41">
        <v>2015</v>
      </c>
      <c r="Y41" t="s">
        <v>695</v>
      </c>
      <c r="Z41" t="s">
        <v>695</v>
      </c>
      <c r="AA41" t="s">
        <v>695</v>
      </c>
      <c r="AB41">
        <v>1</v>
      </c>
      <c r="AC41">
        <v>1</v>
      </c>
      <c r="AG41" t="s">
        <v>695</v>
      </c>
      <c r="AI41" t="s">
        <v>695</v>
      </c>
      <c r="AK41" t="s">
        <v>695</v>
      </c>
      <c r="AM41" t="s">
        <v>695</v>
      </c>
      <c r="AO41" t="s">
        <v>695</v>
      </c>
      <c r="AP41" t="s">
        <v>695</v>
      </c>
      <c r="AQ41" t="s">
        <v>695</v>
      </c>
      <c r="AR41" t="s">
        <v>77</v>
      </c>
      <c r="AS41" t="s">
        <v>11</v>
      </c>
      <c r="AT41" t="s">
        <v>345</v>
      </c>
      <c r="AU41" t="s">
        <v>398</v>
      </c>
      <c r="AV41" t="s">
        <v>695</v>
      </c>
      <c r="AW41" t="s">
        <v>695</v>
      </c>
      <c r="AX41" t="s">
        <v>74</v>
      </c>
      <c r="AY41">
        <v>30</v>
      </c>
      <c r="AZ41" t="s">
        <v>72</v>
      </c>
      <c r="BA41" t="s">
        <v>712</v>
      </c>
      <c r="BB41" t="s">
        <v>695</v>
      </c>
      <c r="BC41" s="1"/>
      <c r="BD41" t="s">
        <v>78</v>
      </c>
      <c r="BE41" t="s">
        <v>695</v>
      </c>
      <c r="BF41">
        <v>2</v>
      </c>
      <c r="BG41" t="s">
        <v>695</v>
      </c>
      <c r="BH41" t="s">
        <v>695</v>
      </c>
      <c r="BI41" t="s">
        <v>695</v>
      </c>
      <c r="BJ41" t="s">
        <v>73</v>
      </c>
      <c r="BK41" t="s">
        <v>472</v>
      </c>
      <c r="BL41" t="s">
        <v>23</v>
      </c>
      <c r="BM41" t="s">
        <v>695</v>
      </c>
      <c r="BN41" t="s">
        <v>695</v>
      </c>
      <c r="BO41" t="s">
        <v>400</v>
      </c>
      <c r="BP41" t="s">
        <v>73</v>
      </c>
      <c r="BQ41" t="s">
        <v>695</v>
      </c>
      <c r="BR41" t="s">
        <v>695</v>
      </c>
      <c r="BS41" t="s">
        <v>473</v>
      </c>
      <c r="BT41" t="s">
        <v>695</v>
      </c>
      <c r="BU41" t="s">
        <v>75</v>
      </c>
      <c r="BV41" t="s">
        <v>46</v>
      </c>
      <c r="BW41" t="s">
        <v>78</v>
      </c>
      <c r="BX41">
        <v>2</v>
      </c>
      <c r="BY41" t="s">
        <v>76</v>
      </c>
      <c r="BZ41" t="s">
        <v>6</v>
      </c>
      <c r="CA41" t="s">
        <v>79</v>
      </c>
    </row>
    <row r="42" spans="1:79" x14ac:dyDescent="0.25">
      <c r="A42" t="s">
        <v>382</v>
      </c>
      <c r="B42" t="s">
        <v>383</v>
      </c>
      <c r="C42" t="s">
        <v>695</v>
      </c>
      <c r="D42" t="s">
        <v>695</v>
      </c>
      <c r="E42" t="s">
        <v>362</v>
      </c>
      <c r="F42" t="s">
        <v>343</v>
      </c>
      <c r="G42" t="s">
        <v>344</v>
      </c>
      <c r="H42" t="s">
        <v>695</v>
      </c>
      <c r="I42" t="s">
        <v>162</v>
      </c>
      <c r="J42" t="s">
        <v>695</v>
      </c>
      <c r="K42" t="s">
        <v>695</v>
      </c>
      <c r="L42" t="s">
        <v>695</v>
      </c>
      <c r="M42" t="s">
        <v>695</v>
      </c>
      <c r="N42">
        <v>19248</v>
      </c>
      <c r="O42">
        <v>43</v>
      </c>
      <c r="Q42" t="s">
        <v>695</v>
      </c>
      <c r="S42" t="s">
        <v>695</v>
      </c>
      <c r="T42" t="s">
        <v>35</v>
      </c>
      <c r="U42" t="s">
        <v>695</v>
      </c>
      <c r="V42" t="s">
        <v>384</v>
      </c>
      <c r="W42" t="s">
        <v>385</v>
      </c>
      <c r="X42">
        <v>2015</v>
      </c>
      <c r="Y42" t="s">
        <v>695</v>
      </c>
      <c r="Z42" t="s">
        <v>695</v>
      </c>
      <c r="AA42" t="s">
        <v>695</v>
      </c>
      <c r="AB42">
        <v>1</v>
      </c>
      <c r="AC42">
        <v>1</v>
      </c>
      <c r="AG42" t="s">
        <v>695</v>
      </c>
      <c r="AI42" t="s">
        <v>695</v>
      </c>
      <c r="AK42" t="s">
        <v>695</v>
      </c>
      <c r="AM42" t="s">
        <v>695</v>
      </c>
      <c r="AO42" t="s">
        <v>695</v>
      </c>
      <c r="AP42" t="s">
        <v>695</v>
      </c>
      <c r="AQ42" t="s">
        <v>695</v>
      </c>
      <c r="AR42" t="s">
        <v>211</v>
      </c>
      <c r="AS42" t="s">
        <v>11</v>
      </c>
      <c r="AT42" t="s">
        <v>345</v>
      </c>
      <c r="AU42" t="s">
        <v>695</v>
      </c>
      <c r="AV42" t="s">
        <v>695</v>
      </c>
      <c r="AW42" t="s">
        <v>695</v>
      </c>
      <c r="AX42" t="s">
        <v>208</v>
      </c>
      <c r="AY42">
        <v>40</v>
      </c>
      <c r="AZ42" t="s">
        <v>206</v>
      </c>
      <c r="BA42" t="s">
        <v>698</v>
      </c>
      <c r="BB42" t="s">
        <v>695</v>
      </c>
      <c r="BC42" s="1"/>
      <c r="BD42" t="s">
        <v>386</v>
      </c>
      <c r="BE42" t="s">
        <v>695</v>
      </c>
      <c r="BF42">
        <v>2</v>
      </c>
      <c r="BG42" t="s">
        <v>695</v>
      </c>
      <c r="BH42" t="s">
        <v>695</v>
      </c>
      <c r="BI42" t="s">
        <v>695</v>
      </c>
      <c r="BJ42" t="s">
        <v>207</v>
      </c>
      <c r="BK42" t="s">
        <v>695</v>
      </c>
      <c r="BL42" t="s">
        <v>106</v>
      </c>
      <c r="BM42" t="s">
        <v>695</v>
      </c>
      <c r="BN42" t="s">
        <v>695</v>
      </c>
      <c r="BO42" t="s">
        <v>695</v>
      </c>
      <c r="BP42" t="s">
        <v>207</v>
      </c>
      <c r="BQ42" t="s">
        <v>695</v>
      </c>
      <c r="BR42" t="s">
        <v>695</v>
      </c>
      <c r="BS42" t="s">
        <v>966</v>
      </c>
      <c r="BT42" t="s">
        <v>695</v>
      </c>
      <c r="BU42" t="s">
        <v>209</v>
      </c>
      <c r="BV42" t="s">
        <v>695</v>
      </c>
      <c r="BW42" t="s">
        <v>212</v>
      </c>
      <c r="BX42">
        <v>4</v>
      </c>
      <c r="BY42" t="s">
        <v>210</v>
      </c>
      <c r="BZ42" t="s">
        <v>6</v>
      </c>
      <c r="CA42" t="s">
        <v>213</v>
      </c>
    </row>
    <row r="43" spans="1:79" x14ac:dyDescent="0.25">
      <c r="A43" t="s">
        <v>402</v>
      </c>
      <c r="B43" t="s">
        <v>403</v>
      </c>
      <c r="C43" t="s">
        <v>695</v>
      </c>
      <c r="D43" t="s">
        <v>695</v>
      </c>
      <c r="E43" t="s">
        <v>350</v>
      </c>
      <c r="F43" t="s">
        <v>343</v>
      </c>
      <c r="G43" t="s">
        <v>344</v>
      </c>
      <c r="H43" t="s">
        <v>695</v>
      </c>
      <c r="I43" t="s">
        <v>695</v>
      </c>
      <c r="J43" t="s">
        <v>695</v>
      </c>
      <c r="K43" t="s">
        <v>695</v>
      </c>
      <c r="L43" t="s">
        <v>695</v>
      </c>
      <c r="M43" t="s">
        <v>695</v>
      </c>
      <c r="N43">
        <v>26538</v>
      </c>
      <c r="Q43" t="s">
        <v>695</v>
      </c>
      <c r="S43" t="s">
        <v>695</v>
      </c>
      <c r="T43" t="s">
        <v>13</v>
      </c>
      <c r="U43" t="s">
        <v>695</v>
      </c>
      <c r="V43" t="s">
        <v>695</v>
      </c>
      <c r="W43" t="s">
        <v>695</v>
      </c>
      <c r="X43">
        <v>1993</v>
      </c>
      <c r="Y43" t="s">
        <v>695</v>
      </c>
      <c r="Z43" t="s">
        <v>695</v>
      </c>
      <c r="AA43" t="s">
        <v>695</v>
      </c>
      <c r="AB43">
        <v>0</v>
      </c>
      <c r="AC43">
        <v>1</v>
      </c>
      <c r="AG43" t="s">
        <v>695</v>
      </c>
      <c r="AI43" t="s">
        <v>695</v>
      </c>
      <c r="AK43" t="s">
        <v>695</v>
      </c>
      <c r="AM43" t="s">
        <v>695</v>
      </c>
      <c r="AO43" t="s">
        <v>695</v>
      </c>
      <c r="AP43" t="s">
        <v>695</v>
      </c>
      <c r="AQ43" t="s">
        <v>695</v>
      </c>
      <c r="AR43" t="s">
        <v>695</v>
      </c>
      <c r="AS43" t="s">
        <v>11</v>
      </c>
      <c r="AT43" t="s">
        <v>345</v>
      </c>
      <c r="AU43" t="s">
        <v>695</v>
      </c>
      <c r="AV43" t="s">
        <v>695</v>
      </c>
      <c r="AW43" t="s">
        <v>695</v>
      </c>
      <c r="AX43" t="s">
        <v>290</v>
      </c>
      <c r="AY43">
        <v>40</v>
      </c>
      <c r="AZ43" t="s">
        <v>311</v>
      </c>
      <c r="BA43" t="s">
        <v>705</v>
      </c>
      <c r="BB43" t="s">
        <v>695</v>
      </c>
      <c r="BC43" s="1"/>
      <c r="BD43" t="s">
        <v>967</v>
      </c>
      <c r="BE43" t="s">
        <v>695</v>
      </c>
      <c r="BG43" t="s">
        <v>695</v>
      </c>
      <c r="BH43" t="s">
        <v>695</v>
      </c>
      <c r="BI43" t="s">
        <v>695</v>
      </c>
      <c r="BJ43" t="s">
        <v>433</v>
      </c>
      <c r="BK43" t="s">
        <v>695</v>
      </c>
      <c r="BL43" t="s">
        <v>53</v>
      </c>
      <c r="BM43" t="s">
        <v>695</v>
      </c>
      <c r="BN43" t="s">
        <v>695</v>
      </c>
      <c r="BO43" t="s">
        <v>695</v>
      </c>
      <c r="BP43" t="s">
        <v>312</v>
      </c>
      <c r="BQ43" t="s">
        <v>695</v>
      </c>
      <c r="BR43" t="s">
        <v>695</v>
      </c>
      <c r="BS43" t="s">
        <v>434</v>
      </c>
      <c r="BT43" t="s">
        <v>695</v>
      </c>
      <c r="BU43" t="s">
        <v>695</v>
      </c>
      <c r="BV43" t="s">
        <v>695</v>
      </c>
      <c r="BW43" t="s">
        <v>968</v>
      </c>
      <c r="BY43" t="s">
        <v>195</v>
      </c>
      <c r="BZ43" t="s">
        <v>195</v>
      </c>
      <c r="CA43" t="s">
        <v>313</v>
      </c>
    </row>
    <row r="44" spans="1:79" x14ac:dyDescent="0.25">
      <c r="A44" t="s">
        <v>482</v>
      </c>
      <c r="B44" t="s">
        <v>483</v>
      </c>
      <c r="C44" t="s">
        <v>695</v>
      </c>
      <c r="D44" t="s">
        <v>695</v>
      </c>
      <c r="E44" t="s">
        <v>362</v>
      </c>
      <c r="F44" t="s">
        <v>343</v>
      </c>
      <c r="G44" t="s">
        <v>344</v>
      </c>
      <c r="H44" t="s">
        <v>695</v>
      </c>
      <c r="I44" t="s">
        <v>7</v>
      </c>
      <c r="J44" t="s">
        <v>695</v>
      </c>
      <c r="K44" t="s">
        <v>7</v>
      </c>
      <c r="L44" t="s">
        <v>695</v>
      </c>
      <c r="M44" t="s">
        <v>695</v>
      </c>
      <c r="N44">
        <v>29226</v>
      </c>
      <c r="Q44" t="s">
        <v>695</v>
      </c>
      <c r="S44" t="s">
        <v>695</v>
      </c>
      <c r="T44" t="s">
        <v>13</v>
      </c>
      <c r="U44" t="s">
        <v>695</v>
      </c>
      <c r="V44" t="s">
        <v>484</v>
      </c>
      <c r="W44" t="s">
        <v>695</v>
      </c>
      <c r="X44">
        <v>1997</v>
      </c>
      <c r="Y44" t="s">
        <v>695</v>
      </c>
      <c r="Z44" t="s">
        <v>695</v>
      </c>
      <c r="AA44" t="s">
        <v>695</v>
      </c>
      <c r="AB44">
        <v>0</v>
      </c>
      <c r="AC44">
        <v>1</v>
      </c>
      <c r="AG44" t="s">
        <v>695</v>
      </c>
      <c r="AI44" t="s">
        <v>695</v>
      </c>
      <c r="AK44" t="s">
        <v>695</v>
      </c>
      <c r="AM44" t="s">
        <v>695</v>
      </c>
      <c r="AO44" t="s">
        <v>695</v>
      </c>
      <c r="AP44" t="s">
        <v>695</v>
      </c>
      <c r="AQ44" t="s">
        <v>695</v>
      </c>
      <c r="AR44" t="s">
        <v>304</v>
      </c>
      <c r="AS44" t="s">
        <v>11</v>
      </c>
      <c r="AT44" t="s">
        <v>345</v>
      </c>
      <c r="AU44" t="s">
        <v>695</v>
      </c>
      <c r="AV44" t="s">
        <v>695</v>
      </c>
      <c r="AW44" t="s">
        <v>695</v>
      </c>
      <c r="AX44" t="s">
        <v>142</v>
      </c>
      <c r="AY44">
        <v>40</v>
      </c>
      <c r="AZ44" t="s">
        <v>300</v>
      </c>
      <c r="BA44" t="s">
        <v>714</v>
      </c>
      <c r="BB44" t="s">
        <v>695</v>
      </c>
      <c r="BC44" s="1"/>
      <c r="BD44" t="s">
        <v>485</v>
      </c>
      <c r="BE44" t="s">
        <v>695</v>
      </c>
      <c r="BF44">
        <v>3</v>
      </c>
      <c r="BG44" t="s">
        <v>695</v>
      </c>
      <c r="BH44" t="s">
        <v>695</v>
      </c>
      <c r="BI44" t="s">
        <v>695</v>
      </c>
      <c r="BJ44" t="s">
        <v>486</v>
      </c>
      <c r="BK44" t="s">
        <v>695</v>
      </c>
      <c r="BL44" t="s">
        <v>14</v>
      </c>
      <c r="BM44" t="s">
        <v>695</v>
      </c>
      <c r="BN44" t="s">
        <v>695</v>
      </c>
      <c r="BO44" t="s">
        <v>695</v>
      </c>
      <c r="BP44" t="s">
        <v>301</v>
      </c>
      <c r="BQ44" t="s">
        <v>695</v>
      </c>
      <c r="BR44" t="s">
        <v>695</v>
      </c>
      <c r="BS44" t="s">
        <v>487</v>
      </c>
      <c r="BT44" t="s">
        <v>695</v>
      </c>
      <c r="BU44" t="s">
        <v>302</v>
      </c>
      <c r="BV44" t="s">
        <v>695</v>
      </c>
      <c r="BW44" t="s">
        <v>305</v>
      </c>
      <c r="BX44">
        <v>2</v>
      </c>
      <c r="BY44" t="s">
        <v>303</v>
      </c>
      <c r="BZ44" t="s">
        <v>6</v>
      </c>
      <c r="CA44" t="s">
        <v>306</v>
      </c>
    </row>
    <row r="45" spans="1:79" x14ac:dyDescent="0.25">
      <c r="A45" t="s">
        <v>482</v>
      </c>
      <c r="B45" t="s">
        <v>483</v>
      </c>
      <c r="C45" t="s">
        <v>695</v>
      </c>
      <c r="D45" t="s">
        <v>695</v>
      </c>
      <c r="E45" t="s">
        <v>362</v>
      </c>
      <c r="F45" t="s">
        <v>343</v>
      </c>
      <c r="G45" t="s">
        <v>344</v>
      </c>
      <c r="H45" t="s">
        <v>695</v>
      </c>
      <c r="I45" t="s">
        <v>7</v>
      </c>
      <c r="J45" t="s">
        <v>695</v>
      </c>
      <c r="K45" t="s">
        <v>7</v>
      </c>
      <c r="L45" t="s">
        <v>695</v>
      </c>
      <c r="M45" t="s">
        <v>695</v>
      </c>
      <c r="N45">
        <v>29227</v>
      </c>
      <c r="Q45" t="s">
        <v>695</v>
      </c>
      <c r="S45" t="s">
        <v>695</v>
      </c>
      <c r="T45" t="s">
        <v>35</v>
      </c>
      <c r="U45" t="s">
        <v>695</v>
      </c>
      <c r="V45" t="s">
        <v>484</v>
      </c>
      <c r="W45" t="s">
        <v>695</v>
      </c>
      <c r="X45">
        <v>2003</v>
      </c>
      <c r="Y45" t="s">
        <v>695</v>
      </c>
      <c r="Z45" t="s">
        <v>695</v>
      </c>
      <c r="AA45" t="s">
        <v>695</v>
      </c>
      <c r="AB45">
        <v>1</v>
      </c>
      <c r="AC45">
        <v>1</v>
      </c>
      <c r="AG45" t="s">
        <v>695</v>
      </c>
      <c r="AI45" t="s">
        <v>695</v>
      </c>
      <c r="AK45" t="s">
        <v>695</v>
      </c>
      <c r="AL45">
        <v>1</v>
      </c>
      <c r="AM45" t="s">
        <v>695</v>
      </c>
      <c r="AO45" t="s">
        <v>695</v>
      </c>
      <c r="AP45" t="s">
        <v>695</v>
      </c>
      <c r="AQ45" t="s">
        <v>695</v>
      </c>
      <c r="AR45" t="s">
        <v>304</v>
      </c>
      <c r="AS45" t="s">
        <v>11</v>
      </c>
      <c r="AT45" t="s">
        <v>345</v>
      </c>
      <c r="AU45" t="s">
        <v>695</v>
      </c>
      <c r="AV45" t="s">
        <v>695</v>
      </c>
      <c r="AW45" t="s">
        <v>695</v>
      </c>
      <c r="AX45" t="s">
        <v>142</v>
      </c>
      <c r="AY45">
        <v>40</v>
      </c>
      <c r="AZ45" t="s">
        <v>300</v>
      </c>
      <c r="BA45" t="s">
        <v>969</v>
      </c>
      <c r="BB45" t="s">
        <v>695</v>
      </c>
      <c r="BC45" s="1"/>
      <c r="BD45" t="s">
        <v>970</v>
      </c>
      <c r="BE45" t="s">
        <v>695</v>
      </c>
      <c r="BF45">
        <v>3</v>
      </c>
      <c r="BG45" t="s">
        <v>695</v>
      </c>
      <c r="BH45" t="s">
        <v>695</v>
      </c>
      <c r="BI45" t="s">
        <v>695</v>
      </c>
      <c r="BJ45" t="s">
        <v>486</v>
      </c>
      <c r="BK45" t="s">
        <v>695</v>
      </c>
      <c r="BL45" t="s">
        <v>14</v>
      </c>
      <c r="BM45" t="s">
        <v>695</v>
      </c>
      <c r="BN45" t="s">
        <v>695</v>
      </c>
      <c r="BO45" t="s">
        <v>695</v>
      </c>
      <c r="BP45" t="s">
        <v>971</v>
      </c>
      <c r="BQ45" t="s">
        <v>695</v>
      </c>
      <c r="BR45" t="s">
        <v>695</v>
      </c>
      <c r="BS45" t="s">
        <v>972</v>
      </c>
      <c r="BT45" t="s">
        <v>695</v>
      </c>
      <c r="BU45" t="s">
        <v>302</v>
      </c>
      <c r="BV45" t="s">
        <v>695</v>
      </c>
      <c r="BW45" t="s">
        <v>305</v>
      </c>
      <c r="BX45">
        <v>2</v>
      </c>
      <c r="BY45" t="s">
        <v>303</v>
      </c>
      <c r="BZ45" t="s">
        <v>6</v>
      </c>
      <c r="CA45" t="s">
        <v>973</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A4" sqref="A4"/>
    </sheetView>
  </sheetViews>
  <sheetFormatPr defaultRowHeight="15" x14ac:dyDescent="0.25"/>
  <cols>
    <col min="1" max="1" width="70.7109375" bestFit="1" customWidth="1"/>
  </cols>
  <sheetData>
    <row r="1" spans="1:1" x14ac:dyDescent="0.25">
      <c r="A1" t="s">
        <v>771</v>
      </c>
    </row>
    <row r="2" spans="1:1" x14ac:dyDescent="0.25">
      <c r="A2" t="str" cm="1">
        <f t="array" aca="1" ref="A2" ca="1">LEFT(CELL("filename",A2),FIND("[",CELL("filename",A2))-1)&amp;"CsvSeedTables\"</f>
        <v>C:\code\CollectaMundo\CollectaMundo.Tests\TestResources\CsvSeedTables\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sets</vt:lpstr>
      <vt:lpstr>MyCollectionViz</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2026-02-03T21:54:06Z</dcterms:modified>
</cp:coreProperties>
</file>