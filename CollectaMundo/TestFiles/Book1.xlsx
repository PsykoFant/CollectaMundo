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code\CollectaMundo\CollectaMundo\TestFiles\"/>
    </mc:Choice>
  </mc:AlternateContent>
  <xr:revisionPtr revIDLastSave="0" documentId="8_{BD7F96D2-ED6E-456E-8381-4CB5376F0067}" xr6:coauthVersionLast="47" xr6:coauthVersionMax="47" xr10:uidLastSave="{00000000-0000-0000-0000-000000000000}"/>
  <bookViews>
    <workbookView xWindow="-120" yWindow="-120" windowWidth="51840" windowHeight="21120" activeTab="1" xr2:uid="{FFDDD5DE-D46E-48E6-B24F-65BAAF47E86B}"/>
  </bookViews>
  <sheets>
    <sheet name="view_allCards" sheetId="1" r:id="rId1"/>
    <sheet name="view_myCollection" sheetId="4" r:id="rId2"/>
    <sheet name="cards" sheetId="2" r:id="rId3"/>
    <sheet name="token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1" l="1"/>
  <c r="X3" i="1"/>
</calcChain>
</file>

<file path=xl/sharedStrings.xml><?xml version="1.0" encoding="utf-8"?>
<sst xmlns="http://schemas.openxmlformats.org/spreadsheetml/2006/main" count="2702" uniqueCount="931">
  <si>
    <t>Name</t>
  </si>
  <si>
    <t>SetName</t>
  </si>
  <si>
    <t>ReleaseDate</t>
  </si>
  <si>
    <t>KeyRuneImage</t>
  </si>
  <si>
    <t>ManaCost</t>
  </si>
  <si>
    <t>ManaCostImage</t>
  </si>
  <si>
    <t>Types</t>
  </si>
  <si>
    <t>Colors</t>
  </si>
  <si>
    <t>SuperTypes</t>
  </si>
  <si>
    <t>SubTypes</t>
  </si>
  <si>
    <t>Type</t>
  </si>
  <si>
    <t>Keywords</t>
  </si>
  <si>
    <t>RulesText</t>
  </si>
  <si>
    <t>ManaValue</t>
  </si>
  <si>
    <t>Language</t>
  </si>
  <si>
    <t>Uuid</t>
  </si>
  <si>
    <t>Finishes</t>
  </si>
  <si>
    <t>Side</t>
  </si>
  <si>
    <t>Rarity</t>
  </si>
  <si>
    <t>NormalPrice</t>
  </si>
  <si>
    <t>FoilPrice</t>
  </si>
  <si>
    <t>EtchedPrice</t>
  </si>
  <si>
    <t>Boundary Lands Ranger</t>
  </si>
  <si>
    <t>Pioneer Masters</t>
  </si>
  <si>
    <t>89504E470D0A1A0A0000000D4948445200000020000000140806000000EC913F4F000000017352474200AECE1CE90000000467414D410000B18F0BFC6105000000097048597300000EC300000EC301C76FA8640000027649444154484BB5963F6814411487D73F450A8B1416821601152C2C2C2C2C2C04535804B4B048219822450A050B0B050BC14244E18A14295258C4CE423B0322294C13144230A062A1A0A0A2A0A26061A1DFB777EF18E766D753E20FBEDBDDBBB99DF7DEFCDEEC6EAACA3A08A7E1587D55558FE1012CC333BFF85FDA01AB300F27600C0EC0143C859FF01A6EC249D8061B26277F04E3F5D5A0B6C205F80A0622DFE11E9C877DF0D78A25F0E64E7E162CF3084CC371F0B78F700D5C0A33BF0DA96EC07BD80DDF6005167BE7AD8A00CEC04EB8087B600976C15D58832D70180C701DAE8359873EC35E3050833F0447C1E0BFC02D7803458D82EB1AEBF9042C6FA7BE2ACB1BFB9F580A31A8925CDA59685ADAEA14682A7504BCD9427DD5AECB9006F009CCBE24BF7F01F7E11C58DDBECC74B27B5A07E2CDB6D757EDD2746900D29825D23BE9587D5407FC10CCDC25D0E11F6018393EBDA1D8254D72BC5D938EEF6CE6C35E7FD53B3A48A70FA392C3ED822639FE5DF7B4AF4903D0B94A33AA46B7662A2D93E66C53FEFBA80138A1D9C716AB6B8791ED9AABADEF35DE6FE6438B1180D95809CFDD7A9BDC9CCAA0733DEF1D4BD284A96273AB6620DAD08ED01CE926932BCA78055243499E61C8E5B54D1DE3B3C67DA19F80D9BAF978F44B07FE0077BE5C768BC1A5370CECF1921CEB84B67AF86C406E2A97BAA7F5400310FFE893D02ADD81B76096EE7AE9E48E75E942FBC1969C83ABF0475F19998FDB78A2B997C7E337B0744EA2F9F27E7653718D5D422735E092475A6579CD302DBD93F95E108E37933C30B7582BE5CBCB30E66DD5043881E576624B692656C627E64B884935615AF60D932E77DD7DD1B0224EA8E1BC368852FFFFA3AAEA1751C6A33FE12FCB230000000049454E44AE426082</t>
  </si>
  <si>
    <t>{1}{R}</t>
  </si>
  <si>
    <t>89504E470D0A1A0A0000000D4948445200000028000000140806000000FF467FBB000000017352474200AECE1CE90000000467414D410000B18F0BFC6105000000097048597300000EC200000EC20115284A800000045049444154484B95565B681459106DF063BF444212B328A8F1B12201831B373EF19595886E448DBBD188CF386A7CEC3089D39D281A35AC6455C4E0A36784A00B0B2E5988E8226AC4E9369399CC847C084204419499242B7EFAA1909FF29E9BBE979E4E779C29380CF4EDAE3A53B7EA54295E964818D3933D4665B2D7A8EB8F1A7E8E98E9EBEF35ABFAA3D162EBB5AC2D7D5B9D9E0A3555A6425A5D3AA4FAC7D0E41BBAD554F5A1A3297B7F0386919F8C9A9D8C0C4D8464CC8CF4F51933ADCF3C6D381CC81F0A6B9D03978E53B8BE9A9AB75770B4EDD944FF34ECA45757FDC4CE198291FF756D627F8998519D88991FED44FA7A9E53EBF9B334B37816FDD7D5E924F92911358E599F8FB3B4AE56A774EDA37E782B5DA8DD406F6F34D2EB6B017A746A1FF92A97D3E42953A8A0209F8E6D5AC989A6C2C14FA9B0EAEE0FE4ECC16FB65FA5B2C56534B5A8883B029C0425A246A3E5461AC821330D5BD6F06FF3F2F2E8E999039CC8B5BACD54BBF6279A37631A552D5BC8CF4BE7CDE2E4F12752BA9AE90FD7EACCDC8BE74F48BFD14EE54BCABF4D30667E1E8819F32D77FC5A91B907CD7B694F4539552C5A40EFF520BF4A10EC693DC4C9820C9E751CFF95FB5F533A9F9FF7B7D57F190E374B7FCA4435874C6641108847229149F0879A43E037D71B2429FC02777FAFE1A491BDED2B1711FE04CE71D58801B2EAB6753414D2E2D4D2328977AB4B300990CA9220F5C58C1A74AB20E305640F24518B2FAF9CA0A52573650C6471EBF2528AFF7184D5A45AA3404ADC8209E44290495017A4C48DD444F8DBBF83A67D5F28E3209BC8645AD7BA14AE736EC12CE44870043AE746C20BCF5A0EF22C1A177C54BF71858C052962E7238A25C0EE01197222C8000176924083E03AAFFBB6F06CA149D0C9958B4BA8A8B0803A4FEEE219DBBF7EA98C05CDC4B7EC8ACD805B20815C090E85D4809D1C3253BE60B6F4E1C48ED56552BC45A300C82A27C89CFA9C41ECC88520A48A8F2F8B1C6404FA26BE77E2C71F8A79A7A36BEDCF4FFFF633FF1E52A5F0D9EA124C202782BD663766AB207865FF2F1981ED40B74298F19E3DC3C8289EA124986077B31A8C16BB0513C885201A0E835F10B4D794133803418C40F10CA451129019D46A2A14AC1B136A36F8DD02027682F7FFBDE7FA0E90889A834CA8BF1B13EA600404ED5D990D20DEF8C595A7F4E0E0BB3B67B93F055B0906BF5BE0BF3AC2D2C1C5D673E3CE2D8CB2A5610977C60C5B09063F9604F1EDB7001D44E6B0E5BCD31B47D3B754E98F1BB61267E05EA39B6A77D64827EB2AD6D2B3C70F33DE019271F392E5461AB612C80B1AC14EC48E923933A84BDB4DC9B6A3BC2404866F6BE3FC71C356C2027E46D0CB7F5ECCD86404F20B0B490B360A72A3202766B0D3B095C45A0F7DF122090DC4C8F36F5E658DB6E028C8F119EC65D84A58E0B845C013A839FBB57A19B692C1F640D2BEACA23120DA28013405B2869A1B77AD5E868C60F063B6627C49524CE72025E856D110D9183282C18FD9CAC88C88AB84CE414AD0ADB221324C51BE029FB7A66A270E68260000000049454E44AE426082</t>
  </si>
  <si>
    <t>Creature</t>
  </si>
  <si>
    <t>R</t>
  </si>
  <si>
    <t>Human, Ranger</t>
  </si>
  <si>
    <t>Creature — Human Ranger</t>
  </si>
  <si>
    <t>At the beginning of combat on your turn, if you control a creature with power 4 or greater, you may discard a card. If you do, draw a card.</t>
  </si>
  <si>
    <t>2.0</t>
  </si>
  <si>
    <t>English</t>
  </si>
  <si>
    <t>bf2540bd-5984-569c-b6ab-c5d77db981bd</t>
  </si>
  <si>
    <t>nonfoil</t>
  </si>
  <si>
    <t>common</t>
  </si>
  <si>
    <t>Island // Island</t>
  </si>
  <si>
    <t>Foundations Art Series</t>
  </si>
  <si>
    <t>89504E470D0A1A0A0000000D49484452000000140000001408060000008D891D0D000000017352474200AECE1CE90000000467414D410000B18F0BFC6105000000097048597300000EC300000EC301C76FA8640000018049444154384FA5D43F28465118C7F1370C0683C1603018291924198D4683C160B4D80C647D25BD0365305006C940198C468B32180C5625F95B14A1288AEFEFBCF7E8B98F73A5F7FDD5A77BEE79EF3DF79C7B9EF796FE996194ABCDFAD3817B7C4103D795261C408389066E45CD99461C2C5A474DE9C407FC803288641AB3A38D96D9875EDCE010036840CC3B4EF11CCE1269C314F6F1023B9B1368E9E7A64FED15E89D6E61049A48C822DE6007F1B4F48AEB5319D9F35B54B48C0B34E3AFE8E963D566C803FCEB6A87561A2E3E867FDA3236F098F5597B38727DB992EA47DC51BDEC71F87719C587F97EDD938B3625FE50542EA2017DDF3692998096132FBC34ED22BBF8D9619F16D81D5F356DCD4C2514CF553ADAF9B01131B658952ED81DBFCE8E8A76F10C3398C402B4F33D28CC28E20C44CBB7B34AB1E5F46B865AB28D3E579BF80C67E9E46AD80FE8A38B6731873B7524927B981FF0353BC6E81FB183357463094FB0B9CA8EC90C41853D0F7DA252E5A059AB56F5515059E99E2CA5D2373BAB9BAE96BFA0890000000049454E44AE426082</t>
  </si>
  <si>
    <t>Card</t>
  </si>
  <si>
    <t>f565a88d-d448-5c12-90b3-23922d47b9f9</t>
  </si>
  <si>
    <t>nonfoil, foil, signed</t>
  </si>
  <si>
    <t>a</t>
  </si>
  <si>
    <t>Ancient Greenwarden</t>
  </si>
  <si>
    <t>Foundations Jumpstart</t>
  </si>
  <si>
    <t>89504E470D0A1A0A0000000D494844520000001F0000001408060000007569E6FA000000017352474200AECE1CE90000000467414D410000B18F0BFC6105000000097048597300000EC300000EC301C76FA8640000022C49444154484B95962F34045114872708822008822008822008822008822008822008A220088273044110044110044110044110044110055110044110047EDF3C77DCBDFB6676F677CE777666F7CDBB7FDF9D2D8246C4AE78163F3DB81387A297A6C558BA6CA721F12E72465FC4A240C762225D7689404E046BF8EC4BA7C21BFD105B6240984605EBBCF87D535C8A29BE90F6C44CBA6CA73381D16F417A87454E6C3C9F2E8B5981D1E5F2EE5F8382EF5B8988BE040FD4A5D54489AE04A9C5490CE54436A2535D5A116C3657DE2591B26D41946B02835EEB82466D12E5A88D1E03FCB851DE25F140ACBDD57F49789D0BB2447438C23E316BAB02472B59571E895857AB7B8E03E145BDE31AFAC50783AE45559A7B31992E3B4426E266C0518B519B2E445C4FEFF8322D08CA578A347184A2F645DCE846D4351422CD441B9FB3D360C2C92ACB6CDA26E56FA2C9383DF220FC333813271C53AF8A9E7A11A91747C36F62E4B284285D340CB90EA7CF18CF95E8EAE861AC21513C091F3DD1D2DDD4D6AF05FAC9D7DBA61F59EDB0352E723398F3CEF1E0FC531A1A26464F0A3F8537FC281856269E230BF65EE812C7877A348994F1D68BB5272ACA87A3DE0041310376046B6A4564B5534822653427D3AEAEF6269CA38F389AAD5FA978188F06D960E4FA81413FD4753E23F855907EEADB5AA4868DF9A466F40111C4A38883317A0653EC7846715F7F26A8190E40D35B8DDF71CA46746EC000C7AA2F077A351E22FA5B417439A31ED6D02B7FA52A8A5F787CB74E20A5B21B0000000049454E44AE426082</t>
  </si>
  <si>
    <t>{4}{G}{G}</t>
  </si>
  <si>
    <t>89504E470D0A1A0A0000000D494844520000003C000000140806000000D1035E29000000017352474200AECE1CE90000000467414D410000B18F0BFC6105000000097048597300000EC200000EC20115284A800000049F494441545847C5575D4C1457149EA40F7D325A10895005B6D252A90443448D3FD5876A6D25A9C5A82144DA6E5114C94A147FDA86DAD8DA6253ACEE2EB468BAB85BDB8446496B308484BDB70E0BBBC467DF7DF1C1471F78E0E578BFCBDCF1CEEC2C6E9A597B922F3B7B67E6BBDF997BEE39E71AB92C9D66E599FB6C77668A05674D169248F1F6D929DE346B9A55D663795B820D95C75964F7300B07132C1C02E27CA07D980F34DD3207FE3FBE078C15674C3E229CA3C59049F1E4CC0CABB05ECB69B7D8AFC5BFF3E8488247E9C6F8153ADDD7491F1CDC4507DA3FA2C17F2E13C6819B3C9A8CB1C197CB974EB1E6748A3FF172F0E237BDB464E9525AF366B53D269C7E9A3659A7F57A960DB348F34D1E7EA244ECDCBB4D7228AC0EACA223E70E4B0C8DFD04914FC5AABD1C3E38AB3BA863ECEFDBB4B2AC4C92EA0EDB30D9298BC63688BB76FB7B6A6A799FDEDBB793823DAD0E716E2C2F2DA10B8367A42371162D2C1FC238D7CA023B766CA76D5BB748224F87537CEE418ABD65D1C9B0C34A40985BC862A86D584BC3936121323C1763D70AC6672CB667CF9FEBA1C3AD2D74E2788724C9E130309D4C265F019FDA63F59BEAB244BC084AA47050F07DED3F1FB2B1877889D1BFFEA4BABA75F4EFE4783E0ED34C8A1D44F68438606D7D4D9680176159D16BD417EFB54231EC3B9F81D2E329FEFE24356E6CA4A15F22F27F3E0E8B927507A502D93357F8616FA97BD5B56BE8DD3D0B5B454779E5EB141DFD41888CF8CE67C83AEB21BE3BD4254359FDCFD3E1C7A88B1D5F7E9A3569A026405B776DB6AFF1DBB0A59EBA2E7CEE784EA1B3378855F19DCFB01A0A87F03F1231AA79BB4686B21ACBCB6101340097625F654DB8725599DC4FFA18CA0856481F53085D3C2AC3D06F3E11D2BC5B178C505EBFBEDE0E6505B7C377EF8CD0F8DD51C73380A87DDD089FA292E5F6642BCA4A65CD542BA1A3A2BA527E7DFD79C05A11DFF90C21B25D171CFCACCD11CA0A6E87F151A257FB1DCFA0B4A1BD43D7A34F06601F615277E2D9B0BD41AE0A00B17006E3D88B28457EF319B237D6442F2B2AA2BD1FEEA1FDCDFB1C808378714569A97D8D2CAEBF9B9EE213E865CFF7876C01C8922DC7F7CB15C13544A87B00C6BFBBF1C542F80AA0436A3B7988AE8E7C2BFE477CE7137BD8ACD2456325BDA01A0F745C6A0CE1AFBF8B0488C61D13217960F2EE4BC7ECC9B18F74710004A9FB591009CB6F3ED4750307015DB817E02008036F043CEFA74DFE50341EAF820F8DBBD784BF4DFCEC482AD8835ECF01711E7D184BC60AC267E0D483838097230A9FB43DEF5D931363EEFBF3E210B1519209C329058DBBD7C4281D8A0759D6EB19F1EE7C820D148C4F1A4E3D2E276C201BD7BE536B139FED39E5B89F99E6972D1ADB704A5113A2B53BF36397DC7BFA8A600F222C17FA5D5D64A4E07CD270EA110ECCE9CEC0B9E292ECDA56515589FBF37056F5D06EC329E5FABDFE3964597443758DEBE4BBEE92814C8A2C7AFDDE957988533DB4DBFCE69386538F70645A77DA0BD8B37A18E7329C52D0B8E34B63CF416C6BD701997CB042873A3E96D73D7D271E65859D87F9CD270D2B8683007A63B48BB693A2CEA2F4201BAB04958FE10BCB8380E86585D0C72AD45017C5D804B2A79D50F2B0FFCE6718CF0098FEC4969A21514F0000000049454E44AE426082</t>
  </si>
  <si>
    <t>G</t>
  </si>
  <si>
    <t>Elemental</t>
  </si>
  <si>
    <t>Creature — Elemental</t>
  </si>
  <si>
    <t>Reach</t>
  </si>
  <si>
    <t>Reach (This creature can block creatures with flying.)\nYou may play lands from your graveyard.\nIf a land entering the battlefield causes a triggered ability of a permanent you control to trigger, that ability triggers an additional time.</t>
  </si>
  <si>
    <t>6.0</t>
  </si>
  <si>
    <t>83ff4169-cecd-5fe5-9fe0-721f276c6f2c</t>
  </si>
  <si>
    <t>mythic</t>
  </si>
  <si>
    <t>5.47</t>
  </si>
  <si>
    <t>Warriors</t>
  </si>
  <si>
    <t>Foundations Jumpstart Front Cards</t>
  </si>
  <si>
    <t>(Theme color: {R}.)</t>
  </si>
  <si>
    <t>0fc5756d-2258-5d14-b4c4-65aa4efa8f3e</t>
  </si>
  <si>
    <t>Devil</t>
  </si>
  <si>
    <t>Duskmourn: House of Horror Commander</t>
  </si>
  <si>
    <t>89504E470D0A1A0A0000000D4948445200000020000000140806000000EC913F4F000000017352474200AECE1CE90000000467414D410000B18F0BFC6105000000097048597300000EC300000EC301C76FA864000002E849444154484BAD9659A84D511C878FA928E201792063A63C208992211E3C50944722098572431199CB83077990B13C100A218A42A6A450321445A164C8180A79E0FBF659FFEC7D9D73EE75DD5F7DEDB5D7DA6BFA4FE7946A68667A36871643EB72B3719A034FCBCD66D12538506E36ACF1F013BE40673BFE536DE131FC022D5150CBF40C758771701BDAC37DD01A2ED2144D835BD00F1E414F28B8A205F482D53005BA817A0657E105748549B01B0EA6BE5AD26A3360013C012FD1035CC3BDD4773802DB7D71E3BDF01134537DEE8001791A748DB1518B6FE09C59701E2AADE93787A110E863E128F8810B2D4DEF6E6A9F87DC98DAC135883981565A0BCE73A313B01C6E80E3BA440B65D2052123F51E0C8731E0E9DA811377A5BE07B007BA402B780EBDE13318331F408B1AC87E3B1D86C027D01AAF6103E872E715F4103CE132F0F4AF6034784B0F15E3811631BABD655DEA0B9C3B0CBCFD12300EEC8FB56DFFA56DE0808B9E4C6DADD21F36C1603035ED97D9108BE9EFE817ADB0052683F96F9F6EF540B6B546A67C1A5E494F53E666B99999F22E989E23611F84DC5C7F9B5E2FE12B28A3DB4CF801FB2102CD839896EA627A163410E206FA29DA95F006BAC61BCE83B7E0E12A7D1BACC9B5AD2D99F241688E6A26B50E56C0397803E6BE81D61194569A0B1341B768316F750A0C5C6FDF010CCC01A0250DBC1DA026C0E572F38F3C409C702B1C026B8301664AC65860506E06CD6CACD41F5F0FF3C1358CA97CA07AA04C790B0C050B485E562C17EA03DE587F1BA46EEE9875415925DF8381EA45B4D071D062BA56F29A0A676C98CB2173D4401C05F123A4E96D6BFEEBD0062E8069B9084223C031036D10E8126B8237758D28C1EFC0127D2C7BAB227F2C0C18F3DB98380B9ACD5C36E0F225DB403420231D9D63D5B36CFBAEA5748FE33BA113345A9EDAC9FAD940B37CC646FADDD40C69256B451CCC82E3E1ADF75A450B35596EA48F5DD0C5574235C5213DF02AF017F09FFE0955535FD09C0BB3B7DAF237C340F5D9804AA5DF8A6101BD3A72DBC40000000049454E44AE426082</t>
  </si>
  <si>
    <t>Token, Creature</t>
  </si>
  <si>
    <t>Token Creature — Devil</t>
  </si>
  <si>
    <t>When this creature dies, it deals 1 damage to any target.</t>
  </si>
  <si>
    <t>db939e9b-b7c1-5084-9880-1856f29766c5</t>
  </si>
  <si>
    <t>nonfoil, foil</t>
  </si>
  <si>
    <t>Otter</t>
  </si>
  <si>
    <t>Bloomburrow</t>
  </si>
  <si>
    <t>89504E470D0A1A0A0000000D494844520000001200000014080600000080976D4A000000017352474200AECE1CE90000000467414D410000B18F0BFC6105000000097048597300000EC300000EC301C76FA8640000017049444154384FA594B12B475114C76FFC06C960510693ECBF55518C0683C11F6230F8176430188C92C1605106F58B2C4A92D828CA4051BF81A22803DFCF7DF7BCCE7BBDA75FCFB73EDD73CFBBF7DC73EF39BF5FE841B36231339B6B543C88673181A38916C4A3F84910AC51661BC2821807A2527D624D6C25E685E9328D5EC7694493624FB08F43C3AEB0137770246D0AF3F34E8CAC6D09B42EECFB090E369B032EC455C96781E0469CB939C440A4678E6F677B7CA02A081C453570BC8A6EB20D2A570E84CFD62D8982EE041F18FD466CAE6B73AEC655CC8EA26AA68F34D2784FE23ECE32D9B737712BE8763490C8B52CEC448392BE0B322203DECF57CAA0BAB90E457901415684052288EF74836BE7577B49A3D7909812ABE25A0C8B315156BC767F3443181183625CF0369C4E7F7D8A7D418BB4C5B6381704247047D0EDA7A22016141E2F894D5E747755767F8A0D7399592F5FFE3A4D8B99CCFC9FF8DDF15FC4E3D7AA978C8E048FF91567950AE117E72B8D70EA3FC9010000000049454E44AE426082</t>
  </si>
  <si>
    <t>R, U</t>
  </si>
  <si>
    <t>Token Creature — Otter</t>
  </si>
  <si>
    <t>Prowess</t>
  </si>
  <si>
    <t>Prowess (Whenever you cast a noncreature spell, this creature gets +1/+1 until end of turn.)</t>
  </si>
  <si>
    <t>49481296-5e87-500b-9d95-8011f432466a</t>
  </si>
  <si>
    <t>Season of Weaving // Season of Weaving</t>
  </si>
  <si>
    <t>Bloomburrow Art Series</t>
  </si>
  <si>
    <t>b3f7e41e-3606-56d0-88c5-82360063aecd</t>
  </si>
  <si>
    <t>Rampant Frogantua // Rampant Frogantua</t>
  </si>
  <si>
    <t>Modern Horizons 3 Art Series</t>
  </si>
  <si>
    <t>89504E470D0A1A0A0000000D4948445200000020000000140806000000EC913F4F000000017352474200AECE1CE90000000467414D410000B18F0BFC6105000000097048597300000EC300000EC301C76FA864000001BE49444154484BB5952F30445114879F1941100461832008822008C2064110044110CCA8A22808DA06411005413282200AA240302308CC088220088220F0FBDEEC9939FBE65C6FEFEEF39BF966F79DB9EFDE7BFEBE91225F33624BCC8B390CD2B3B81367E21EC37F88032FC44F0D57A22D1AD3A8D817DF223A30C591181743A9256E4574403F3C094B53B616C49B8836CEE153AC8A2C91435E8C361C940DD1B7C6C4A38836F23C74F970B688773129B2B4285285772DA80FD3843815D15A581703894AAE6E4651D21991A2363D175962D0F0D29EA08D5E84DF7045A4342BFC5A5243E82942A2465493228C1DF1257899BCE1E96EF7D9A8EB6D7F61D28238DCDB7CFACA43760407DA226359706B6FAB93BFC0A6600EF8F7810E63B895CEF0A7BAC038165CD05739233925D26785CB2F51ADDBBF149ED24ED505141CF2C5758921A11361EB6E3048517710A535D1233CDD163E15AF02991778B5842121C26D038CBC239F7FEA8BBD983349558B11D9050ECBA7BF45F7F80B584D10EE9EE2ABD3B420F4C82E8077531812C2333E40FE02A485EFCA5022226C0A0CA794E8265BC7C18DC9D707518866016BF09E8E6176F0DCB8A88F03114D430A10AF33F25C14BFE573F9DB508089330000000049454E44AE426082</t>
  </si>
  <si>
    <t>aaf9b28b-4552-5665-b719-b8711215002b</t>
  </si>
  <si>
    <t>Goblin</t>
  </si>
  <si>
    <t>Modern Horizons 3 Commander</t>
  </si>
  <si>
    <t>89504E470D0A1A0A0000000D49484452000000110000001408060000006BA0D649000000017352474200AECE1CE90000000467414D410000B18F0BFC6105000000097048597300000EC300000EC301C76FA864000001E549444154384F8DD43F28AD611CC0F1176750FE6430186EB97575499262505731DCC1603018288341A20C94C14816BAB7EE70EF9D0CE876A73B188CCA1D24838128060365900C92C160E0FB7D3B8F9EF33A9DFCEA73CE7BDEF7F9FBFB3DEF49F2518701CCE3F91D7EA21B1F91460EDBB88683F95DAC63F0880F38C119AA2BF858C4983F70833DF4E308EBD8C0316AD1805FA8C204EAF119490BC2EC61350EE252BFE13FD6E0F2BBE040AEC0F65768431A3EBCC5349AB18927C4DB905B70826138A1FD0AC2158CE301D9CE593F60FB82F0C63FC40DEF3003B735880BC4CF0FD184A4DC0FC2F2BACC3866D1083BF7620471988B6C9F74C67D84992C633C734F746D623BF02696F009BBB06127C216CED19ABF768076ACA220866035CCBE25B4B195B2FC26BA0FE6C53696DAB2DBC642A41106F04C789CDD96BFBD6FA96D6C2797EFB503FA7A58A1B45D191FE6C1D16BE0C935BEC055FC85832FC3D3E9BDDF30D153F0B0E5ACCE0A8C4AF80EEDC043E43B7509E33EFF6D494FF11D56CEA311FAA7359F834B352F07B01A5B700BDE0B49F7FC2C60129E5A274FC3EDF8D07DBA64CB1B92175815CF86CFDCA2F908DB7F8DAFF0814973A67880E00F46F3D79EE6A26145AC42382B59AED6045BFE926142CD49B1413C746F5EBC52E1F6C25F822B73FF4E9089247901244CA5FC14E8A7130000000049454E44AE426082</t>
  </si>
  <si>
    <t>Token Creature — Goblin</t>
  </si>
  <si>
    <t>f0bb7e06-9698-5952-b890-442096073675</t>
  </si>
  <si>
    <t>Dog</t>
  </si>
  <si>
    <t>Murders at Karlov Manor</t>
  </si>
  <si>
    <t>89504E470D0A1A0A0000000D494844520000001800000014080600000097B5FD83000000017352474200AECE1CE90000000467414D410000B18F0BFC6105000000097048597300000EC300000EC301C76FA8640000017449444154484BAD94A12F46511887AF11041B1B4130339B11049A20D808822008E62F100541106CA2208A82200882E02F304164B31104411004363686E7D9CE31CEBE7DD7FDEEF96DCFEEF9CEF9F6BEE7BCE777DEF6A22856610C6EE003B2AB0BAEE11176A01FB2CB133CC317BCC22E644FB400268898681B3A219B36E17712B98379C8A63D4893C8310C416D75C011C4C0F7F01EC6DED306F89F5A4A939C804E8BBF1DCF402A1DB906AE979E364DE2382DDF3AA801D0244F700B5B10D79ACA24FB10039E82810EC2579C736D162C65A39395CA7711931C3A81B4709C1337A2DB5AB6754CA29B6C2F13301DBEAEB9FB71F8A3B6F0FDAFAC6D375873038F40946E7B83497871A255F5C10568D9E814DB8A17FC10C6B56530CB750936486D698916610E7E64BBAE2A9D750E67607B5F8141F0D247A11786E10A3EA1B2BC48776FCD7D58BA66094CEC9AEF451B4F8136AE2C83596BCBD1483DB00CDAD97BAA2C5FA8ADA3993C999BB06D5496C7B61D94F51A4A5614DFADE267863FA775200000000049454E44AE426082</t>
  </si>
  <si>
    <t>W</t>
  </si>
  <si>
    <t>Token Creature — Dog</t>
  </si>
  <si>
    <t>6f222117-73e0-5b15-8f8d-529bfa2cdbc1</t>
  </si>
  <si>
    <t>Prismatic Vista</t>
  </si>
  <si>
    <t>Special Guests</t>
  </si>
  <si>
    <t>89504E470D0A1A0A0000000D4948445200000015000000140806000000624B7633000000017352474200AECE1CE90000000467414D410000B18F0BFC6105000000097048597300000EC300000EC301C76FA864000001AE49444154384F95942F2C465118870F13044110048D2008A220888260FB8A200882207C51103E49100436812E088220086C449BC086B109028D8D4D60E3F71CE75CEF3DDFC1777FDBB373CF7BEF7DCF39EF9FE312F588CF0CD362568C199B6558146A0F63D46418AD6EC5A9D8F033E78EC268550B63560722DDC58CD80CCFBCCFEDF64664D52DDE45FA719F7833368E7A68E69141D124E2C64B1C5F8A5D31215685FD19FB88D811E7222EB828BCDAC288064487780ECF43A25FCC8B4E61B52EAEC55580FFBAC48528695C3C09BBAB567911548757CC3E597F154B7E565D5BE244148E117162B5515117B9DDFC063127490FE24C78118B18ECAA8EADC368231FFEE8F6431C5336FBC696830AA1DCAC43A813D3B41BD839D9E687BFC4FB0FD1EB673FAAE194A24F456B668BD9282E4E095A61F73546E1C66EBA131CDF1E89232E0B3ACCDA09DDB199AF89524D93A07BB127A6041FE18CA471C439C191B90BA2F3058123EA3B771979110A5A938F1B82AB9053C4A6A04A5604761623FB5C30FFC5BF103B4B331B6191A2D753A5F7A9151DF2F8FDD8249293BB575B124127667697DB22573195459CA98A526FE7E5DC178E3CB46A82FE37840000000049454E44AE426082</t>
  </si>
  <si>
    <t>Land</t>
  </si>
  <si>
    <t>{T}, Pay 1 life, Sacrifice Prismatic Vista: Search your library for a basic land card, put it onto the battlefield, then shuffle.</t>
  </si>
  <si>
    <t>0.0</t>
  </si>
  <si>
    <t>e9325157-a5ff-5ee4-a392-28829db53b10</t>
  </si>
  <si>
    <t>30.2</t>
  </si>
  <si>
    <t>59.91</t>
  </si>
  <si>
    <t>The Thirteenth Doctor</t>
  </si>
  <si>
    <t>Doctor Who</t>
  </si>
  <si>
    <t>89504E470D0A1A0A0000000D49484452000000110000001408060000006BA0D649000000017352474200AECE1CE90000000467414D410000B18F0BFC6105000000097048597300000EC300000EC301C76FA8640000019649444154384F9D943F2F44411447D79F42A1502A24140AC5160A42A12051E8482824BE808E42A150487C00AD42A7A55008A2402848240A0A0909612524120A42C7396F67360FBB76D72F393BF3F6DD7B67EEDC3B2F534659D881DEE4A9846AC3584AFDB00D062BA9BA3016532774C3087CC01BDC4259E9B80097F00977B0F2E37911FAA0A01AE88261188776B88055D88766388441B8029DB5D52707DAAD19E43AFCB1017B60FEA3E07934C0006C823A82F530C6C5B54B569B86037807B73C031DB00B1A3936C21868A7CD29CC411B242F9F61084C4787A87490A879D0515B03662DF12B3CC016987725B25ADA7A0CB9749FD483E7617AB36055AC963235AB3209ADA0AD6A8297FC34DF9596B018A6E36865AC60FCDFF33B8342C7BAAD72D2C6AA4459B92727D504990AA495F8C520F761FC4BB681A4F52D88D5F98F1EFDA9269D62FAB59342A92A94FD75E3C4BBA32C9D417C61AFF48025B52BBD3B76ACAB7A198FE104ECF416588E41BC1313A0A3BBB2941ABB920E7ED96C42833BB7EDE3655C8A41D27275834507BBD6CF430CEC6ECE212893F9021C156885B1EE5EA00000000049454E44AE426082</t>
  </si>
  <si>
    <t>{1}{G}{U}</t>
  </si>
  <si>
    <t>89504E470D0A1A0A0000000D494844520000003C000000140806000000D1035E29000000017352474200AECE1CE90000000467414D410000B18F0BFC6105000000097048597300000EC200000EC20115284A80000005F349444154584795586D4C95551CBF9B1FFAD434105089782926E952168416192353B464B360628C720E31928848D1AC461449220522F7C20095B7580E26369AA497B8E781CBE52DD76A830BD507569B5C2EEB131FF8C097D3F91D9FF3F0BC02F7BFFDE6F579CEF9EDFF7BFEE7FC5FB059D9D818091F1F2269E3C32477C24D8A383C52DEC4B0943EE17647CBCBD66D1DA429BC9DD8D35A495D6E07A92B02DAA5FABC56A93EBDD35D1F301FF9EBBFF0A1197FDAA0773E97A1089026E7F3A4E9F974F79FF3EBE77B4048F0B85BEA62E2E86A18F748AED15112296FB3B44ED218FCBDE4E8EA901CF4FABD1A7AAEB280BE9E75901ECB3B4A1B7AAF503C07DA2487AB8534ACC947661E064BDE85AEC1693F5D15537E1799F6ADCE37E62119631E69412D6C746880967F594A23A3A3E84F3D5D7AD18B636E52206F37582BB167B449750B4254EA917DF4F18D1B153C1513414F7FF22E47D3DDEF207A919D024B3E323D97C1842C9809BCFFDB2C6DEABEAF7BEE5B245E9F391FC4AAC5386AAB694262020D0D0B531CD40B56E02667651AC520F6DAED6F687AF6217AE0CD549A5B92A311ABC7E6B0105AD6709E7F9876E230F071B11A312BF8717892EE4EDC4B6B6E769BBE27537E2D1F8EB13EB28303F76883BD9626ED49529CB214EC91961E78C876998E1F63441642D5A2D6C2CE841DB475A08E89AE5B6A21D7143E1C63ABC8F6FDFA377D76F7F37CFFADFE09C37B8E29FF12E350F86CABDD59445A38B48A6060C4E5726D009FB8B3F17B77297BD70B219A7D30C6F705E7B3BAB3AEC98734E550BAB2B7AAF996618D0A8C8F6EE0D9D8C47905102908D7104C473D240BD958DCD91DF171CADEF56253D013B4B2BD543EDA7559C8C626CE73E4155FD4ECCD39FDA1E93A01769FB36C283D66CE0B04229895AC1E941E6463ABE38CBB2ADEC5EE7C86A61C4E36AC098F7A923AEE5C66A2ED3DBCF498388FE3BB292858B32F383494DE1EFCC3B056409AF6F7D8789D35735E468082E75067F33F3BA9710488898BA12F1F7C51F98D7F1392E36961D929CD3A8182D25C44798ED75913E78F64669BEEDBFFC651C3DA15F8E66C7243612E802120C10C68282A5A3ED738016C8DD8C6EFA7FA19CA1222AE7E265054FE1E3FD6BCA9D039DED22B99EE1138F7D5B79AF56AB0232D159B392E10A860564B8B711C8342362BFB42B785F11A2C22AB46646C148FA67A3D2047984ADEF962BDD327CE7CAC59AB4662720ADD121E6199B16DCCC93CBDD36A042218A50DED22BA28B51300EE2544E813D90BAF24F02803108F8F83E7B8DB286D6817F54EEF7BEDB086430D7C0C4438F39D539A3D1CACB4D9786F6CE2BC4040828725277AE38BD545CA1E64DDEC33993CC2F80D51E21D80E797AE7FCAA309A0E33AF1D1715ADBF535FBBFDD89DE58EF3822A8E650E37263276DBF3B4C9F8EDBA1D923C3C9EEB03B5AEFB81A81084602C42000C7918C20A6B8E27D450CEEA5E0128040F1DE0096003108E81D8F8EDD6EE011B8D1F30B178D8FA2DF475802445DB76110301300A805DFE9FEC1740D30E696BCACF1780C7C1804CC04DC745ED52429DC69B37540BBE4F0B6B85A381F0601B5E3AB1D698197520F68C40E4ECD7B5DB3B39CCF86A90783809990B61B8D0A49457999E1BD8C653644ECE164CC30F560103013825224F890B5CDD6B0BDCB1DA45EE1C3D4834140385F56DDA47058E1C2A5AB2AC1BE65165D858F1BA61EBD9061E2A4D96F672924AFEE4FA5FD3FF76AD600E323D2159946314C3D42005AC5F35585FC2EAB238C3B8D63FEA87F568BB61BF830F5AC08F0F3080A1E3D7002D46B87667C063E6E987A98802588A8AAACD04C4A02C12121F442C95921761962450FAD374C3DCD7DD54BC8DAE8AE76253DC739F42508991959B9B9AF661962450FAD374C3D180420027D74D6C97CDE5D099E902D5B7996EEFFFD5F59AC6F1962790F6D65987A9890115990257067D5C7D8CA30F5601040E47087213EA7F0184F6688F8F1FCB7F8EF92CA0FFE511F632BC3D4C3C48C88E84138B232209E71B03B6B38C65686886110406F8C765111C9EA2C4A0FB2B14850EB31440C83007A63267C4E1CDD477F1CB03B918D45825A8F21621804D01BA35D5C11C9474827B2B192A03466B3FD0FECE6013FFDA61B030000000049454E44AE426082</t>
  </si>
  <si>
    <t>G, U</t>
  </si>
  <si>
    <t>Legendary</t>
  </si>
  <si>
    <t>Time Lord, Doctor</t>
  </si>
  <si>
    <t>Legendary Creature — Time Lord Doctor</t>
  </si>
  <si>
    <t>Paradox, Team TARDIS</t>
  </si>
  <si>
    <t>Paradox — Whenever you cast a spell from anywhere other than your hand, put a +1/+1 counter on target creature.\nTeam TARDIS — At the beginning of your end step, untap each creature you control with a counter on it.</t>
  </si>
  <si>
    <t>3.0</t>
  </si>
  <si>
    <t>a4072135-41e9-54e1-8905-4a853e6cf9ff</t>
  </si>
  <si>
    <t>Cat</t>
  </si>
  <si>
    <t>Wilds of Eldraine Commander</t>
  </si>
  <si>
    <t>89504E470D0A1A0A0000000D494844520000001200000014080600000080976D4A000000017352474200AECE1CE90000000467414D410000B18F0BFC6105000000097048597300000EC300000EC301C76FA864000001AA49444154384F95943128455118C76F32180C0683C1A0180C0683C16030180C4F192C4251CA6251061B667683C1A28C46036530180C06CA1B1465A028445114BFDFBBF7BCCE7D9E1BFFFABD73DE79DFF73FDF3DEF7E27418D300FFBD0EDC21FD50EBBB0024D2E4CC2057CC11B6C401FFCA61E58834730E7062C242981EEFDA0C93D187096AD05F5C211F8DB0B6CC110986B31C90EE8EE63CD823F8CC11E7C80C19A58AD46D3D00626BBD1291C43B204EE32908D267B5E06B989C99EC50918E35C536387C1EA7C92CAEE2E0E6663C08051D0D0AA8C732D8E09398B50393CBF58EA6D368F71F75A83801B38961AF82883EA82EB749A937F6D733ACDE90E3C4F55D6E81334E8CCC65ABDC3433ACD29E4A84B8D827437A956ABB0904E7332365494C446F5740EEBB00D072EFCA622A35718071F5D4D81E75257B1D1533606CD8015056932924EABAAE614194D800D1D6B2E1B839EB3B16A54EFDFF2655C4EA715D901B650AD72B9BE2726DA88F10B67BBD8671D10DA227008B6482BFC50BD36B021EDAF78CD0D2A574791BC05ECE83831E60AE2EBA550B68597973BC7269BD002FF96D579A5788514549124DF51778540F62837360000000049454E44AE426082</t>
  </si>
  <si>
    <t>Token Creature — Cat</t>
  </si>
  <si>
    <t>16d88c3b-e766-50ba-8086-917159167368</t>
  </si>
  <si>
    <t>All Will Be One // All Will Be One</t>
  </si>
  <si>
    <t>Phyrexia: All Will Be One Art Series</t>
  </si>
  <si>
    <t>89504E470D0A1A0A0000000D49484452000000130000001408060000006F550674000000017352474200AECE1CE90000000467414D410000B18F0BFC6105000000097048597300000EC300000EC301C76FA8640000018F49444154384F8D94212C855114C7DF100441105E6013444114045110051B4160130451106C8220982408920982288A2FD0D81841100436C5E66D6CFC7EDFB7EFEDBCFBEEC37FFBBDDD73EF3DE7DD7BCF395F6F2DAF7E588215D8823738864918817B68C29F9A8107F80E8C25F6332CC2AFDA83E854319A999353E8830EAD42CE41D413E4D676A04DD3F0097193B6FFECB595EF75041F10F7C93CB4740E71F105BC9A8176416DC21C0C41FAA6B750681CE28218C42C3A7E047501DA873001E9098B1BA48FAE6DA62A3B0D261BB01E6C3983DA4998902968043B17CCD24833DCE8E1A70E5157E0D57F933EEFF05A58A5EA064BF505D9DAC9C8BD2D192C6D0BABFDA61C769527F264F1564D83DD95E3961660BF1C7695EB693B15714C697C489BDAC7ADB29C26C042B6D69C8F7E7650A16B880B16A54998850350B68D953E0C9710F75BE47E690AE91417AB0D9ECE525116EA36E47A740DDAE409D24D152ABD5685ADD821CBC146CE39A85C30030D40572D83151E9DD26A3749B6D4BFEAD1C7F41DECB7EA0B62004F6290414854ABFD002FB0C0611424A56D0000000049454E44AE426082</t>
  </si>
  <si>
    <t>75e2741e-f3e4-5f9d-bebd-c591e0c36430</t>
  </si>
  <si>
    <t>Jan Jansen, Chaos Crafter // Jan Jansen, Chaos Crafter</t>
  </si>
  <si>
    <t>Battle for Baldur's Gate Art Series</t>
  </si>
  <si>
    <t>89504E470D0A1A0A0000000D494844520000000E000000140806000000BD050C2C000000017352474200AECE1CE90000000467414D410000B18F0BFC6105000000097048597300000EC300000EC301C76FA8640000019149444154384F8DD3BD2B457118C0F1E35D31781B6E31180C0683C16030189585321A0C06833FC060207F800C32480683C12021CA603050B229CAC0A048865BE4DEA2F87ECF3D3F9D7BDDF0D4E776CE73EEF37B79CEEF44253186C5C26551CC60BA70F933E6F09958C120FAB190E4B48A6AC4D1885D8487C10B6E4A723A4506D17A9228B581F46C69C78897F49E248223F42536935CDA78053FEEC770ED17788EEFA2A81B79787F8F1EB4C2C1EE10DD62028E348459D894100E60577B9183DDCD55F29385231B1638F3597C57886B3CC2C27AB8827C28FC6EF13FC2FF662D74B450E87503DAE2BB42F8BA3AE033C3577169733AE16979C5325CF6005C89DCE3219A300CFB30EA8CC63E46E0CB3D473BDC5BD886F913D8981D4455B0BD868D69818339E3136AB0845A186F98475C63A73C72E19504573828C9799EDD56C6193F500707703FCE6AD8209B926EDC1A9AB16722C416DCF803D2B3C89C5B71654E5014CEB00DD79F2EF6DAE3E699ED42D970A9CE6C732C9003F90599FB352CF6B399C224FC52FE2C0AE1E9F0BDD9D932CB8BA22F462879ECB3E01C300000000049454E44AE426082</t>
  </si>
  <si>
    <t>f7161b69-1d04-5f7b-92fe-ea2fd8bf8e88</t>
  </si>
  <si>
    <t>Bloodvial Purveyor // Bloodvial Purveyor</t>
  </si>
  <si>
    <t>Crimson Vow Art Series</t>
  </si>
  <si>
    <t>89504E470D0A1A0A0000000D494844520000001B0000001408060000007C824680000000017352474200AECE1CE90000000467414D410000B18F0BFC6105000000097048597300000EC300000EC301C76FA864000001E249444154484BA595B12B465118876F32180C06C5A8180C864F1928C5603428068362B033F8031445194CA28C9401192883C11F60A00C06CA6051060385287ECF3DE77CDF7B8F7BBF2FBEA79ECE7BEE3DF7BEF79EFB9E73931C1AE58C0BFFCD88E43E191A7C6BD996ED2EFC459F6F03713FD021F75C58214EC613F1568F692F0B379E7361997139E6C20C5F7242CEA63D4F9C6CCDB79DBEB570AEC9856598AA708DA5D9B74B32BE26A55F7E7B2F38205A7C0B9BF249F2F624E08DAEE5A90C84F1FB32DC6B9203312B320C40FA37323CD9BCB4E783EB12784B1E7251DAF33B32C3B0FC947650F04C9624859377FE58764B0A22EF3C4EC99405F922F306C532EECDC73CDCB38F6BC935CC54D2252F65DEA058A6880A23E6E387B896B7B24435DEC90179206BD126DF5D987CC8A2F5683991BDF22A943E37D8706155A8AC507114C4B40BAB72285F09EC3AB3DBCBAE5C965769AF028958C83024F904166669556EA5BD2A7021F3CB5AB28907259516AA356E918A1C95965007ACCB5CCEE5BD0B7FC17E172AD1CA669007F7A230EC836760BD30A80816B04D74248B60176156AA62B7A898B8D429FF225A7DFB279806DE98B97F9036198B9C6FD5237337DCBF4022B62B9BA0480AA2EE844052AA959DDF26E0BB70BCB008EA855F0B159BF931D626497E00F71EACDD1B9E828B0000000049454E44AE426082</t>
  </si>
  <si>
    <t>078d4e89-af80-58ae-9be8-7efd5eab2269</t>
  </si>
  <si>
    <t>Forest</t>
  </si>
  <si>
    <t>Innistrad: Midnight Hunt</t>
  </si>
  <si>
    <t>89504E470D0A1A0A0000000D4948445200000015000000140806000000624B7633000000017352474200AECE1CE90000000467414D410000B18F0BFC6105000000097048597300000EC300000EC301C76FA864000001E749444154384F95942D485E511880AFCE307041986161C120CC24068388C13098D160302C18160C06C30686858161C16030281844C6589860B00A06A303C3C0050706856D181C18268A3FCF73EEBDF3DCFBDDEBA70F3C7CE79CEF9EBFF7BCE7B42477F30447F1055EDA90F108FFE01AFEB6E1BE0CE047EC0EB5463AF12DBE0EB526B4E10CBE09B5E60CE11C3A492D0ED897166BF1FFAFE802A4031DB8123F9E4E8BB54CE23FBCC6291B320C5743289C7531FBADC3D53858EE3CC6BCC7E76931E5257AD2655CD907FC82F18027F809630CC36C6B5A0EBCC26F6931603AB9727FDB711C738E7009DF85DA2D7FB1902D2BD9AFB8851D3CC67D3CC57C85AEDA54124355D82EC4E3FCFF503CD978ABB94E22CFD014F2A0D66D8870D2C008DAA16AA0B25BB88B07515B8C29195618777A8887B8813161C7C665022FB0AA63D96DFC8EC6DC30C43CC6C225F0D44C7CEF7B7920273456C6B1073DB8F201891952B88DAEB8EA80BC3D6398B38CE66C1953AF7C1992052C0FA83F309EDDEDC7D7336716BB2CF82E8A95A7788E6E4F36D1FA2A9E612FEEE120FA327DC62BCCE3687EFEC4027E68ACD4B8BA1DCBA68F5BF629B4AD1F8DF12F34BDFCAFEECD0D81B783F7D753B5835BF74D18463B9B9B4EEEF69DD0F67BE3C086247FB15CA1F9E8563D0C6F9169E544B64524C90D7320921BFA98CF620000000049454E44AE426082</t>
  </si>
  <si>
    <t>Basic</t>
  </si>
  <si>
    <t>Basic Land — Forest</t>
  </si>
  <si>
    <t>({T}: Add {G}.)</t>
  </si>
  <si>
    <t>a499b95b-8f0f-56e2-ba4e-077e5bc6979e</t>
  </si>
  <si>
    <t>0.1</t>
  </si>
  <si>
    <t>0.2</t>
  </si>
  <si>
    <t>Unblinking Observer // Unblinking Observer</t>
  </si>
  <si>
    <t>Midnight Hunt Art Series</t>
  </si>
  <si>
    <t>fcfa94d1-04fc-5ef5-bee3-a1296627c4c1</t>
  </si>
  <si>
    <t>Prismatic Ending</t>
  </si>
  <si>
    <t>Modern Horizons 2</t>
  </si>
  <si>
    <t>89504E470D0A1A0A0000000D494844520000001E0000001408060000009AAB8DC4000000017352474200AECE1CE90000000467414D410000B18F0BFC6105000000097048597300000EC300000EC301C76FA864000001B849444154484BBD94212C855114C7DF4C100441100441100441100441100441B1092F08A2200A364114054110044114D804411004415034818D8D8D4DE0F77BEF3BDBB7EBFBBED9F33EFFEDB777BFFBCE3DF79C7BCEBD8D3F6805F6A1BFF5F54FDA86AF8C6B18815AD50787109B068F3007B56802CC2EDD34F8840DE89A7A611D745CB461CA3174A5EE9750B44115B750A99EEC3795116FC14046915EE0A93DFC21D7D80F3B30E4C46FD4840730F20538CAC67207AB3006A360375B7BE7C3463CEEC96CFC0A9B509640630AD263F59EEAD8F12E0C83DA83B0312BD7C6B7BDE01AE7634E4C660D3C899674760079A33CD3A02333B88271486D3C81C87A19B42F6B46ED9AD6781E66A14C1EA99D7D0E0659D4B1CE7DC0129C81F6657A83FBF6B0BDD03A3C433E3A37B33651733110E7E3FB023C3EE7CDD69ACE80A5091BD187CF6C615076A0B579078D7564407907F681992F82CD67D01E6DBE5CA7E0293AD6974F6C6973E565F43696B533A37018989501480499FE6F40DE087D75A44E1E10DFEE5F6558251D9C40D1064598E520744D69AD536C4C1F9F5AE4D54B3B5F7C9BE371A94D36CB0DC4A65EADA2BB5D8BA263EDFCAAC7A2448DC637ED14C7BCC32D33EF0000000049454E44AE426082</t>
  </si>
  <si>
    <t>{X}{W}</t>
  </si>
  <si>
    <t>89504E470D0A1A0A0000000D4948445200000028000000140806000000FF467FBB000000017352474200AECE1CE90000000467414D410000B18F0BFC6105000000097048597300000EC200000EC20115284A80000004F349444154484B95566B4C1C5514DEC41FFE325508A5520842C5A234D5188D4AD5607D5453EB236868AC111B445B2C259BA236B136984D1BB15202A1A9551A141BB4D82C11D24AB1EC0CEC9387210D6176707DC51862D1FA58766697F6C7F57EA77BA733BBB38827F992DDFB38E79BF3BC8E4C120A49ABC746A54D633EA966DC2B3510FC72EDB84FDE32EEF516258F2D5B34EDBBD5F198BA89A326B1A0362CFC33DD303333BC23A185B7C4E3B3CBD7372949D9635EB99793614B61CC2F7B8241A930792DA344A36AF6A2AEF6267495098467CEB16DDB9E65177F9F32D6129AEA89C7C34BEB0BF9A5CA905F9EB72364074E321AF24AAF27AFA789A6852B2311E90F3339BFF7145B5352CCF6EEADBB4A2E093DA646E39A62AF0FE45EAE7E913D70FF86340C0EF411A19ECFBAD2F68EB41D663CFC7B926A0C0139186D6A725A4854573FCFAE5BB18248FEF2B3DFB227A0C7C2567D082B3C37323CC89AF6BFCD56E6E69292EC9C1C76B2A7DBE2B5F70EBA68AFB0E82676B4A34DACEB937E696D521D8535A12BF308657E413E8BCC4A6C62A29F8C8314EE032E5723AD553EB799DDB6AE94DD79D7EDACBE7E3BFB7672209E88AA863E476ACE1DFFF82891831278CDBCF7D1871D44EED417272CEB1C018FC7730DF4899C1B3ED76390010E1C7893F5F4B41BFF6B5F7D81C5A2336C6D6909FDEFE870993D19608CEB43B5A61822B8DEDD4F976EBEA5C408313C5C7EDFBD76E40841BF54856A1546A6A6CEB0F2F2BB594EEE4AD20522C8BDC6C6D7084EE72B063900E44D0499AE2B550EB4123B6300721217412A383ACC9EDCFC046B3F7CC8F62CC127BBD14ACC468050B08F88C0833764671984F01B240B8B0A29C43FFE306AB9B7A8CFBA1DD4E7EC8C71805445C583A4ACF4D652B67B579DED39033E792EF6D7748DD9C8D9C16ED6D9D94C9E339333037977A2BB953EA462E3063A9FBC3FE74836607B831C9EA1D3440E8AFE932087AA789CF0CA887CD2A85860E7CE978CDFA910E7442AE04390BF20C9432C3BED0C097C7AFC18B51354F6F5595957DA8ACD39015EBD4E732108A02052D704CC7BA864B42678128DDCC195D6A61A11E8FBF27322072FB67ED04C0A40345391A055C5B5702DBE5CE41B2A1306511482442A44E1ECDBB79B5DF86D823CF7F79FE7D9CCF4D98B0E9AAD36C6BEF9BA9F8A0324C5DAAEBA1DA4B06C5D1955B4F93C10F2C94398ADC9FC3146D9275D2D54247661063154BA6DD3D6C2433C07BD45A986443B79EB8D3D9675E0D1C71E21C51B1F7E888AC8BC8782C3E0371B814744718024F21380D7E05984147BEBEF286355554FD19C1677E331A5E64AA3E6835F18119EC3A50177AF850070A8F920ED01683B3E6988D6435E59E18DFA5AE8C3E017465099388B02C06F845EDC6F6B6B4A0BBD280E5D5314C67E227D0EBC4A30F89D0DF55408E270F19A62F338238FE617145814DE9897C78EB4B75EE68F867B481917BC4ABE8F8C2CC04BE871388730C2704BCB3BC6DDE9F383946B6EF731D6FF55277D04C6227F345CD234C5D04782578920F27F311690DF4FAA3104AF121082417865EED7101144C8F15000C1A79F799CD604B6D76CA5D1B71857D3F491E055C20DEAA90496C0259013333855F02AD1638A6E2601C0B3ABF256B133A7BB2CEB6AD87319E468066712BC4AB8E1400A913420E7CC61CD24789570E30141021EC2EB05735AAC01C8B9B4B066127804831FB315E3CB20C5FB1C5A09AA5514C472041EC1E0C76C8D443C17AEBEA49579B41254AB5110167138FE05A8E33A8E96F4FFA30000000049454E44AE426082</t>
  </si>
  <si>
    <t>Sorcery</t>
  </si>
  <si>
    <t>Converge</t>
  </si>
  <si>
    <t>Converge — Exile target nonland permanent if its mana value is less than or equal to the number of colors of mana spent to cast this spell.</t>
  </si>
  <si>
    <t>1.0</t>
  </si>
  <si>
    <t>bafac74c-f4f8-5c71-8a6b-0bd02c536c47</t>
  </si>
  <si>
    <t>nonfoil, foil, etched</t>
  </si>
  <si>
    <t>uncommon</t>
  </si>
  <si>
    <t>0.69</t>
  </si>
  <si>
    <t>3.03</t>
  </si>
  <si>
    <t>Sythis, Harvest's Hand // Sythis, Harvest's Hand</t>
  </si>
  <si>
    <t>Modern Horizons 2 Art Series</t>
  </si>
  <si>
    <t>62118980-b180-5006-80c4-cdc91d1ca44a</t>
  </si>
  <si>
    <t>Blossoming Calm // Blossoming Calm</t>
  </si>
  <si>
    <t>978e07d3-d388-5379-8c20-f67c6af0936d</t>
  </si>
  <si>
    <t>nonfoil, signed</t>
  </si>
  <si>
    <t>Shadrix Silverquill // Shadrix Silverquill</t>
  </si>
  <si>
    <t>Strixhaven Art Series</t>
  </si>
  <si>
    <t>89504E470D0A1A0A0000000D494844520000001800000014080600000097B5FD83000000017352474200AECE1CE90000000467414D410000B18F0BFC6105000000097048597300000EC300000EC301C76FA864000001CC49444154484BAD95BF2F05511085AF1F854221A15028140A8542A150924828950AA542A15028941205FF8542A150281424083D8942418290909090281424249C6FDF3D9B9BB52F8FE79DE47B3BBB7B776676EECCBE9610428F3810D827A2119A126BE28C930EF1153914DDA25EB58B4D617F8322D3A5F045EC7EF15791D8B1B09F1741C04C33C237E041FC2508CECF45EA63598426B12206C4B3188A367A14A3E2223BAB2E9C535A27742B76456FB4C3924823A7F09A23A29AA8316BCA9E05363A7489A7782165231EC9C422D864C5CCC59A1D510CF426F2324F0B16517B2FF09BE1944EA30CBE771AAF119C7332BD89363EF6C4BC08CDFC48AD6242B845A9DD7BC5CC3A014769A9280DFB4510C4DAACDE123EC684EFE55A10BC96B39C15948E6CE90867C7B9B3DE8E366B3FA2CD91C621E91FE2068BEC6C2EDA38E24102B9A5B7E291400E0AEBA2D479593751D7F4AD1842EA9BAE4987D464DD5326EACCE69475552D5EC5A2602FF337F0265B47E253D0BAF75CF8A518CA36D12918327C646292AB89D61D1774030F7074275D897DC1D433E9D76255D4255AB2F8AD02367C58FC5B7DC22D58249D8DBA4547DC89A2734F6C43C424D32560E70DC9DE6283291503C7DF209F03FE6A6B28846F3C60B7689B6FC1450000000049454E44AE426082</t>
  </si>
  <si>
    <t>4767463a-62d8-5706-89e5-6e1155cd4d3e</t>
  </si>
  <si>
    <t>Realmwalker</t>
  </si>
  <si>
    <t>Kaldheim Promos</t>
  </si>
  <si>
    <t>89504E470D0A1A0A0000000D494844520000001200000014080600000080976D4A000000017352474200AECE1CE90000000467414D410000B18F0BFC6105000000097048597300000EC300000EC301C76FA864000001A549444154384F9594312F044118862728140AC5150A098542A1724A851FA01051281484422E0AC5353A8544A1A0D4F90128C40F5028140A059D42A120A120844B48789F99F9366377EF369EE4B9FD6676E6DBD96F67CEE5E8979B21EC48530E8630D015AF302DAF65DDB73A332419BBE85B0933F227BA434702AB1C0D61C69AB4F1EB74B0A261794023F21AAFC6825C0E61C64BBC020F9E20D895961DBFE49C342EE583ECF12DE726E59B4CE71C76EB6755DAD2BF2513662509476443F649268F4B564F9BB156E30F7EAEA4654EE32A29360F237E22634D02EF9DBE7B15ACEA2684AE46A2F710FF2B8961735A247A0CB1278DB7E4927C8E126F486A038579148FF7FC947C6A62BF37227751832F4A6DD84B7C4DC69FB1A213C9537A257B6A5FEEC9761C49EE3367800E711CAF6E45FAEA4BBB69E4570414FA5632A77036CF25372EA46D3E20C97D08334E256349C69BFCC1CE1BB54A4F3649E8B709ACC66A93D6328301DC64A7A7D08763BE15E0A1143C7F9833E6E3D5E06FC2126DD3913025F3F52C853AA5478657E42FA5143B74655013DBF5405C28AC5195881D4D829664F7B649E4DC2F2C4C777ACF2D9D550000000049454E44AE426082</t>
  </si>
  <si>
    <t>{2}{G}</t>
  </si>
  <si>
    <t>89504E470D0A1A0A0000000D4948445200000028000000140806000000FF467FBB000000017352474200AECE1CE90000000467414D410000B18F0BFC6105000000097048597300000EC200000EC20115284A800000048F49444154484B8D565B4C5447183E890F3E352A884490AA445A234A48B6172DDE68A3D616546A238610A96E69A948B644515B0DA5C1D22229567617E2252EEE7AC50AA9064BB66167EAEEC22EF1D9F7BEF0E0A30F3CF0329DEFE7CCC9D9396757FEE4CB9E3333E7FFBFFDAF636493548A15A79FB37DE904F3CEC4998F90E4CD33095E3B138FAF378F2D5A22EC7A719805F60D33BF37C2FC3E20CC079B87F960EDDDF8E0E2F5BD602C3F1DE723928CB0E39FBF9F64BCA7933C363DCDD69A9F6595BBEC5AFE1D1E1C89F0A0B83971459CE96D159FD5EF15479A0F89A1279705D681DB3C180BB1A1DCFA5249763895E4AF1489048B8A53275BC49A9212F1D6B26522BFA0407CFC49B5783A3AA248BE4EC559ABF9B9438659E0F06DEE7FA54854D7EC203D0A6F9796886FCE1F235C1FFF1D245F4B2FBBEB0339450C987E3E29766CAF12CBF3F2C447DBB612311084E2D5454562FCAFC7D65919FED3A61A4B406EE0F1AFA2B6E153B1A7AE5A783B1A33C8E958595820BA86CED21F09B360A63E84D5EE39E0ABA64651BEB95CDC8B84AC353CAF2A2C2485070FD458EB12732F92EC5D531D85159E03319D482E947B3689E149BF24E99F0BB1014B9FA1E71CBC83B0FEF9E08E9D04A1AEEE2029C3BEB637158BC596409FCAB9CAAD150E126F822229FFA0D4F7D312AA56CD10790FB9A7AF037DBD3DA408E1D6F7A693AC1ED5AA726E53E5460781376179DE0AD11BEE3443EDAF37D04A7443FF4E4E10F47560A0BF8F14213F1DFB093E8A56826ACD165EE49ADA2B2BDF2076EDAF729C295EB74604C77E932403A306F539DD500EC0BB50D2EE6B73EE27F82CFA5CCB85E30EA3A51B4BC5F6BDDBAC67FC7AAA2A455BD7D719E7145A3BBDF0E2AC613660A731178C3DBA4FA1DDBD7B2755B9DB1934E09ED04587C1D52545945FF635B41978D4BEA6E0EBFE96C22C43CCDBDD0CE940C82B2AB65065C7A2E3AE6700D9CBDA119EBC829596B1554585D40395E7EC585BB68EBC653F0F981E148654DAAC1BD1016FA10F7ADEF38889A763AE6700B42A8C2F4C09BB31007905A37AE1BCBFD3435E0440167F06EBC84DB42A8366AB8B313BD05A6A3EDF9FB5701452091EC56CFDA1DF67114055369CFC923C886790507B00D67FB9F923790BC04469FAFEA8B83A7249BE07A23207E3EB754376784F3411393DE7F0AE7B130587C10F43487E186FEFF9CE328EBCB293034048ED3B200B6EA151CBC16F37A470AEE3B42B39A0FBE74E71ACB1C17A4FC5F94BD9A897421F06BF9BC15BD13F328A0239E9760E08F3E0CB502C44FA0CDC4A30F8ED04400E3318958BCB81C2C37B61DAC3C80B5EED57E7E7E5A5E143522605B7120C7E37C3682D8A20AADAED8CFC763EC2062D7D24B89528723DDD5D96926C40BB5139999EE2974D3596E056A20C62749DED6BA35CB47B103989B02FCC5F3BC980431F096E25D2E01C3CB7E19DB29C302F0BF320A766B02EB895DC78D63F87AAC6F4A8F8600B11D35B0A2A17557BE3D9957990A3199C4D702B9186A7E0995C40CED9C39A4D702BC1E08767908320DBD876848A071E3DDAF2053D77F49EFACF11D66C028F60F063B6627C59A4649F432B41B5AA82588CC02318FC98AD92E8AC0AE5C265361045B55A05912186F13F4B104736C71016C50000000049454E44AE426082</t>
  </si>
  <si>
    <t>Shapeshifter</t>
  </si>
  <si>
    <t>Creature — Shapeshifter</t>
  </si>
  <si>
    <t>Changeling</t>
  </si>
  <si>
    <t>Changeling (This card is every creature type.)\nAs Realmwalker enters, choose a creature type.\nYou may look at the top card of your library any time.\nYou may cast creature spells of the chosen type from the top of your library.</t>
  </si>
  <si>
    <t>66124810-2a79-5c4f-a43f-181400aa8c4f</t>
  </si>
  <si>
    <t>foil</t>
  </si>
  <si>
    <t>rare</t>
  </si>
  <si>
    <t>3.05</t>
  </si>
  <si>
    <t>4.05</t>
  </si>
  <si>
    <t>Deftblade Elite</t>
  </si>
  <si>
    <t>The List</t>
  </si>
  <si>
    <t>89504E470D0A1A0A0000000D494844520000000A000000140806000000B4EEAC56000000017352474200AECE1CE90000000467414D410000B18F0BFC6105000000097048597300000EC300000EC301C76FA864000000FB49444154384FA592B16A0241108617B590601130859046C81516165708361682799F34790F1F20451E23AD6F60692358A450102B05032AFA7FBBB3E1EED840C01FBE9BD9B9DF9939EFDCBD1A59FC55CD226A5A440D8B1D8B2563D7E293780C69DA98596C8968CC2D7AE320A4AE67912EB1D38BC51C63ECF42C188FA94D418AF7328CC390FB625FD0999C1F8C059A70990B76DA8A2F3BAFC4A7B80AA67C0BB71647413185BF57D7652718F12052FA116F210DFB2C44B51BD3D8BB2476D98BA2F15524F52EA2E983C25FE27D33EE24E27FE8C5C3147516ACC0034C2944558D88B11731F32753CAB811BCB1A53F998A5F4FD44130FA5F2A7EC492733794AA3028B7F123A10000000049454E44AE426082</t>
  </si>
  <si>
    <t>{W}</t>
  </si>
  <si>
    <t>89504E470D0A1A0A0000000D49484452000000140000001408060000008D891D0D000000017352474200AECE1CE90000000467414D410000B18F0BFC6105000000097048597300000EC200000EC20115284A80000002D649444154384F85545D48537114BFD0434F21259594312C44A9A88822B097E8A520FAC2629190C8B2B230198DF0C160307C281861F8120C0C8941118B8C444367169AB062C8D8BD77AE2F22242DFBD8EED7EAE1B4DFBFFBBFFE6F6E74E007DBB9E7FCCED7FF1CA99CE8FACC7A53530F14E1B3F26A47FE67AA239D1EBD60E9CA61D3CCD4D866FF975C4EAD2C18EA7DCB508943498F5053D3715AF892747496AEC64D53F1D86EA545D795C66C76ECAB4836F1E2016DAADD489D9D1717C96C189A9A3375F992EDEE1690C12818F4BB9C9A9B4FD28A8A0A46FAF1C384EB1B87A129576C9ABF82322D439E4769D51BAA299B19A34462801983048440281460BAC6138768F3D67ADAB96B3BB5B7B7D0EB578F4D2BA7D6D97492C47B363A12759C81EEEEAB148DDE72FEB79E3B4D5A2E4D75F5B5EC7F6F6F48CC749228BE8C4D932B93C9416A68D84DABD7AE610E7044EF0281F30C7EFF59870C403081900C43F64A781AA212987AF9903922C39595AB1C02FC06A9A7C6C34A7EF7F6B9CBAF60646292F63DE51395C343FD14895C6799896422D0B7BBFD3759E07DFBF7327BDB7F5652E5B81F51C79FDD73260AB4B59D719188E076BC35088CFE83542A4ED72F369E0303F857C7217EC3A4F1D490291EBE64EA4A2B9879BF30391860082289083EA8AEAECB34F739C132FBF16D9AD2A9E10509BB69D7EFACD69DBE301B4AA9B241849750F291EBCA53098B2E2A11910F03A4E82F80AC90394AC4B76D3BB690D77B84ED39F73535D9C71E36169D2B313938A0E1F88D56F0EC7A7A824B5AC18761E8B24CF47E3923C4D578931DCF230BBC3118A22C1886C3D71CE7D4F410EB552C769B061E455850AC69F148FCD275790F23E382AB01021820EAECA729468816E03080F0E8B1834CC7D1E23BC556B160AA376C1AB7E06A189A6C884E0032AF5A5745834FFA5C7A5589FF0619DBE17282AB51349EE44EC800D7057BCE75007AB6A4CC7282885874EC66361B9F5BBCD4F23C9E06A6E90CC02592F407C14D808BACBECFC60000000049454E44AE426082</t>
  </si>
  <si>
    <t>Human, Soldier</t>
  </si>
  <si>
    <t>Creature — Human Soldier</t>
  </si>
  <si>
    <t>Provoke</t>
  </si>
  <si>
    <t>Provoke (Whenever this creature attacks, you may have target creature defending player controls untap and block it if able.)\n{1}{W}: Prevent all combat damage that would be dealt to and dealt by Deftblade Elite this turn.</t>
  </si>
  <si>
    <t>a8b3fc41-5f35-5fe2-bc74-7e015a836fd3</t>
  </si>
  <si>
    <t>Snapping Sailback</t>
  </si>
  <si>
    <t>{4}{G}</t>
  </si>
  <si>
    <t>89504E470D0A1A0A0000000D4948445200000028000000140806000000FF467FBB000000017352474200AECE1CE90000000467414D410000B18F0BFC6105000000097048597300000EC200000EC20115284A800000046549444154484B8D564B4C545718BE898BAE1A2D8844A80546B1542AC110B18DEF457D55922A460C21D2768A52914C89C56A35A8B13ED088D599818AC6C199DA261821D660C824CC397A199821AEDD77C3C2A50B166CFE9EEF70CFEDB98FC1F9932F73E7DC73FEFFBBFFF318B9249361A5D9576C77769205674C169248F3B69949DE30639A15D6B6BC25C1064BE32CB27B88858309160E0171DEDF36C4FB1B1E9BFDF9EB7BCD5861D6E4C3820C2D866C9AA7A6A75999752CA73C66F70AFFE4D1E1048FD283F1DBF4736F07ED6BDA4587DBBEA1817F6E10D681473C9A8AB181C5F565D2AC3193E66FFD085DBED4431F2E5D4A6BD656DA6B82E4BB8CC93AACE31E196291C6473CFC5691D8B97FABD4A1F04960151D3B73546270EC1648BE135EF6D707723A211D63CF9ED2CA92120F411B263B65A9B105E4EE3EBD460DCD7BE8AB033B29D8DDE220E7C6F2E222BA38705A7E489C459DFA10D65C9E0376ECD8465BB76C968A7C09A6F9DCEB34FBD45227C30ACF81989BC862A8AE5B4743136141323C1763776D7DC6623977F64C371D6D69A69327DAA5921C0481A9542AB504FA54CED57E51E321F13E2892E20385BE0B4B64B5FA1893187DF237D5D4ACA79713E3F910A4E9346B42B5AA9C5B575BE521F03E2C2BF8887AE33D56A8C34D065A89AFB1571354BFA99E06FF88C8FFF910142D6804AD04D59A2BBCC835F5AEB27A0D6DDFBB903A3A4ACB3FA6E8E87541323262C83EE763AC2BD42943ABFEE74970167DAEFDDC771EA381AA006DD9F5A5FD8CDFBACDB5D479F107C73E858E9E20BC386B580DD861E8AF448CAA3EAB92A1556B7911144003BE1A3BEF31B8725589CC2F7D0D6D061ED5D71442978FCB308B10F32EDD0042BB6143AD1D5A0537C1E723C334FE7CD4B10710BDAC0BE129285A6E1B5B51522C7BA0F29C8EB2CA72E92D7D3F6079900CA1B44D3710FCBED5115A0537417C44F44E9F630F5A15C617A6846E0C405EC1A8BB70366EAB935E0440161F8375E4265A952167AB6664594101EDFF7A2F1D6A3CE00008E1E08AE262FB1955AE9FCD4CF22466EBD9BE904D0055D97CE290F4209E4142BD03B07EE5C1AFD25B00264AEB4F47E8CEF06FE27F242972D0ACD08DC0537E508D1A1345AD211DF4B328380C7E1842F2C378D7D51F6DE3C82B9D1C0042EABD07A2E0161AB518FCBA213F8010140656077CDF674CFE4634EA0FA00F83DFCFE0C3E4EF8EA2404EFAED03E23CFA26968A497D066E2518FC7E8615BE6DFD7F96A69263EEF7F3E2D2B0492A13825B0906BF9F61B416A50755EDB7479C9D4FB07E5B9F14DC4A5C466DA05AAB3FAFB615FFD27DCAF13E3BC56F586A6CC1AD4419C4E83A7DB353E6A2EE41E424C2BE307F7592118F3E29B895088373BA7190292CF2F6AAB28A72BC9F07393583DD825BC9FD177D73A86A4C8F9AFAF5F2ACBBA5A07251B5F75FDC9E0739398373096E25C2F0944ED20FC8393DACB904B7120C7E78063908B22D9D8765F1C0A347DA0FCAE7EEDE93FF7AC29A4BE0110C7ECC568C2F9B94E8736825A8565510F9083C82C18FD92A88CEAA502E5C66234954AB5D100E318CFF00555C395B9CE310450000000049454E44AE426082</t>
  </si>
  <si>
    <t>Dinosaur</t>
  </si>
  <si>
    <t>Creature — Dinosaur</t>
  </si>
  <si>
    <t>Enrage, Flash</t>
  </si>
  <si>
    <t>Flash\nEnrage — Whenever Snapping Sailback is dealt damage, put a +1/+1 counter on it. (It must survive the damage to get the counter.)</t>
  </si>
  <si>
    <t>5.0</t>
  </si>
  <si>
    <t>154a09f3-65e3-5821-bc02-bd972b3be676</t>
  </si>
  <si>
    <t>0.08</t>
  </si>
  <si>
    <t>Dragonscale Boon</t>
  </si>
  <si>
    <t>{3}{G}</t>
  </si>
  <si>
    <t>89504E470D0A1A0A0000000D4948445200000028000000140806000000FF467FBB000000017352474200AECE1CE90000000467414D410000B18F0BFC6105000000097048597300000EC200000EC20115284A800000049849444154484B8D565F6C535518BF090F3E1974632C6CE2B6CA94402423C5018E7F53196A5CA260182E4422B538F6C7310502A273663A2DD34DD7760B0CECD6F2CFA92C9140969AF51CD7766D179E79F7650F3CF2B087BD7C9EDFD93DD7736F6FB77DC92FBD3DE7DCEFFBDDEFEF310A4936CBCA7333EC502EC57C7349D62991E6FEB9146F9C4B26ABCC63AB9618BB5A1E65A143632CE88BB1602710E5C3FE313EDC783339BC7A7D0F192BCE25F9842043CB2197E6894C865598AF15949BEC4AF10D1E9E88F1305D9B1AA4B381367ABBA9818EFADFA591BF2E13D681711E4E44D8C8F2FAB26976249BE68F158944FC3EB5B7B69077879736BD584D071BDEA0AF2E5DA07FA6A714C927D9246B335FCF9331163A32CE838F1589FA77F6D2D36BD75A78DEB3914E5DF850E2EAFD9F40F289F0B2BB3E9053C480EBA323E479C143C525259218482AC57BF7D459E72492EC73538D252037F4E7F7D4D8FC261D7CAF9E7CE78EDBC839B1AEB4847A46CECB0F89B2B05D1FC2AA7BEEB75B515A5F5A4ABE93272C6F019FB6B75A0AA7EE4DFE4F30CD171EA6D94BA63A1956780EC474122B61AB770B8D4D0705C9E042840D59FA0C67CE357FD02443A9AF017FDCB9612943F81DFBB38944620DF4A99CABD9B5CD4660355024C5070A7D5FAF91D5EA305410FD813EA9E4748BDF753F93664DA85695735B6A36E7115809CF143D4B8168B719EA60938156E266CC0984BDA2AA924EF94FBAEE4BA4F85DB412546BA1F022D7D45EF5D64DB4FFADBABC33E595CF5178F207413274D7907DCECD9889CCCC349DFDEC8C2C1610445583ACDB5941701E7DAEE5D24779463D9B3DB4A761B7F58C5F6F5D0D75F47C6C3BA7D0D6ED8317E70DB301BB1A9CFCFD36D5EEAC952DE6D5DDBB684359997C19648706FA5DDF4103EE8B7C996770C3C632995FFA1ADA0C3CAAAF2974F67E22C32C42CCBBDC0C01A8D4C11F03D67F14065A0C14A005A558DC761E10BDAC0BE1292A5967195B5F562A7BA0F29C8E8AEA4AE92DFD3C607A900CA1D4EF34B21CE039A5E4562C62DB43ABC2F8C294D08D01C82B187516CE2BFBBCD28B00C8E263B08EDC44AB32E46CD58CAC04E4A40AF5F8F52BB6BD6C8AC7315B2F0E745A045095CDADEF4B0FE21924D41E80F5EFAE7D21BD0560A29C38738C7E99F856FC0FC5450E26AB74232B01615E325C646BE2000A0E831F8690FC30DED577DA328EBCD2C90120A4F6F3200A6EA9518BC1AF1B5A0E7DBD3D52F18103FB6CEBD9247F241AF553D087C1EF66F0D7F8CFB6A2404EBA9D03A23CFC289288487D066E2518FCBA4137609220BC2810C7A85B1497869D529910DC4A30F8DD0CA3B52882A86AB733E2DDC5181BB6F449C1AD04C6906398147A01800CE630E6F3F6ED3592A8DA0372B3FCB2A9C612DC4A94418CAEF3FD1D3217750F222711F6A5F9AB930CE5E993825B4966E6EF85DE6FBA25113466780CBFAFBD5E4F58C70768E416414ECD60A7E05632FA606001558DE9B1ADF66549CCD95250B9A8DAD107838B2027677021C1AD44189ED548B80239A787B590E05682C10FCF200741F678C751593CF0E8B196C3F2F95CA0FDDFBCB016127804831FB315E3CB2225FA1C5A09AA5515C46A041EC1E0C76C1544E75528972EB3A138AAD52A089B18C67F7A7153ADE96942720000000049454E44AE426082</t>
  </si>
  <si>
    <t>Instant</t>
  </si>
  <si>
    <t>Put two +1/+1 counters on target creature and untap it.</t>
  </si>
  <si>
    <t>4.0</t>
  </si>
  <si>
    <t>16f1c97a-b896-59d0-80ab-6f00a6ea1d28</t>
  </si>
  <si>
    <t>0.12</t>
  </si>
  <si>
    <t>Flameshot</t>
  </si>
  <si>
    <t>{3}{R}</t>
  </si>
  <si>
    <t>89504E470D0A1A0A0000000D4948445200000028000000140806000000FF467FBB000000017352474200AECE1CE90000000467414D410000B18F0BFC6105000000097048597300000EC200000EC20115284A80000004DB49444154484B8D565D6C1455149E84079F0C96B6564B02B450086962ADC5524AC542C11AB1042852A811A4EBD6B654D66DD9D9AD04AA3492020DA2186617D3A04210AB293186044BD819BBFF4D1F4C4C6A626230BB6D353CF200495F8EF39DCE8CB3D399A527F9B2D9B973CFF9E69C7BBE7305274B26E5E5A971B93115955D1311D9C38829EE89A8D23411899468AF2DDA3257C4E5E960A0311DF4BB3241D1338F807BFA72A0E9DFE1C0E2FD4DCA727E2AA28CA86428175231259C48C82BB56D8E3613F2E64F87FC2393E7BA29D4D94C7DFB1A18838776D2CD9E83F4FB050FA9EB2A7CE17F247F6E7FC998DC9C8C290F7412E1B1DBD4DDD541551BAA68CDDA32DAF1DA763A792240BFDEBBA3937C988CC847B5ED0B2C2389CD69C9FF407A7F0F9D6E7D9DFEFAB297FEB8E8A5DB1FBD4BEEC65A7A7AE9522A28C8A7A33BEB98683AE47B980E89F6FE404E27060C7F2551E9EA52CA2F2C6462200987C02B759B8DF71811B957736318C821333DBBEB794F5E5E1EFD72B28D895C74EDA2D6AD2F53D98A626ADAF402AF5794AD62F2F888B42466FB4359CD99FBFEC6B7F46C5111B9DA0E1BD9028E75771924EFFC7CEB7F8231E5D1644C5EA7B9E3B222733FF51DA6430DD5D450B99EFE967C5C4A101C1F6867B2208367C3DD6FB1CFFA8A75BC3E31D8F97826D467F813AC67AEF5600B97D2FC0CF8F1E6758320CA6F598F87C3E125F0873387C07F5EEA3148E117F8FA580B9346F6F6D555123E02EB2835FC82ACB8771B4D07FD71EAEF5FC2DD6A09E488F367CFB093CE0EB7ED7A2226B7A05B75324E40F6401267F1B7A10FA8A67C8DF1E1C8E29EDA0A8A7FDAA19E49B1458094D805B302655F59B28ADADD6DB6EB8CA8320A29B123950BD73D07A8F8B9428324B2894C6624FFA8C03A67174C4362FC1E1DEFF9909B0504D1D5206BF7AE4A70163A6747C20977FBDFE32CCAA7DDD4F9C6668324A4485D9F153401B60D78EB87EFA87A63354B4CEDA61A7ABEB8983783EC1717CEDBEE81005B49A04150CE4BEEDD9C2D34093AB9714339151516D0C8F1B739634776D41804A199D8AB9658F1DA0502D0A99F0D9D35FEA33120317000098ACA6359EF03D341D16B2687CC54AF2F35025B71E0D52A43BCF54601905526A83A755B83E40232A73BB971ED6AD61AA48AC797460E32027DD3DFB7E2A5B525DCE9E85AF3F313FBB7F37E4895C0B3D514E449C099D44BFDCD70286B2D1955C6305B75824347DECC0A6C06BA15C28CF7CC194646F10C474215EC31F50C464ACC419E0494198E9E59B62C4BC401341C06BF4ED07CA6ACC01A086204EACF401A47023283B39A0EFA5CF342AD0E7E73A05C3833F0F1BCB3FA2D59CF9311654A15EAA7E685DA17064173572E06106FFCA2E469C93775FFEA29F627E05682C16F0E68074C1294170D62197573EAA561233B530DB7120C7E5C12AC249C001D44E670CBB92FF5CE652E8B863F36DC4A100C670C93C2DC002083398CF95C59F92213D5D780545C39A7B9310CB712C80B1AC18E1050BE7A058DFADFA1D460171F091D3357FC0BFCB1E1569218BFFB68E093534C04C28C8CE1775BC356C2737C8089DC1CC8E933D86AB895C406DA1F3B91840662E479766DD1469B6F0EE478063B196E256AE0B889842D70E6CC657532DC4AA63EF7A6CC97553406441B47004D81ACE1CC2D28AB93212318FC98AD185F062955E72025E856BD211663C808063F66AB4A66562F25740E52826E351A22CB04E13F659395F50AD7880F0000000049454E44AE426082</t>
  </si>
  <si>
    <t>You may discard a Mountain card rather than pay this spell's mana cost.\nFlameshot deals 3 damage divided as you choose among one, two, or three target creatures.</t>
  </si>
  <si>
    <t>b473e6ca-2c93-5244-b821-a8bc41061ddb</t>
  </si>
  <si>
    <t>0.11</t>
  </si>
  <si>
    <t>Nissa, Steward of Elements</t>
  </si>
  <si>
    <t>Amonkhet Remastered</t>
  </si>
  <si>
    <t>89504E470D0A1A0A0000000D49484452000000110000001408060000006BA0D649000000017352474200AECE1CE90000000467414D410000B18F0BFC6105000000097048597300000EC300000EC301C76FA8640000019049444154384F9592213045411486778C20088299270882200882992708A220888220088260C60B822608822008A22008A2208A8220088220302308023302FFB7F79C3BC775DFBDE39FF966F79CBBF7ECFE67373568DC4657352E3560639D666D7455E3524D45BA36BAAA71AB86C45B312DF5286A2DF53BC986F82CA6A55EC476316D17BBBD8AAB1CA53468E389F810D3396A1005EEC5B7581663E24E4C8919411E5B13A2564B8213B0F0580C8B1B8B1F0405772CA65FABE297F6051FE15CD0D88B90836B41FE30E44E45B6BB6509E047920721173913685778EE88049E3D3129B0E5711DDC1C1B79FC2E4ADF40558EBC229E2CE7D0070AF03D9E843EA6CD90009AC8CDD0587AF525B8DE51312F6E455C8FF5AC75C14EF1E3A5C01EC5B8199A18BFF366B8AD2C16D1DC8EC00E3BFB42E63413DFB10005792BD86383FC02692E36162DE6B5C69F1CFA87A5399BF3F0164416DDE63458E29DF072B9250AF3F3B3581323828788953D4193FFC8BD73FC9EC02A37C5CF14E126BC57ADE2C858048AF05A393AB7F62FB945ACF43D7A4A29FD00C18986C7CD74EDD60000000049454E44AE426082</t>
  </si>
  <si>
    <t>{X}{G}{U}</t>
  </si>
  <si>
    <t>89504E470D0A1A0A0000000D494844520000003C000000140806000000D1035E29000000017352474200AECE1CE90000000467414D410000B18F0BFC6105000000097048597300000EC200000EC20115284A800000067749444154584795585D50945518DE192FBA6A341050901494442875D24AC53FF23F65C6D211C7A1CC418C5024F22FB321CA241103855D4850171735C3C44647D335F77CB00B2CE43435238BD5855333B22CD395175CD0C5E93CAF7B3EBEBF453C33CF44E73BE799F7D9F73DEF8FB648CBEF67095D6D6C55978FE5767B5911A15DC9EBF62959DD5E6F52F8D8A85713AB4F7031FBAA465693DBC46A8A0097529BD7A8D4665DF0D63E331FFBF3DF84B607A155AD81FE5C812240B9DF9FA7F4F66779FFE81F3DDF3DC6A2BBBC4AB310C7474257BBE2E9EC6493C3D722AE0BEC54F479C5D1DCA438F8E95B557C6FF94EFE56F64ABE296F3DAFBB768C631F38A7383C4E56F7543EF6E051B41218686EED0DF111D113F2B0DEE0C87CFE76B6C1DFAE0C5809B48210FDD8EF653BC3D74DAB91D9379C536A06A4A8CC758BF8F363C7AA78313991EFF8E43D42FD8D6F20FAB18882887CACB76F8310326025F0F6AF0F79FDE5DB86FDE06316085AF341ECFB5B73F8A2851926DCBA7E95045E6C729ABE394E567211EE7BC234EA82D8EA2B5FF3AC2DABF98AB73379EEBE1C9D5823C6C7C5F0D2BAFDF4C3B898C3C44762756286F1A3EF3E9F35771EAF3A7BD9F23BEB09E9F910C6F06CEBDD5BBCB4E4108F8D8B2323A26362F8F7175D3AAF1E2D3B4CDF26274DE175F693727FF05E3B9B1EA6A330866721542BEA69489F93C61BEFD608D135834E56ADF2218C2379F6E62F7FF119B35EA5FB97EE749BBE137A42838243E5B319DFEC99863A120B127855FBADFE5B3B89FDE1D279DDBE4087C7E319033EF96667CF9BA913341A48D1E207137C9F135FA437EBB9FF882F599DA5DEAD68B8643AA381E0E363281B1B0C271CFEA28448A6BD94A286342260C1FC795662099DED2C1BD958BED9B4D9A9AA31A3C5B8A81778B9AB241CDA35D9C8C616C613F28A0FEAEEE6ECD86D794E42BCE76C1B4A8F95F100DE348820B2B3ED2E5FB7760DAFAEACB03C4BF0292D283DC8C691C2196F557E4B499FC697ACC9309D499832893BAE1E15A2ED2D547A2C8C47F88E8B8AD6DD8B8E8DE5575A7F379D95507A432D36AAB356C60B40E4D2A58B892C75462ADFBDABC0F29C0A9FD2873A9B7F689BCE10203935992F5C395FFD1BFF9D93319B17966ED79D93D859920B2FF7519DB5307EDDC62D96F796AD5D6F3A3B8C609F2DDC50580B10F0B86F9058903D55B0001A8A32E76726432626C6D3FBD4EEA12CC1E3DA3D89A2C31F505853536130DC794DB1BC23B1F7CBE3BAF35A8890568AAD0C973877E614951F64EE7151514FCA90C53909514B8B118E5131E3550362E3E3A8064BCF6A3139650A79537B1E087B982B81FE62A3D15B0B3ED69DD5626EC6123E21213162C6B60923F38C464B5CBDFC1D898597AB8E97132184474A5A286D6817D145190DC1BB840863227B6DF11CF23200F1F871B08FB78DD28676D168F4A2E56B741C5AE0C7808737BEBB5D7787204A9B8D7A630BE3EFFC748D921544CBBD5D05F9449AFE723A656CED79C0EF53DCE88D0F5616A90620EB6E29D8481EC6DF1025BF01D83F72FA53F226808E6BEB479BF9C9E6AFC4FFDBDDE88D8D86C3835A0E2D8E9EBAC05D377C7C6A6A9AEE4E186EF186BD4946C365F939B06F8F6E1F58B1723911BFB92C93929AF61B12200601188E640431C5651FAA62F02EB5C6011028BF9B2012200601A3E14929D34D3C12675A7E26D1F8518CF7984880A8EB360C02D268E9595CBEDED2AC1304549497A9E428533EE6A67DBF570988C6E339F06110B01270D67D4297A4F0A6ADCE012EC511707A9CC48741406BF848212DB12073854E6C6B4F7FC0F3F021F1D930F56010282E2AA4C4242F254F4DD6B68FE4F14989FA709A181FCF1DD555FF8921E20D22130B530F06012B212845F22EB2B6D5197177A889D5AA7C987A300848E34B2BEB753658E1C091131AC1C121E15D958F16A61E29EC59D1D5A11C0BD3A80B538F148056717F4521BD65AD87F1A611E64FFA67AD68BB890F53CFB0801079502B500B4480F66CDB83A0898F16A61E2160D02868040C41ACECA18D0B534FC3CDCA41646D7457335F7F850C329620646664E5869B5543102B7B68E3C2D483410022D047676FCBA7EE4AF2C44C984859FACE6FFF84C5068720967AE8480B538F10D261106602DEAC368C232D4C3D1804E039BC6188CF29DC44C90C1EDF9CFF0EFDBDAF7CD7DFDA308EB430F508311DD27B108EAC0CC83D8278B3A6308EB4E0310C02E88DD12EAA22459D45E9413696096A340B1EC32080DE5808EF93A1FBE41F07EC6E646399A046B3E0310C02E88DD12E0E8BA411D28D6CAC2628DDB2D9FE0740CEE24D5BBD59C20000000049454E44AE426082</t>
  </si>
  <si>
    <t>Planeswalker</t>
  </si>
  <si>
    <t>Nissa</t>
  </si>
  <si>
    <t>Legendary Planeswalker — Nissa</t>
  </si>
  <si>
    <t>Scry</t>
  </si>
  <si>
    <t>[+2]: Scry 2.\n[0]: Look at the top card of your library. If it's a land card or a creature card with mana value less than or equal to the number of loyalty counters on Nissa, Steward of Elements, you may put that card onto the battlefield.\n[−6]: Untap up to two target lands you control. They become 5/5 Elemental creatures with flying and haste until end of turn. They're still lands.</t>
  </si>
  <si>
    <t>fcdd9620-9c54-5a56-adc4-13a277babc20</t>
  </si>
  <si>
    <t>Staying Power</t>
  </si>
  <si>
    <t>Unsanctioned</t>
  </si>
  <si>
    <t>89504E470D0A1A0A0000000D494844520000002100000014080600000003535471000000017352474200AECE1CE90000000467414D410000B18F0BFC6105000000097048597300000EC300000EC301C76FA864000002EC49444154484B8D964F884E5118873FB25014C5C2C24219B1A02C2C468DB2B060A146291694425950941A4291642119594816C882B24014A22844511616169A46511485288AE279BEEFBCB733C775E7FEEAE97CF7DCF3F7FD77BF4E4BDD873F896F593B1942AFC1FE1FA99551185713533B154EC37B78065BA04EE76107FC84DBA90D5D86DF700886EDA8D14A78011EF814CC82EA10DFC1C967600E9C85A350CA4DDCD8F6BA1D99E2D9F75F7B3FC7C88BDD803EB80927E103D46A26843967DB8136810BD817EE8877B97CA73B7EC143D8094AB77D04E72DB1A38D748B1376779F7A3A012EE4066E5627378EF757EC485A0BAE27791C55EAFAA5D01388495AA01F6EC11EB804C64D9DCE81E334BDBE5F088EF760AEF5162641AEEEFEC7E0222C86E9E00DE200818B8739C56CA993C1166374CBC1EC3970AEAE34364C060FD90DC430FFE7D49678085B2DE0E22E549AD5E7D8D471F9BC12DD156E1B303BDEC03230E5CC1223762FAC826BA03EA5D63111D1BACC80D59C6E6E4D98068EBD002A52F801AC865DE07CF7790A4BE1118C2BFDBA1CBC8116F3F4FA7B1B98CA519C5EC2D5F43BB02EE8E6464D486D1B9929336004F4BD565A0FDEFC486AD78196790E1EB2D5FA6D0FA16F378091FD0E8EC35C580077601F58750FC07C30CE34B3EF5A993B64918A74B2AC5A315D6C10EE426E664DAF991D9FF78B116F2A9B8ED696FDE03AC6CD2BD09DA6BD7D63646A3AC945F4B141168BFA7C387B0E22F79B2853D4752386CC44D3B4FA766C0773F70BAC8179702F3D9B7A9ABA545974EA3425B5AE63362C02B34E977AF121A86495F3847924EB9EA81F9AAFAE883561010C37BA8EEB85BCB0C54FB75672B0799F4B9FB9809B6B0D17C9AB66139ADD9B6AADA8A2650C787163AF72C7637082F540D95A88949F778B8E29B815FC8C37C9F71B4117F8DB4FB6DA0C2B7A3F3B03E0212D6295BC6504668E5FC5D2F77E8AE35F5489FDD68E52664939D6C0FC27438C544D1435DD54FB5FF0E91EABA1696C0D317BFC5C3705AB99127F05747FFA5FD1E9FC059FB4253C212DEF380000000049454E44AE426082</t>
  </si>
  <si>
    <t>{2}{W}</t>
  </si>
  <si>
    <t>89504E470D0A1A0A0000000D4948445200000028000000140806000000FF467FBB000000017352474200AECE1CE90000000467414D410000B18F0BFC6105000000097048597300000EC200000EC20115284A80000004E849444154484B8D565B4C1C55189EC4079F4C1542A9144250B18D54346D8D4AD5607DA8A617246868DAA6B4AE685B45B2296A1FAAC19036A90D3534F5C1840483CD6AB1420AA1522C3B03BBCBEE02863484D9C1F516638845EB65D9995DF0E177BEE39CE9D9D959C249BE64E69C33FFFFCD7F9772AD48445E1F1D93774483B267222037338494C689A0B27B221028B3AEAD7AE9FA77EB53496D87094F7A516B5EFC67A6797676E4485A8FED4EA5E6562F6F4A96F3A301A5C7244322BEF9BA3FE33D1A52FCE1B05C6A7D967325125AFE92A1F5A40D8D3862B3D769FFFE5ABAF5FBB4BD97D6357F2A155B595E2424D74542CA0227119487E9CD6347A8B8A484EE5AB386F20B0A68FB73CFD2406F0F27998804E437ACCFB396AEC7EAE271F90F915C287099EE2FBF8F4E9C38769B9C0523A92552BAEA2E0FE43831203C36424F3FB58DEECECBA3AA279F60C4401044EF2D2AA2C12B5FD9774DF71FB7C4D80BE4A0B4B5D59B41A2A1E1652603247FF9399471C661246399F2E056D172C0A1860354B1A9827C9F75D97B785E5B58C814D4ECD965EF9B30A642F2064B1C736BDA5017E0CAE292628ACFC93439D9CF948314BE07DADA5AD85EDD4B3BE9A14D1B69F3D647A8A9E9307D3B35904A27345B9EE48C3958076EBDFCC5459104436D6D0D138E73C7D9B8DFEFBF03F278CC8D5CF7D9648053A7DE219FEFBCFDDEF8DA3E4A266669C3C672F67EE1429B68C97122531EB2D5A188590FB1E7DC07CE9E39CD84C1DDCEB37048AE47B67225D3D357A9AAEA312A285CCBBE0111C45E4BCBEB0C5EEFAB363900E4058264186ABD8452E254343A32C4E0DC07CE9F3BCB84213EB3CE834A2F4A89A8048884FB181158F09EFC3C9B109E41B2B4AC94B9F8C71FC632BE5B32E67A2556E79C8A5600AC0BE1DEE6A6ECF3A0329FFC6BC6232AB936D44D9D9D6798E5447222107717BB3F623F52BD7D1BBB6F7D3F2F5905385B990BFABEFC9CB9B6BAFA1996E56E7734D5EF855546954B76C602478F1ECC202582DFE3A1801F41FC82A4E962C5EBA6C809B8BCB2F26196D9FEE141D73B8099BD5E3111389010CE3D0EF10C998CD2044BA2904BA6D046A71227602DD4C12D5BB7D0D0409FEB1D00A52AA5C71AF1E73CDE90995088A4104989E08973F2E45B74F3B74966B9BFFFBC41B333D76E49ACB7BA281381D2B26BE70B39138723125486D15BADF8B15BD9A75DED2C49DCDC0C62C874D7A2ADC786CD180C94B929E3F0BCD2C0C839630EEF4E6B22E1D0F84525B0084F0E90447C02B01A2C0B97E2ACF2D10AAAAFDFC3FA34FF3695543DFF176AB3F18B8A38DE7DFBB82B39A0ED83F7E9E0817DF67B24A0A866A1BE13F2D0F8B9126426082001F00CD773EB7574B466B99E2787A1AB2AD14F4C9E84A9048D5F240072E8C1C85C0C071C977CDDEC0C2DEFE38E73FCFEB239343CCE84990B53C9F7F1D1455809350E8AE146286E6F7FCF2633736388C55A6FEF27D47FA593FD04DAA239342CEBBA6ACB630B53092777BAADD516920B28373C26A3E3CA8796187B612A0121288455E67F8D308270390605C8A879F179B6C771D8B397B5BEA59496258F2D4C25A64203967BE0C1F215610D0BCB20C77BB073612A3192AA21920060D97545EBE8EA6057C6BE16F3FF0B72AC07E75A984A4CC5E3B0CC4A40CC896ECDB5309598CAC739095808D30BFA34DF031073596ECDB56011347EF456B42F9B9459E7504A90AD3C2156B36011347EF4D678DC7FF3F624AD2EA094205BED84C85892F41F771D3C85536D68340000000049454E44AE426082</t>
  </si>
  <si>
    <t>Enchantment</t>
  </si>
  <si>
    <t>"Until end of turn" and "this turn" effects don't end.</t>
  </si>
  <si>
    <t>b23e355d-5190-5db8-ad5a-5ff9d0fe9bea</t>
  </si>
  <si>
    <t>0.28</t>
  </si>
  <si>
    <t>1.8</t>
  </si>
  <si>
    <t>Deny the Divine</t>
  </si>
  <si>
    <t>Theros Beyond Death</t>
  </si>
  <si>
    <t>89504E470D0A1A0A0000000D49484452000000110000001408060000006BA0D649000000017352474200AECE1CE90000000467414D410000B18F0BFC6105000000097048597300000EC300000EC301C76FA8640000018449444154384F8594A12F466114872F13044110044110444114045110FD01A220DA0836C1CC9F20B0116C029B200A029BC026086C6C826263636363E379AE7BEC7CD7C56F7BBEFBBEE73DF73DE79EF37E6FD1A03198FD1AFED0222C4057396B5007ACC107EC6868D006B87E083D1AEA5A051DE40D0620AB171E207C2EA01BBE3503B118B869D612D47DB495EA841C418EC08DB32620672BDF194F5586601B4CD571D61D9C83EBD9BF0C968D4F60D1626EB143613340CEDC621727C9607A31165BDA0FB63CDBB3DF791B3FF1ED73D0D8B65FF408CBF05ECE2A4D823BAF80D19D5F57B65BB076A3105D9A8652EDD5539D554F37B8872DD8D5808E611D6EA04F03BAAA9E2DAAB74F2C74DD16EC412E7CF9094D8EFF51762634041AAD81E7219CA2DD97C9667BF7ABB1356A91E9B9605BE3050B7A0A799379788103F821FF4C3AFB920EF152C6407E82B51A8646F93FF0687B763C50B6598D80D1C7C14083F0A7BC70746ACAC4E8F52BE257D9BAA64D5AEE8F503E6C595E0F9BF05CCE8AE2159C6BAFA9283E01F136AA00079E64A40000000049454E44AE426082</t>
  </si>
  <si>
    <t>{2}{U}</t>
  </si>
  <si>
    <t>89504E470D0A1A0A0000000D4948445200000028000000140806000000FF467FBB000000017352474200AECE1CE90000000467414D410000B18F0BFC6105000000097048597300000EC200000EC20115284A800000042649444154484B8D565B685447183EE0439F44C99278494309D6DA566B4003DEABD68A8A89171402921A3546C45643D4227D295E50B49154853EA8B482F5922635DE88D54DDD99CDEE26BBA9480BC96ED48780607637F8E4431EF2329DEFF7CCC93973E62CF9E183EC9999FFFBF2CFFC172BC89249569AEA66EB527156DF17638D84046FE88BF3EABE58ACDCDE3661632FDF96760FE6D745D3B97A894680F7E71A7826571D7B919BB8BF678C855231DE26C50837BAFE7AE0F99D4AF0486F2FFBC83E16686CF04D88A747DAA299BC2888817C8465B285FD25136C5B32C1479488380B8BEF0EEC171F969589C953A6885071B1F86ACD6AF1B0A34D897C978CB16FEDE33E6399E16D9278C424E8C9F32171A5FD89F63DFB8EA5B3667F10A78401BDDD4FC58AE5CBC4D4A222B174C962120681103A63E64CD179FF8EB3575EFF11DB8D6324CE433E8E7BF17E5151B958FCFC5BBB719D0DE4BDFE70ADEEC801BBEA6AC5DC7973C5ADDFAF39DFF077C9B4692472F3A62AE7BBC4E8B3049B63BBA36B0D8ADCA37F5E89CF2A16908FD6AE3EDF3A61203F2A7D38FE2CFDCD213AB8D63F5B6FB84510B66EDD4CCEB1AEADF544229149F017F4E622FD6FC4CAF5D5741E68BEDAEADBE382F4272651B66A44143DBC3DFD3BD07CEE0C39C775EB6BBD0956836C3590111A9A7E70C401B5FB0E19F729C8F75863A194E844D1A78F09FA77E0524B3339C7FBF4ADC7790795120319AE736A51C82330545222EE44FFF3ED55E0997C8745754E272A004417CE9B1A0FFAD7E37C98EA9C81AC6AFB0E8F3885351BB7F8F68E233B6CD905D84F66C0DDF6DB74B5AB567D49596EDA43455823BAF6801BC5291C3D79DEB3DF0D79C5BCC944A403573E7FFE1794D99170A7710FC0D3B9269DA4EEC061A330A072D94A31BDB42C30A32DE9B44127D18168A10E2EAC5C281E3FBC6BDC03A054A17DE9242BBEDE601407403C22B8FD9BBD9E330459AA2CEAAD063237505AAA366E084C1C85649C87D15B752244C8240E387BF9A6B8DE1917B33EFDDC73C64658BEC158B9894CA17E4F1D89D3DF1C7EEBD144C2A1F1EB44E5B3E718C501BF76FC4D22F14FE8E7984CB8F7855A367E3791C2B1EF8F18C501A74EFC2876D6EE707E27633C2D0BF507F087C6EF262A74C50A4B57AFF5888B0EE4D291A121F267612A41E3770B8038F460642E8603853F6E5DA735B4BC5F2EB6A8FD6372685844CEA4612A41E35764C75BAE1845B971ECF40597C0EC988C9EE38F0C53891277E6D471A31337506ED49B4CF5F09F6C378E612A1927CC53844C7E0044D8BDB77B30EBF34786A944128E22721F7F32BB20EC61610CE2540FD60D53091A3F48D1876B76EFA7EEA184154F9F4159DCF5EF6B5B5C760CE2A8070719A61249DC83C81402DE9CFB5A830C538924EF51D18150642DA0BE11E49BF35D6B90212268FCE8AD685F8E2859E7504A90AD2A21266288081A3F7A2BDAD7B8281AC9C2C85627213C6659FF031A4B5909E977BE320000000049454E44AE426082</t>
  </si>
  <si>
    <t>U</t>
  </si>
  <si>
    <t>Counter target creature or enchantment spell. If that spell is countered this way, exile it instead of putting it into its owner's graveyard.</t>
  </si>
  <si>
    <t>6955a085-32f8-5582-9533-c506ef88213b</t>
  </si>
  <si>
    <t>0.16</t>
  </si>
  <si>
    <t>Once Upon a Time</t>
  </si>
  <si>
    <t>Throne of Eldraine</t>
  </si>
  <si>
    <t>89504E470D0A1A0A0000000D494844520000000F00000014080600000052C76712000000017352474200AECE1CE90000000467414D410000B18F0BFC6105000000097048597300000EC300000EC301C76FA8640000015E49444154384F9D93AF2F47511887CF4C10044110041B51B46113FC0982200A822008822068DF3F42306313FC01A22008229B626313D804814D10789ED73DDF1DF76CE6FA6CCFCE39F79CF7BEBFCE49BF6818F6612C561D75089F701EAB3F68B019E740C3CC12A8BC1F1A68C6AC15D8827B78F2037A835BC87B9586601C56E111CC770DF4DA033D5EC12E4CC02884670FDE80A1CE8205BA804950237006D3E0BE869EF77B9A023DECC102E8B9CC37F30AE66E24AEB50BA37CC0B91ED7E118F478029B300F563E9F3D8574073B608EFEFD03CC7F1B944532C477706F03FCB9F37E1B54EEAD79392A478BE46123C92AED4297F0F03DAD8CDDB31EFD5E977D5E861938023B50CAB00FC04E987F25FBA817C35B6CE6CAD1FEFBDDF933782F7E78B68FDEA4EB58D5CA7BD6A37A2C56BB54E9397ADAC8F4DA6955D2C8E2385AB04AED87D196FDFE975EC05B64A1E221749137C990BDCB9D65BEDEEF684BAD94BE006076574C8F1424CB0000000049454E44AE426082</t>
  </si>
  <si>
    <t>{1}{G}</t>
  </si>
  <si>
    <t>89504E470D0A1A0A0000000D4948445200000028000000140806000000FF467FBB000000017352474200AECE1CE90000000467414D410000B18F0BFC6105000000097048597300000EC200000EC20115284A800000040E49444154484B95565B485441183EE0434F61652669E58522290A61CB0ABB60D19584CAD09228C2EC666252DA15332C4B25CD765749ADD5B5088C148C2E6CB833755CDD159F7BEFC5071F7DF0C19769BEF1CC70CED9B3BAFBC387C77366FEEFDB7FFECB68B12C1C2619913FE468648C944FEAA45A20442B26C768D1A4AE671BCBE2B601D29DE1279EA37DC45D3E40DCD5809F7656F4D1CEA28F7A67FCFEA6084989E874908B618B2112A2C1890992696C8B691FC9DB940FD43B3840BDACF7673BBBDB5CC94E941E612515A758D7480BC37BA09F7A833ED2B5B8BF708814874374C62C64E2CF286B7C5ACF32B3B3D8D7A141BBC8D9B04E2A8DED51D6473CC5FDD43D2345149EDCC79627272B6CC859CFAEDEBF28D0FDED1544CEF2283BFB833833B9B7A38DB976B8D89AB434E5D02E504127770C37CA20EECD9717ACA8EC183B7CBA9095D75EB088B363755A2A6BE8AA133FC44FBC567F38567BE47E8FFE645D9E0E96BF2B5F3989293044E7A64264B3E14E1C2B22076166114B61AB6B0BEB1B757391EE391F79A3FC698BE51C22291D2C2210180F068349F027732E6FF7768B80782045F21FC8FD3D4912D5EA40A6005172F31202D9448894A25A65CE6DC9CBB590C78315AB56B2667FBD71D4EE520DADC4894C221181BC050DA195A05A631D2F724D7EDBB475233B70BC206A4D46D63AE61D7EC9457A8634D1E79CC80C2428701A7DEEFAA3CB164220273787ED3DB2473DE3AFAB208F55355CB1AC93A8AC2F4714A735A3013B1372242490030DB8C9F7D84206AC5D9F2EF2CBFC0E6D061135BF93A86EBC268E991F31AD712292485420EF6535389E55A9ABD5BE35E969A207CAC89991B9294B44CBBC1E3022C834EEB4C24E62462202D1AA30BE3025CC6400F20AA4F6C2D9B9DF25A208402C7E0CDE2337D1AA34315B1DC824121238460398AD0FDAAAD51E5465D9CDB32282788608F90DC0FBE7BD0F45B4004C944BB7CFB18EC167FC7F4F80E7A09E6D273223118128380C7E1021F9415ED374439123AFA42F090892DFA3C00B6EA151F3C1EF440898050E7FFEE4B80608EBF42F6FD4CBE00F83DF89F07DE0B5A52890934EEB003FF5FEF5057DC29F865B0906BF1371FFBBB7CA61536343D47703F3FCD2B04B38E3865B0906BF13315A8BF487AA765AC3F7CE0F904EE54F186E2576E231126065E74B95C383870AD9AF1F23963540649CB6186E94E156220931BAEA5AAB442E9A23889CC4B12FCC5FB3484F943F61B89570C23990B63637596E321229A9A9EC5EED1D296E1EE2E40CB61B6E253DDFDBE650D5981EDBF3B7091FF69682CA45D5F67C6F9F8738318363196E259C78DC101013C839F3B1C632DC4A30F81119E420C45EA82A11C583889EBB7E463CD736DFFA1775ACB10C11C1E0C76CC5F852A2789F432B41B5CA8288C710110C7ECC562E745A1EE5C265D61340B5AA82B098A6FD07B49564228C843D3A0000000049454E44AE426082</t>
  </si>
  <si>
    <t>If this spell is the first spell you've cast this game, you may cast it without paying its mana cost.\nLook at the top five cards of your library. You may reveal a creature or land card from among them and put it into your hand. Put the rest on the bottom of your library in a random order.</t>
  </si>
  <si>
    <t>0add0930-720f-5bf5-bcf5-ee208eeb9040</t>
  </si>
  <si>
    <t>0.85</t>
  </si>
  <si>
    <t>2.49</t>
  </si>
  <si>
    <t>Silent Clearing // Silent Clearing</t>
  </si>
  <si>
    <t>Modern Horizons Art Series</t>
  </si>
  <si>
    <t>89504E470D0A1A0A0000000D4948445200000020000000140806000000EC913F4F000000017352474200AECE1CE90000000467414D410000B18F0BFC6105000000097048597300000EC300000EC301C76FA864000001B349444154484BBDD5AF2F465118C0F1370882200836822098991F9B99196623D8D8088220088220F803044D10044110044110047F803F40100441100441100441E0FB7DDF1D3B3BEEEBBDF77579B6CF76DF73EF7BCEB9CF79CE3D9582318FCDDA6566AC60AD76597EECE203EBD55FD931039F39A9FE2A317C2B3BCE3B01EDD850460CE015A1E32BD48B4384E7DE31875FC70542A741561646E1A0F17337683A26D18DB8C3D81996B18823A48307F6A3DC310ED37C896D64755AC4015C1AB3F1E392F4E21CE18FA6DE993F456D45593B66C94984365F6E185FD1897A2934CDFD70F6E9BD461E308478F0987DFBD2D52D768FAC87E4BDAEA42D8F315C276D3133BB856AB4C0CA7E44D6C33D28B214A67E24690B5E606DB5E25BB4C194A5CB6141BA14AE5FDC9EE51683F06B98DE3B45071A864592AEBBD999C55ED49672D0093889B8DD7AF02B59284CD13EE26C78ED99B0045319DADFB0010F2AAF43BB9C543B9A0EB7A26F1077EA52F8BDB0C82CD229C45B58CF700B9612D6865B351D6001D34827E86472AD75D158457C30295D222BFC4FA30F77882721B7A907D2BF8445156F49778C07D7BF861FAF63786658234D44A5F209DFCD042DC97444230000000049454E44AE426082</t>
  </si>
  <si>
    <t>0b952d69-5db0-59c2-810b-d4b10d452872</t>
  </si>
  <si>
    <t>Ranger-Captain of Eos // Ranger-Captain of Eos</t>
  </si>
  <si>
    <t>701dcbc1-659a-5b77-8eda-2157fec85d8d</t>
  </si>
  <si>
    <t>Chillerpillar // Chillerpillar</t>
  </si>
  <si>
    <t>d4588e8f-e5a0-53e5-ac90-0a5183f0d118</t>
  </si>
  <si>
    <t>Dead Weight</t>
  </si>
  <si>
    <t>Guilds of Ravnica</t>
  </si>
  <si>
    <t>89504E470D0A1A0A0000000D494844520000001E0000001408060000009AAB8DC4000000017352474200AECE1CE90000000467414D410000B18F0BFC6105000000097048597300000EC300000EC301C76FA864000001B149444154484BBD95213346411486EF18411004C14F100451100441100441100441140441D005411004C10F1004511004411004411404411004DEC7DE77E67C7BF7DEB906DF3BF3F876F7EEEED973F69C55FD42B362213587AB7371959AC313DE7ED60CCDEB6971276CF851CC897F1546DF858D9A0FF1679E8F89A9D4FCD6B8B815B951F324E2FC7C7D6FAD89C3D4AC46C5B528198C3C880981B6C56E6AFE4C37E24DB0D1A6C88D70CF448030C7F11D81B7CF822870E85631110FAD98B5FBE224F4B9E3456131F745F8FBA988075D16D6921808FFBAE0843EDDB1F0C25741CDBA7F2072454367824C77FF525844692F35935C1EDC0BC6F3CC8DE1DC10B9C8687F2F653D5EAED46D1C24C2D57C3DE0415E23F74B1C895C5BA234D7DCD7B84F8407C2D807BC8FF7C6E3C17594E6B641848B1F72B8B33C7B291DBCC8C7C9E4D86FA338986FC6FDE019E515C723AC216B21AECFF7328D01EE99127166521E16C997CF3731DB2941C62833F6223AF9FCC6800DF12EF35AF154227EBB5E2F36778D521917C2EFB70F12690C440FA3626DB7116B36AA6178447FFA080F5653B353BC6893A9D9ADBE8667449F0D39608FFFCD55F505BB7C05D92D764CE40000000049454E44AE426082</t>
  </si>
  <si>
    <t>{B}</t>
  </si>
  <si>
    <t>89504E470D0A1A0A0000000D49484452000000140000001408060000008D891D0D000000017352474200AECE1CE90000000467414D410000B18F0BFC6105000000097048597300000EC200000EC20115284A80000002AE49444154384F8D94DF4B145114C7077AE8290CC5244B6CED9761F96268BFB15FE643258B812451A06C84592222D54B148260866118F64BA8907E582824916CB87772767667179FFB137AE8B1071F7CB9CDE7EEDC65669DAD0E9C61EE3DE77CEF3DE77CCF358A89E3882D992571269314DD594BF429B5CD5836699ECB5A56C473FBB72C0B5196B1CC193758CE7D7C272727C6E5D0FDBBF2F1D8A8FCF0F68D4C8AB8C496B1CD443A2DAABDB070716CD1EED8E62F801AF637C80D25256B746369A9BCD01E950BF37380FE762C71DD0B0F0A609C3CF562524EBF7A190AE6D7CB973A1528316E39063C989C90A6BED9D6AA2AF97AEAD95F6FD8D8D4289B9B8FA9F5A3872380AE2CDB62B7076718D4ECFBE282ACDB5BA79CAA23DB6434DA266BF7D406C0C2747365A5BE692A9148AC53DDE4DAB706074203FE478905236D8B0E036AB0683B7F56A5D3DADAA23A7AE7F6A04ABF30189FDE9E6BF2F9D30979B3B747AD0F1D3C90AB65D29C3514CFDCC58E5D3BE58993C773064F3FBD9F969B2A2A02801CE6F7E9EEBAA2F6BF7DFD0CE04F03C2A69716D549C343F702CEE8D558571E8C6614DA6924B6F9D919B5765336FBF9A1ABF04B1B504ED5CD21037C689EB6F3DFDF7743969597E7096FB89F183F4FC6C7426B4617474786554DC9A2D08EEAA6403D43CDA6EF448029B606E756101D6E527CF6B0E1436312F12FF91B3B4933EED6D08AE80DBFEA6243605227F0E891C36A8FBA86C5D0E01CB1DD412F34524F7D9BD32DA764E7C50E59B3BD46ED419B427FC7327FB8C45EAF0079351874BF03BCA4110052C7FAFA7DAA39D08839F6FBBABAEA3E124D0A4C0BAF86DF89F4B825C0A4CD3F6580F8ACFDBE9994F9C083090AAF86EBB082132902C25B08106F21FBA4CF211ED82A606A868B09AF86EB9822C0DF41AD4C0F8F01355B936631E144069DD9649C34183C831A7433DF808018C61FC09E12E495B62FC90000000049454E44AE426082</t>
  </si>
  <si>
    <t>B</t>
  </si>
  <si>
    <t>Aura</t>
  </si>
  <si>
    <t>Enchantment — Aura</t>
  </si>
  <si>
    <t>Enchant</t>
  </si>
  <si>
    <t>Enchant creature\nEnchanted creature gets -2/-2.</t>
  </si>
  <si>
    <t>43b41a9c-56c7-5aa9-80bf-dc90211351ab</t>
  </si>
  <si>
    <t>0.06</t>
  </si>
  <si>
    <t>Karox Bladewing</t>
  </si>
  <si>
    <t>Dominaria</t>
  </si>
  <si>
    <t>89504E470D0A1A0A0000000D494844520000000F00000014080600000052C76712000000017352474200AECE1CE90000000467414D410000B18F0BFC6105000000097048597300000EC300000EC301C76FA8640000018949444154384F85D3A12F45511CC0F1C35E14044110044110041B36364110044110041B41100441106CFE004110D8444110CC04363641C0686C822008029BC026F0FDDEDD7377DE7D17BFEDE3DD779D737EE7FCCEEF3585C618C22C7AD18A379CE11027A88C161CE3FB0F47E8445D38F11C5513CA9ED18D22365035F037A728C2CC77A81A58F601EB918567D84407FC471CF48E03BC24EFB48815F4209BFC8A79ACC24913B0D20E68C3183CAB8B99D5247D085D5880937C1EC014BE6026334FC322B5E3026BC8329BF1110F584679FB91995CC41D581F77196A30DB0D5CC06D9527CAA3ECE309E3A835F3C702D851C3B88595FF4439EEE1F907D18F75145D7509B7EC597C4EB37A6EEBE199E37877995D531C6431CC5C6E1AABECF1D2F6B555B3B050E940B3787DF1DD28B692EF3EBB5811E90E66E075F8EC6223F9B376D1103645EC26CFE3F9BD6B77612FFBDE2B6CF855C55842CC308939A457E7EE8AF0AAD2B8CA3F0DAF631BF6408CEBFCB3322CC20ECC12AB192BEF776FE2DFB065E36F760FDE465D754308E107BE989D4FB12CBF3C0000000049454E44AE426082</t>
  </si>
  <si>
    <t>Dragon</t>
  </si>
  <si>
    <t>Token Legendary Creature — Dragon</t>
  </si>
  <si>
    <t>Flying</t>
  </si>
  <si>
    <t>e4dcfe4f-8441-5eec-9f74-a7b3672e90e0</t>
  </si>
  <si>
    <t>0.45</t>
  </si>
  <si>
    <t>Bubbling Cauldron</t>
  </si>
  <si>
    <t>Iconic Masters</t>
  </si>
  <si>
    <t>89504E470D0A1A0A0000000D49484452000000130000001408060000006F550674000000017352474200AECE1CE90000000467414D410000B18F0BFC6105000000097048597300000EC300000EC301C76FA864000001B649444154384F8D94B12B475114C77F619024C36F30180C46C568F027180C0636368A32180C0665900C0683E137500683C160304A06C9A050948192A8DF405114C5F773DF3DBFCEBB7E4FBEF579EF9DF3CEBDF7DC7BCFBDA502B58B09B12BAEC4B7B8117B624694C5BF3426A6C4A3A09394AA60A03951A826B12468702CBAC451B40D6CFCFCC7DE10B4FBA535E11BCE0B0257A2BD1A6D32F2710722D761BFF8143E08BB4F20B241D8691CB034355D88340058FC66817817C5B13921BB81E830D2064C13D9748D33F1EEEC90DDA27310C0949E9D0F16129B4E98F2BEF36D8BD0813958743422CC578F59812821F39DE2B8750EBF905BC2FC1E76CFE407AD36E8F124EA6952DC659F35BD88F1EC33C8B72DD3D947F61DD41BDFE84D8C8AAF60659A167E0036CF74C98362B454EF7124B2C5DF09565EFE8454C8EC50983AC570F65953637C33452F0ADD6776C28362A3E86C040EB2DD0ADDC2D792356E157EE328A50E113424EC070C0AE4EB08286806EF11FE58712DE5448DF1833B0BA503185663EB029B75CB1D745345B06E9C433F75CFAB20860B94CB9329FF29CBB288707452D94EA53A170FA24DB444D8CD6BB12996A3ED542AFD00F374C19DE8A4BF0D0000000049454E44AE426082</t>
  </si>
  <si>
    <t>{2}</t>
  </si>
  <si>
    <t>89504E470D0A1A0A0000000D49484452000000140000001408060000008D891D0D000000017352474200AECE1CE90000000467414D410000B18F0BFC6105000000097048597300000EC200000EC20115284A800000023C49444154384F85544D4B5541181E68D14A0CC5244D42485B686E0CAC2CB15C88688AB80842321241FC4044C25D1482608250E05A5051F39312496E7866F29C73EF3917D7FD04172D5BB87033CDF37AE670EEDCB9B7179ECB3DF3BCF3CCCCFBC50A5910F0EAF09477861E1FCEBA7C8AE08B91AC275E645DB73672FBBF9D715E1EBA625B6D9649FCFCF13DE73BF48593C9F03BD136BB053E1F087CF1476FF2784A4E8C8DCADB3535B2A4B454965754C8E71DCFE4E1FEB616FD1BB87C3CDA9E6B10D34240E6F4443E7DD22A6F9495C9C78F1E921004217CABAA4A1E7DDB8B7D55386622992BC333933703DE0C0DCA86C606B9B1B612AFE1FFCDCA4A12EDEBED89D7152ECE7C7E2F9263CC8C194EC73377B7D6939B08FDFD7D2408DEE0D28EE35CA36C1A04DD0EB133D781C585F9389E2697F1F94B86D230895F27C704731DF8B2B44882886F1EEF897D467566124580DB43707A6A329FF7C4398B0A369FB4E06067939EDADEDE465560F3514F16D336C20442D0D4749F32EFA48EAC3E00533F23E6A209DC0675D8FCA0591E1F1E587D00941EA3DEB49049A0547ABABB0A264A23F0444AC5D0ADB5911AC36F8748CC8C19BECDDB22C15785AD1A3D4968CCBE9BB18A01731FDFCBD783AFE2EFC015BF55615F27414C0D347A7203C4D0C3C82C8681C6D78D55E2D082CB9F97B4FFA51A122D24A60D53438BCDCF7DA05A2B06948F8E6998169F22995CC3D4500E17B8D9DDFABAA28886C325C4A8870B19A686724CE3E46240CCF29E59C870221A1DBD89768A45549DA13490CD380139C6D83F26B0BBECE3A63ED10000000049454E44AE426082</t>
  </si>
  <si>
    <t>Artifact</t>
  </si>
  <si>
    <t>{1}, {T}, Sacrifice a creature: You gain 4 life.\n{1}, {T}, Sacrifice a creature named Festering Newt: Each opponent loses 4 life. You gain life equal to the life lost this way.</t>
  </si>
  <si>
    <t>9ce99de8-bbd0-5043-9670-7f69ec41c1eb</t>
  </si>
  <si>
    <t>0.17</t>
  </si>
  <si>
    <t>Thought Harvester</t>
  </si>
  <si>
    <t>Oath of the Gatewatch</t>
  </si>
  <si>
    <t>89504E470D0A1A0A0000000D494844520000001700000014080600000066BEA60E000000017352474200AECE1CE90000000467414D410000B18F0BFC6105000000097048597300000EC300000EC301C76FA8640000016949444154484B9594BD2E454114854F44A15028144A8542A15028494814240A098D90F0008AFB000A9D42A1F0000A8582F7502894740A053D858484B566CF92B973E7EF7CC997D973CECC9E337FA7EBC19C2F17E1848565C67C5963162E5BD84DC10D0BCBB4263FF0A5D8F76591D6E43BBE145B70D2C23C2DC9B9C634846BBE6D619E96E4F1578B435F6669491EAFB75885D316A6A925E709E14949310E73033B6AC9734B228AEF4BC9B989471666E1CC762D1C25959CD33D850F9017A6C62DBC86D5B6FCDA47F89B50B3E046A6DEBFC2A19B1B7FF9179CB1B037EC3774B1E2E4CF700DBEBB5A3B3F700FDEB99A27B5E67D07F884238949989C1BC97F06E1002BBE2CC1C49B5089D761F29FC313C28D19B89AC1757C827C1E6FE807D46F98F0487EC32B570BE0887CA19D3F83420384C9DFE092AB19C730ECFF7F3FD8998DF5425E40C136FACA05386FA183338DFB72566CD79DC07BF812A84637907B91E31CAA2DCFB9FAE30276977F1F944FE8C211496E0000000049454E44AE426082</t>
  </si>
  <si>
    <t>{3}{U}</t>
  </si>
  <si>
    <t>89504E470D0A1A0A0000000D4948445200000028000000140806000000FF467FBB000000017352474200AECE1CE90000000467414D410000B18F0BFC6105000000097048597300000EC200000EC20115284A800000043049444154484B8D565D68544714BEE0834F45C992F8138AC6DFB62FD61AD4FA53FF6B4B1B282804A5456ABA12A368A3824AB1F883A246B4F4A5A8A452AB36351AA5C5A29BBA33BB7737BB1BA5B490ECA6ED43A0607637F8E4431EF232CE777AE7EEDC7BE7AE39F0117267E67CDF9E33E79CB1C22C9B65F5B924DB9C4BB1967E9BED27A479B43FC59BFA6DBBC1D9366163FF3CAF4F0E953727F2A51689FD001F284579A1D464FF5D9AB8BFA78C457236BF2DC5886AC8A5793C9361B39C63A1C6869E45787EF476A250165531588EB342B1BABF6C9A6DC9A6F9A812118F3D107BDB5AC592C62562DE82F962D3FB1BC5B1AF8E88C4E3874AE48BACCDF638C703C60A235B24F1A849D0A33F86C595EE47BEEFC5172C5F34FB8338250CE8BCFA9D9833778E88D4D69230887C6DCA14C2EA552BDD7D049B1D74DCB846E23CE415DC4F0D88458DCBC5A5EFBB8DEB6CB0ECF587B4EA91FBF9D67551376D9A68D9B9C38D16B06F6F9B2BF2E1AFF72A02D37CEC699A2D74DC515AC322F7DB937FC59B8BDE211F5DBDFD8175C260794CFA70FD59FE3BB77D5B33A552FF06DCE9BAE10A44FA7DEB7DF1787C12FC85DDB9F8C033B1E68326D747C7D5AEC01E0DD29F9844D5EA230A45C7B933E478776BD4B89E49B36654AB818C106D3FEA8A033EDDB5CFB84F41DEC7660BADC444E607D23EAB61B6D815DD695C27A4780FB5120319D239B526E21118A9AB1377137F05F62AF042B9C7A23E67227390493E16870E7C49C50281A86A8835ED950247A8CF19C83EDEBADD234E61C3479F04F656501CB19C066C24BCD7FD9358BA6C29B59815EF2E173366CE24A710FBEDC50EE3196AC23EA26BBFF080301D874E5EF0ECD72153CCDB4D44002AF5D28573EEFF280CB41838450B4AB198673FC0F3A5763FC98EB60301510A8D2BD788E9F5AF8756B4259D46FD24D580C829E7B77EBCE65943ABC2F8F293ACDEF8A147940E884704B77EF685E70C41B62A8B66AB46F22AE04EAA54FFD079D9B3964DF11866AB9F0811F20B53387BF9A6B8FE2025E6BEF196E78C8398BC8376834EF22A20CD703CB5A6C6D3C401141C06BF9FA861FEC2803085CE9EDF49247E84FF1C9305F77FA396835F27AA8633A78E93E3B56BDFF37CCFDA3C2F1BF564F8C3E0D789AAA55861C5BA4D1E7189C1523E3E3C4CFE2CBC4A30F87542133049905E14886FD48DCB47C33272260DAF120C7E4576FCE215A3281D874F7FA3092C8ECBE8B9FEC8F02A0119EE1826855E001083398CF9BC78F1DB2454AD01B93E7EDE71E31A5E2515C23245C8240C4084F5BDC9A162C01F195E259964EFD8A9135F93103466440C7FD76F5827F01D3F4013370E716A06FB0DAF120C7E90620E377FDE4AD34309AB9D3E83AAB8F7CFFF1C71C57188A3191C66789548E23E4D8411B8737A5AC30CAF1249DEA7A203A1A85A407D23C83B17486B98212218FC98AD185FAE28D9E7D04A50ADAA2026628808063F662BC65745143DC962A856B7203C66592F0149AC658053E107710000000049454E44AE426082</t>
  </si>
  <si>
    <t>Eldrazi, Drone</t>
  </si>
  <si>
    <t>Creature — Eldrazi Drone</t>
  </si>
  <si>
    <t>Devoid, Flying</t>
  </si>
  <si>
    <t>Devoid (This card has no color.)\nFlying\nWhenever you cast a colorless spell, target opponent exiles the top card of their library.</t>
  </si>
  <si>
    <t>1fb6b965-6d0e-536c-8593-63140f3c6e9f</t>
  </si>
  <si>
    <t>0.18</t>
  </si>
  <si>
    <t>0.37</t>
  </si>
  <si>
    <t>Culling Drone</t>
  </si>
  <si>
    <t>Battle for Zendikar</t>
  </si>
  <si>
    <t>89504E470D0A1A0A0000000D494844520000000D0000001408060000005632B72F000000017352474200AECE1CE90000000467414D410000B18F0BFC6105000000097048597300000EC300000EC301C76FA8640000011249444154384F9592A152033114455754202A2A91C88A0A64251F8040202B2B111515C8CE545622107C00820F40222A2A104824025181445420E83969D379DDC932CB9D3933BB49EECBCD4BAA069DC0DDEEB3BD16F00B37E9AF852EE007346DA00F7FAA0B1FA021B3820E34EA1EA2213383A22EA16410E39EC3917AF00971617DD777B0AB073D415CE0BFE78863625793AE214E2CC18644D31C1EC06EDADDEA16D6E0A4118CEAC1CFF6635EB20586E09C9B24A795AFE01446E0624DCFA0E1713F66D129A40A5F605EAB18219B2C965F47E6702E33C709D134A98D1D75D0086F101718233F2729DED50072B4128DAFC2EA25C32B98A628275E201A5ABD741BF00DD9945ADC4663D0E0AEFF9217EAAE3555D516BEEC707D8F4B05380000000049454E44AE426082</t>
  </si>
  <si>
    <t>{1}{B}</t>
  </si>
  <si>
    <t>89504E470D0A1A0A0000000D4948445200000028000000140806000000FF467FBB000000017352474200AECE1CE90000000467414D410000B18F0BFC6105000000097048597300000EC200000EC20115284A800000036D49444154484BAD56DD4B1541145FE8A1A73014932C31EDCBB07C31B46FECCB7CA8440C248902E54698252252BD442108661886615F4285F461A1904462786773EFDE0FF1B93FA1871E7BF0C197697EC79D6576EEECED6E74E077B93B7BE637BF3D73CE99B1C22C9D665B328BEC4C26C13A971CD64370EDD852C23EB7E438159E5BDEF6DFF896192BCA38F69498CC7321E3DAF1548A957BD3424DE59BF9F88E8F8F8DF281FB77F9E39161FEE1ED1B9E60F3F9F3A55DD69A76ED5FAA90D4E2021196576CE3B3D353FE3820487FA71D76DD9B9E65920FC26AF7D7F20D050559D85858C82FB4B6F0B9D999DC7C2053177F323A42A49B4A4A7C325DA00F87F57934BE49BE8917E37CF2D5CB8028132E5F6A2791463E6C831EB9EF0B73B41D75F5753E49A840D75E5976D96E8FCEE743E4B69695F1D713CF7246106B34341CA3E7470F87B2F8AC5C3987484AB21C0281643C1E5F27F9F081D57BAB691ED2A3A5A59957EDA9F2B9C2B0B9B45446728D0FD5A52D140044C9C97F11C8532E6B937CB7FAFB020B4701E64A3E0BA5AF2EA2238A40D132A6255FF3F9B3B47D4D4D8D54B1776EF7D376AB4200F874775DE3CF9F8EF19BDD5DF47CE8E0019FCFA2BEA42EA221A2C09F926FC7AE9DFCC4C9E381F79FDE4F068A0E8078D5A7B3E30A8D7FFBFA99F82CAF61069C54441208083EB426446270E05ED6FBABB10E9F0FC5A1BF4761A96B892DB67B75271551054A3E542DFA9B3A075191C58208C307C524DFE37F6FCF0D5E545CEC37704BFCC4A4830951047AAD8AF850FDA69C43950E0F0D524E22CAFA7B401609F82C3A0B954574441298B0E7553E44044291FC522CA286C68DDE8862C018DEC10785129FFF12E01339E854C80113A2085CBB0898F964F2A32163AB21E4E891C33486BC34CD01DF5AA31607B5C901500522814D3E40DAB17F88C6BA3E8C0FF9080E44EB74E329DE7EB18D576EAFA431B419DD5FE5B3708BC041AD3B01D80A29D054951E56C5215F4F64C24C7CE88B280C08441ED6D4ECA36241DBC139ACFA0A04F8C8708BD09CA892F0A55220FA1AF527CD2F93B41F7834BEE97CD84E441142B1CDF88F6D4723C7B3EA6BE223C32D4238ACC00995A63755002D405699C02AC8E419AC9BCA870F85285CDD200C77418C63BB213A1F3E32DC228463D29B100AE448D636184CE5532B5402A70B2E07F9F291E10B7050E32CC47123C9D09750FAA82E3F81F3B07FE7B3AC3FA642EBBB74CE53BD0000000049454E44AE426082</t>
  </si>
  <si>
    <t>Devoid, Ingest</t>
  </si>
  <si>
    <t>Devoid (This card has no color.)\nIngest (Whenever this creature deals combat damage to a player, that player exiles the top card of their library.)</t>
  </si>
  <si>
    <t>fd1183ad-ae98-5c4b-b93d-97d32b74d999</t>
  </si>
  <si>
    <t>Plummet</t>
  </si>
  <si>
    <t>Destroy target creature with flying.</t>
  </si>
  <si>
    <t>358c5647-9f47-5f5d-9497-36336d8c7bb9</t>
  </si>
  <si>
    <t>Font of Ire</t>
  </si>
  <si>
    <t>Journey into Nyx</t>
  </si>
  <si>
    <t>89504E470D0A1A0A0000000D4948445200000015000000140806000000624B7633000000017352474200AECE1CE90000000467414D410000B18F0BFC6105000000097048597300000EC300000EC301C76FA8640000017349444154384F9D942B4F0341144627A4028140201008040289200189200181449280A844F01F1008640502814420910840219190201034A10E4342930AF8CE3C9ABBB3D32DD9939CCEA3B377E7EE3C5C814E2CE152FE167C9216FB4C8D397923D3A005F9256DC0915C938933B919AA65D6250F5EF956E058DAA0E732D195F41DF8D6048E248398CD221D624BDAA0B4131F92BE53DF8ACC48DE32EB5BCE6DC492F4B7437522A4BC14AA3EC34497A03B92EF322F1BD3C84813815DB9224FE4211DF7921458209B665A8C49E93309DB7F2B7FE4BB746FD2FE89AC78A2E99B3E4BFB1F8E48DFA691788DE5344AE33A04FD0EF50AC3584EA3346E48D041A85760554B19E4ACC6D23220683FD42BB092EC88263814A593D427E863A8D7607BDCC97C361C8A0BD9F3AD3A0FFCB035D80AF92AB6757C2FE47BB4AD2F72CCB2CC6FA336DA3DEC4997495BEDED5581C5E1862A3DD4240BD77851EFC9D2D12DF929D95AFF82B7EE4B2E6B3EBE9D3D2FBC967CAEC20171EE0F454AB49E5F275ACF0000000049454E44AE426082</t>
  </si>
  <si>
    <t>{3}{R}, Sacrifice Font of Ire: It deals 5 damage to target player or planeswalker.</t>
  </si>
  <si>
    <t>e7613acb-a554-5a49-aa38-88fff17503fe</t>
  </si>
  <si>
    <t>0.03</t>
  </si>
  <si>
    <t>0.19</t>
  </si>
  <si>
    <t>Guild Feud</t>
  </si>
  <si>
    <t>Return to Ravnica</t>
  </si>
  <si>
    <t>89504E470D0A1A0A0000000D49484452000000140000001408060000008D891D0D000000017352474200AECE1CE90000000467414D410000B18F0BFC6105000000097048597300000EC300000EC301C76FA8640000014549444154384FA594A152C3401086334C250281A8C081A840202B2A2A110844258FD037A9A8402010484445454505028144F00088B68340F40190F4FF37B7379B9DBD763AF966BE5C2EC9FDDDBB34571DE014DED6A702CF7BF569CC496A2318B6847DE9D574E15B6A434A811A36905E930BF80EC3D028B0035F6014A670DA0C3D979EC10732EC158EA4B71F86CE216793B181C784299C05972687DAC0093C264C61E80CB2A0CC14FE077E42BBF8AC6401A367736829EC0336D627C141CF301AC3D0E22FDEC3127C21D1982F58DD990BEA1F8CAAB3ACA01F378632859F74416560639103BEA11F73068547686F52FBC979F8B5F8E7B974F96FB349ADE50996AAE43DCF9A070D948EE306F24DDBDD8595B112AEBBA751D410FA2958B7F0D75DF33EC05C615ECC02DC048A5B5642360A0DBC4A6D1B2E79D040E9B4448AD2C0EBD4B6011955B5030AC867FF75A9F96C0000000049454E44AE426082</t>
  </si>
  <si>
    <t>{5}{R}</t>
  </si>
  <si>
    <t>89504E470D0A1A0A0000000D4948445200000028000000140806000000FF467FBB000000017352474200AECE1CE90000000467414D410000B18F0BFC6105000000097048597300000EC200000EC20115284A80000004C049444154484B8D565D4C1C5514DEA40F3E994A01519A54A1A52D21119196528A9596B6A094A62D556A4D5B2B6E8516DD2C38BB8B8DA025265809B6B676774948351A3598D06863549AEE4CD81F76090F26269898989A5D40D3C73EB4092FC7FB1DF60E33B3B32B27F902993B73CEB7E7E73BD791CDE271757D624A6D4A44D48E99B0EA624435E74C446B9D09874BD2AFADDA52A39EF5C980AF2919F076A4021ED7327CCEF9EBBED67FC77CABF737ABAAF989B0362EC8502E24A25A687A5A7D2AFD59565B08BAF3E783DEF1D94BDD14EC6AA3BE638D8CA1532DF45DCFABF4FB888BC4B98012FAC7EFCDED2F1E55DBE251ED1E084C4FDDA1E7EB77D9A26E672D956E2C05C9FBF1B07A3EFD7986A5FC9EB6A4DF7BCFFFD611BA78A299FEBAD64B7F5C76D34FEFBD4ECEA63A7A74ED5A2A28C8A7F32DF54C341954EE27831E7B7F2067CCD097634176900D075B5E5CC96858ED4DBBD10DE490999EC30DFC7E5E5E1EFDFAFE1B4CE472C7213AB1673B956D28A6D69DCFF07965D9D34C1E3F22E9F798FDA1AC3273125EA597BA3A9D341AB8668B5B13E32B04A3DA83D9A8BA25ED8ECB8ACCFDD0779A4E35D650635539FDED57B8942038357896C9820C9E8D75BFCC241B2AB7F0F9CC50D7C385609FEECF61D773CDCD07E89BAF6E989EFD0F62A150680DFCA1E710F8CFAB3D3A29FC05BE78A79D49237BC7EAAB083F02E728354882ACE7E85E9A0F78633430B086A7D526186DDA5CC67D08205B117532E31D2BA6A36A3BA65592C906640F24D18BBF0DBF4DB5159B989CCCE291BA4A8A7DD4297AD2D3EE80945803DDFCFE5B7ABCA8888721BFB050FFB8AAEA59FA6CE413D3BB2644B40948891DA95CF8DA759C8A9F5889836C229329BF77C2C13A670934F8613FBF884945A9411484A503F4A6F51B46445B84CED991C886DB036F7216D58B4EEA7A69971E035224CE171D69013605FAA0FF0203E595CF6EFFFC23ED3FB04F778041317E230101B692C080A09C579D87395B18124C72D3B60A2A2A2CA0F1775FE38C9DD95FABFB8766E25B5162CD6D17C80EE84394190E40D6EE9DF980C76D2487CCD49497EA81AD38FE42B52EDE7250006495090AA74E6B905CE8F329EC0043643D8354F1FA4A93838C40DF64502B9EDB5CC2938EA9353EBFF0CA3EFE1E52E5E0DD6A09940B9F5F1961274F1617679CC523DA2476AB24387CE6A029B01198560833DE33661819C533B48410EC49D183E1126BA05C8080738086DD196718382C7E49D0D85356E00C04B102E53390464B4066D0ABC980D2B12CD462F15B83D941EE6738EB3ED7693A8B87B53921D48F2C0BB5120241E354AE06106FFC45C9937E65EEEE8D7EF6E7C0AD048BDF18D00E901738A8D951639A7081257169D8C1CE84E15682C58F4B8291402E40079139DC72EEFA7B9752D73DBA3F36DC4A644008356405FF8308561E4A0A47D5DBAAE9975B3725314622A65D4ABBD10DB712C80B06C14A46A262E3069AF09EA4C4D0396E098985516F863F36DC4A44C007281F886C2DDF4A8FAD5BC782BDB7710F7D3AFCB18998C012C8C91D6C35DC4AA283671F6623090DC4CA731DDA9D5E6DCA12C8F10ECE66B89588C0310B910CA0E78C65CD66B895CC5D71278C97550C06441B2D80A140D6D0731965CD66C808163F762BD6974E4AE81CA404D32A076235868C60F163B70A328BB294D0394809A6551F0893391CFF012C3989EE5C5862E70000000049454E44AE426082</t>
  </si>
  <si>
    <t>Fight</t>
  </si>
  <si>
    <t>At the beginning of your upkeep, target opponent reveals the top three cards of their library, may put a creature card from among them onto the battlefield, then puts the rest into their graveyard. You do the same with the top three cards of your library. If two creatures are put onto the battlefield this way, those creatures fight each other.</t>
  </si>
  <si>
    <t>d0bcc932-d1f2-509c-90de-42512b6fef75</t>
  </si>
  <si>
    <t>0.42</t>
  </si>
  <si>
    <t>Angel of Glory's Rise</t>
  </si>
  <si>
    <t>Avacyn Restored Promos</t>
  </si>
  <si>
    <t>89504E470D0A1A0A0000000D49484452000000130000001408060000006F550674000000017352474200AECE1CE90000000467414D410000B18F0BFC6105000000097048597300000EC300000EC301C76FA8640000014149444154384FAD94A14E034110862F04C103202A10089256209015888A4A5E0087C183AB4040FA0015BC0009822615085EA1BE921A14A2120109A224F0FD773BCDDCB2DB83C0977CB7B7777BB3B33BDB16F09970829B986384A9EF920FE52DA618626ABC4C3E349581E70C53E3CCF2B2C023BC087DEF218A1D8CDF69B23E3E867EF18AFBBA817B8C3FE8A1D8C5F8DD0C450B95D06AE60EC683E5BA60529989CE06976975BFCACE18E347755BE326B4C64168E70A662833CF151EA30F788EA7F856F62ADAA1AD31409F7E9CA9B1854BB471D758E2339B87D6B0BD8851D5FD817E0A6D0D95FE1D6D4655B98B1E6DC533DA18697BF68DF867A2E53CE025DEA19F4CEA2865B1F3E23FC8A9717BB8162DA529A0DEC7D5CFB28D5ADA0BFA205AA6B6422BF83527E883A99FC51F8D3FF3AFC19A50B5AC183FAA5E13AA9AFE6A1AAA57145F8300935378A3D5BD0000000049454E44AE426082</t>
  </si>
  <si>
    <t>{5}{W}{W}</t>
  </si>
  <si>
    <t>89504E470D0A1A0A0000000D494844520000003C000000140806000000D1035E29000000017352474200AECE1CE90000000467414D410000B18F0BFC6105000000097048597300000EC200000EC20115284A800000050C494441545847C5576B4C1C55149EC41FFE325508A5D21A02158B8FD8D6D656A91AACDA626A7D841A8C4D6C1A5C856A259B52C5581B0CE98FAAB4A1C1C41A0C5A0D46341021565ACBCE947D038634646707D7578C696CB53E969D99057F1CE7BBEE1D6666072466B79EE44B66EECCFDEE77EE3DF7DC7385F92C1211974747C4ADD180583FEA179B1882926734206D1FF5FBCB32BF2DDA54F5EBE57A4AD96AA03E3DAD344DFF39D9148B0D37A4D5F8765D9FFAFFF8C645B130EA977A0DE768214483922F1C164B33DDE6B56452299CD194DEB4A610473C768676EE7C8C2EFD3261B6A555C5A7EBF1CBCB17098AB591A074110E854786E9EEBB36B9A2EACE3BA87C65399C4E46FCE27399EE59A6AAF1DA4442FCD52A2EE8FF94565694534BCB9E397119682925A9ABF2E5E183B3D6157CFFDDE374D59225F3E2A16D0FCEADB85FDC97A1310DE230686BABD72662D7AEC7597F88FCF187A0ED1B87968AE7970F61CC5796E3A5FDFBA8B1C143EFBCDDE98AC1BEDE39878392361E145765E858D8A535F922426DC5752B283125D2D8D8001B1CA2F8A4B5B535B3B6DA1DDBE8A65B2AE9B6F5AB69EFDEDDF4D5F8A09E4E2A79E313DCF66C4DCD16EAF9A0DBD6F62F08F97CBE2BC0C7F7D8F0991E530C70E8D08BD4D373CC7CF73CF324A592315A5559C1DE3B3BDB98E00C424479E0433676114FD7DF50C1F63180D50C88A7B3FE71221C14EB903DF920131327A9AAEA762A2A5ECA044008F65A73F3B30C5EEFD3A63800E22D0249D3E49CF309387A9CC2FB3FF988961617B3E45458546412AC5DBB868E1D79C3F6AF0D01A90F478575102012EE6742B022D71416987C7886C8D2B2521682DF7D3B62EB37A34DE59C4F60E7AC4378DB6B0719013231421B8E63023831F6B6B30F43403A9FFA7DB2DE3AC8A9A113D4D57598AD84559C15D8671F9E38CA1CA9DEBC89FD9FE99F733E215350D884B71E7C8501E1CCDBBEFC62801ED872BF498AC465EDC3A1C83E2F66F9ACF4B1994181C6C6A7CC6727F87F3C54E108F62B44E69ACF0869C9EB26DC0DD8C7086B90C079B77F8C6CEAB526120E2414671B87F51B322B8E1EACCC3F85446EF90443A4C7297A21BCDCB29F1121A939BFE168D3D5B80733C9F7173225064452E1229CE089E7C08117E8C2CF636C25FEF8ED1CC5264F5DCA359FC06A6387F085F056C711467A6D4949D6B748403A8D5A160300BCD47BAFBB9D2519B7308430645ED7A2418DE79CCFD8C3FE32A7F085808204C4D5D5F7647D430244E16E1D0433CC930B44623F025805AC14420EDF6E5D7333D5D53DCCEA62DE574FC939E7C3B92EE022E014EF065E5F83F0F93D0DB66F11BF241B85C795E043E1CE0741A6C4FF4820784668E21DE8E868CD0A4D9E5C34559689BECF0B9F805B0F2E025607DC80E308241B366EB0657003B3C625622323330CB7946F1267A731EB3813D107618681DBDB5F35C54C9E1B627BABAFEF380D7CD6C59C40D96814FDB3AA2AE78D8F196E3DDC01141E3886F00CC75062228441BA6EFD3A1A1AECE78E324443D2EB191AD3704B81200C88593EFF5384094448A2D007D7238FD6B0368EDDF54FB0D2704657F2CEC70CB71EC3010DE10AC72A6FACA4AB0B0A5801B2F9BE7BE9E89B876D8E1A9885B3BC86761A6E295A4AD6AC2200ACD4B2926574F2F36E5BBB12F7FD0571BC86765AAEF998E1D663381272389605EC596B18CF67B8A5188387B808CC386E33A88B791B803D9615762E966B3E6658315C04501BA35C349D34CE591C3DC8C63C412DC630C328DC51CB2612BE0BFC78C1950F4705B2A799501661FF9D4F10FE06905DBD7F10B499A10000000049454E44AE426082</t>
  </si>
  <si>
    <t>Angel</t>
  </si>
  <si>
    <t>Creature — Angel</t>
  </si>
  <si>
    <t>Flying\nWhen Angel of Glory's Rise enters, exile all Zombies, then return all Human creature cards from your graveyard to the battlefield.</t>
  </si>
  <si>
    <t>7.0</t>
  </si>
  <si>
    <t>aff7557c-2e85-5bda-8231-d8f1e46b43c8</t>
  </si>
  <si>
    <t>Zombie</t>
  </si>
  <si>
    <t>Magic 2011</t>
  </si>
  <si>
    <t>89504E470D0A1A0A0000000D49484452000000250000001408060000000AB8F40B000000017352474200AECE1CE90000000467414D410000B18F0BFC6105000000097048597300000EC300000EC301C76FA864000002C149444154484BC5964F888D5118872F5958CC621694850565A1CC422164168A0565414C280B8A522C88421612354993052545920D2B8A429459500A5194110B4A51A6508AA2789E73CE3B1D9F9BCCA8EB57CF9CF79E6FBE73DE73DE3FF7B62ADD841FFF91679034AE8C53E105F4C167273AAC09700596C36038B51796C02A38EE4487B50FFA6122AC0FA79EC0007C87F34EA0C7D09DCD246FD31385AEC3BB6CB6BEC26C58903EFDAE219899CD117D04A3E2BA87E1065C83C990FED9984E814BC53E0B4D1D833A07D640ADC5503F17D75B062AE64C93EDD005EE13731EF83D2C85D666B80FDECA1788978D712D9DFE00F15CB642682ED4CF2C1C1D757315F36E3ACD09144EC90C304AFDE3F9B30806CBA4310DBD2A63C8501DCC669257EF7B21C35D17899BDF069DADA5B307B2F98B0CFD43E8D5A91EF804CD985F2C639C4A9D8070E402982B21F3F17436C7A439F0147A74CA1B7A03B3A096A7D901F68F70D88D6D1BD3C11CF079EDF41130E9C722D3C79BEED6A9A8307326649836C13630A44721340C86F62E98FC1232C4A3B9ADBA9A55AA669D6A2AC2E0E6F1D20A30696BAD2EA3CFBCEDD0A932D6AA1D0FF542B382936AA72249ED3F86D3CDEAD0EC2963287A948EEFCF669279712F9B4987C030D7B2A7D993EAC252296A3AF5125CF8B513E85C19D7963164354DCA6692E10BAD83FAD999322A6FA4299D8A56118A463AAC539ECC24374FB42F836A96B28EAFCC66D2D5322A4F6C15875CC38E3D1A3D07D718D2294FAC03B760279853AA3E6DA8AE50C377279B690C5B998FF3E041FAF477326DE683FD2E5DEF37F0FA3DB15F0B1B613744B70DA2CB7B6B7663DFB3CB9B0BB60DC3E8BBE2415DABB9463BFC9A51AE95A2E1066F6103B473A4C62F6E1D3859CDC57CFD79B4580C71395DF12BC19F0DC6734BB1FF249B63B36AFE5536DD5DE081FBC2294BDF2B5C08E643A765B41E81DF16E6D688EC1BEDAEB653949FC3ADD64FB65C0350FB2B77310000000049454E44AE426082</t>
  </si>
  <si>
    <t>Token Creature — Zombie</t>
  </si>
  <si>
    <t>011a9246-7f7c-50c7-ab99-3fc13469c13b</t>
  </si>
  <si>
    <t>0.09</t>
  </si>
  <si>
    <t>Grazing Gladehart</t>
  </si>
  <si>
    <t>Zendikar</t>
  </si>
  <si>
    <t>89504E470D0A1A0A0000000D494844520000000F00000014080600000052C76712000000017352474200AECE1CE90000000467414D410000B18F0BFC6105000000097048597300000EC300000EC301C76FA8640000011F49444154384F95D3213305511887F19D618C208882200882200A82E803F80082200882A889C20D4616CD28822888A22808A21945100466789E33F3EE1C7B5FBBF7FE677E7BE7DC3DEFD93D7BCE697AB2843BAC95D614B1E0193F78C52626CA062CB0307C601BBDD9821DEBC2F0855DA4F1C627B2C2E00087F8937D78232BC89CA0E418598721A3192E6F98C33A6631946F5CE3C2C68A17E2BA9EE21DD993FC1E2344FFF2BB871BB844661E477881452E9B735C8459C525DA79DFC28E0E12EBE91476E060C6C1AFE0877D443BC565D4AF7B8F18C422078D7B16C75BB6394074084FC97F7E97343EB1DBB9E660318DB1F805FBB6E7E00171FB65C56798280FA80B5DB67F5FB71BCF737D48068F6337B1E7CF4B6BCAB809DC140BA53596A6F9056B0E7E5256C304C20000000049454E44AE426082</t>
  </si>
  <si>
    <t>Antelope</t>
  </si>
  <si>
    <t>Creature — Antelope</t>
  </si>
  <si>
    <t>Landfall</t>
  </si>
  <si>
    <t>Landfall — Whenever a land you control enters, you may gain 2 life.</t>
  </si>
  <si>
    <t>5ce32715-8dee-5c47-986a-88d00e87c506</t>
  </si>
  <si>
    <t>Plains</t>
  </si>
  <si>
    <t>Masters Edition III</t>
  </si>
  <si>
    <t>89504E470D0A1A0A0000000D494844520000001700000014080600000066BEA60E000000017352474200AECE1CE90000000467414D410000B18F0BFC6105000000097048597300000EC300000EC301C76FA8640000014149444154484B9DD4A14E03311CC7F16E99402026F70008040281989898D8032070181E00894020704804627266C91E0081984020C882C0902010F00E13904002DFDF764D6EE5DF6BEF7EC927BDDBEEFEED5DDB6BB974F6708C03ECE0050B4CF18146E9E012DFF8352C718A4619C32A1A3A43AD0C6115B27C6217D9798255286686AC6C21F69E63DE90953EAC02295D6CA45DB4E5FC146DDD7C156D65B6618D4C13F7002DC1F0BF5764670E7FE3334EA04E15CDC921EEE1AFB94676B42BDF71B43A736E1F17EB437785C1FAD08DF0887FEF3B15ED50ADDF5B6874EA4C51AB738D5C9F84463947794986C545FFEB95682059D1BBBD832FE059C53D6DBA1E2AA3C25A11E1CD52555CB462A21DA8B026C7BA5152C525DA81BE0FD60D5E4E71D1936FCC8126CFBAB02CB7B8DC60153D86B5EB42758A6B1569AFB849F1434A9DE270F33FB25CE4EDA83354C00000000049454E44AE426082</t>
  </si>
  <si>
    <t>Basic Land — Plains</t>
  </si>
  <si>
    <t>({T}: Add {W}.)</t>
  </si>
  <si>
    <t>d54b922f-006e-59ff-bfeb-f96f3278fc7b</t>
  </si>
  <si>
    <t>Glarewielder</t>
  </si>
  <si>
    <t>Lorwyn</t>
  </si>
  <si>
    <t>89504E470D0A1A0A0000000D494844520000000E000000140806000000BD050C2C000000017352474200AECE1CE90000000467414D410000B18F0BFC6105000000097048597300000EC300000EC301C76FA8640000012649444154384F9592AD37064114872708822008822008822088A2200A822808A2206A822808E21B044114057F80200882208A8220083CCFAE3BE7DAB3DEB3FB3BE7D99D8FFB31F7CE94119A83E376384E87F009ABCD6CA0CCF602DF70E3C25069AC93987501A66A062E4187AFDFBF1CC0BFF278B710C69334BE865E6DC32B84A1D9B6D2DC7AFF68098C160681D9D6D3DC4055BBF001D9418C3E0FD695D71B192D171F18C83D75076FB0091EBBD115749D9E212EDB46790DAE3FC12C9415886C6EDA7EA3669D430EBA0FCDC789190CD2D50E8483275B830D2827F00ECB4E3AD22937CC1AAB2EE0A81D5619355F78A63EB753B0589FD71EDC439F43B0088D8C606D0FE086C7B641B6BC1A213B7CD60E5BD941EBB0A3917D901EC1A2AD6B947C117DD73045A5FC00A36C6A4A64F2C3EB0000000049454E44AE426082</t>
  </si>
  <si>
    <t>{4}{R}</t>
  </si>
  <si>
    <t>89504E470D0A1A0A0000000D4948445200000028000000140806000000FF467FBB000000017352474200AECE1CE90000000467414D410000B18F0BFC6105000000097048597300000EC200000EC20115284A80000004AA49444154484B8D566F6C5355147F091FFC64706C733A126083014B7573820371E2749AA96384B1E970C0F8538B0C864D37DF6BA7914516938510020169BB8460A25132E308214B7086BEE7BA76EDB20F262633313198769B868F7C80645F8EF777D77BBDEDDEAB3DC92F6DDF7DF79C5FCF3DE777AEE6648984B93639693627A74CF74CD4F472C42CCFCC94D53A138D56645E2BD8D223C6DA5428D09C0AF9DDE990E15D46C0337F2DD0FACFF540E1FE664DB33819B5461919CA8764CC8A4C4F9BEB33DB1C6D21EC2B9E0FFB4767CFF752B8A79D063A9A3886BB5BE866DF07F4DB452FB175063DF277D09FDF5F2266B62762D6033B42435F9CA52757AFA64D9BABE43346F261226A9ECE6C5F61E9A0D19E0AFA1F043F6AA3735D6FD39F57FBE9F74B3E1AFFF428799A77717F2525C574BAA581134D85F587A9B061EF0FE454422AC66FFF48CF9697AF20281135FB336EA4811C32D3B7AF91EF2B2A2AA29F3E3FCE895C72EFA5AED75FA2AA75E5D4FA720D5FAFADDAC0C9E34FA48246B63F1CAB53E680C6C6DDF46AC32BCE0463D6A3D998B925E38E1F2B32777BE0087537D553535D35FD15D4F95182E0E4D0094E1664F0EC7AEF7BDC7763ED16BE3E33DCF378213C20FD69F96A6E20A053F7A12EEA3D75321F41201E894456C11F6A0E81FFB8D22749E113F8FAE34E4E1AD9EB68A823FC09ACE3A8E11F648DFD6FD07CC81FA7C1C155BC5B6D8271DCFAE17BAAA9799E7EB977B71082341D333BD1AD828C13903D90442DFE7AE10CED746DE2BE4516DB76D552FCCB93AC268D4E0D52621B6CF21ED5EFA8A791D055FEBB10824C82C6202576A4F2E15BEF012A7FA65492443691C974D03FA6719DB309E6F39EE1472B7E174870113A6747C2093F0F7EC8B3689EF350CFBBCB750E408AD8FAA29611E0AC40DF7D7383B6566FE5472B9E15449001029C4B020D82E3BCE2D9C7B385264127376F77515969098D7E729067ECD85B3B25416826F6B223B67C6A001C6D5DDD0BF268057209DE191BA5BB776E65BD03CC870C9F4A0E99A9AFAE94817371E0B56D52BC45A300C82A27C89C7AD400EEE34C1A94A315C825883FF1D5E58B59EF40AAF8F8CA90838C40DF44D05CBCB8B982773ABA567DFED9FB6FF2FD902A8DCF5625C8536BD6D09E9677A8A3BD2D0B2084CD4F9795C9EFE872756F62CA9AC06C15042F1CDB93155805BA15C28CF7D40C23A378869260823DC16A305AA10641A6EC20841A13453C4339A87BD17018FC82A05A53B9C01A0862048A67208D9280CCA0565321DDBD2CD46CF0AB81EC00427052B9B1D2763D11B5E698503FB12CD47A0404D5AE2C04106F7CE2C853417DEEFE8DB3DC9F865B0906BF5D6081A3470E49479189F1DCF5257669D8C19D31C3AD04831F9704B1E7FF001D44E670CBB91FEC5F4A5F33A43F6EB895E4049540B7BA9E7349677EBD3F6B3D19B7CE67DC48C3AD04F282465089A8706D5C4763FEC3941C3EC54B426061C4BFC21F37DC4A58C0476A7090292EFD4FE505D6576CC0FA12C889199C6BB895C4864E3C7622090DC4C8F3EEDD9D196DFA12C8F119EC64B895B0C07195A41D5073EAB13A196E2573977D49F5B28AC68068A304D014C81A6A6EC5B13A193282C18FD98AF12549319D8394A05B45431462C808063F662B23B3288E123A072941B7CA86C8324DFB17407E7BA3FA25C7630000000049454E44AE426082</t>
  </si>
  <si>
    <t>Elemental, Shaman</t>
  </si>
  <si>
    <t>Creature — Elemental Shaman</t>
  </si>
  <si>
    <t>Evoke, Haste</t>
  </si>
  <si>
    <t>Haste\nWhen Glarewielder enters, up to two target creatures can't block this turn.\nEvoke {1}{R} (You may cast this spell for its evoke cost. If you do, it's sacrificed when it enters.)</t>
  </si>
  <si>
    <t>28a21701-487e-5d54-9bb2-22f862734499</t>
  </si>
  <si>
    <t>0.41</t>
  </si>
  <si>
    <t>Leave No Trace</t>
  </si>
  <si>
    <t>Ravnica: City of Guilds</t>
  </si>
  <si>
    <t>89504E470D0A1A0A0000000D494844520000000C000000140806000000B9F0DC11000000017352474200AECE1CE90000000467414D410000B18F0BFC6105000000097048597300000EC300000EC301C76FA864000000BF49444154384F63C0012CA034066082D2E8C01F880D204C54804B83031413057880F83710AF07F388001E40FC1F88DF837968009B93ECA1B4001063F8039B0664B713F447371083DC0F721208DF06E2F9402C02C460C008C40D407C01883700F17D206601E256209606E21A20060145208E00627510076412C814100069488130C1603B1083E44B80F83A880DF303282815801864BA36480008406C150813EC540D0813E15E647C1C8841B661C881FC0062100D70250D9C60540361C0C00000A60824A0251888540000000049454E44AE426082</t>
  </si>
  <si>
    <t>{1}{W}</t>
  </si>
  <si>
    <t>89504E470D0A1A0A0000000D4948445200000028000000140806000000FF467FBB000000017352474200AECE1CE90000000467414D410000B18F0BFC6105000000097048597300000EC200000EC20115284A800000046749444154484B95565D681C55141EF0C127291AD2145B89514A8B8A8AAD2DB42F5A1F5A90FA4394D5162C658D5AA586A551FB504BCAD242952891881422D52211A36C31C59AC6666792C9EC4F120925ECECC4D52A22C1C6D6B69B9D994DFA70BCDF75EEEDECEC6C9A3DF0C1EE9DB9E77C73FE955A92C9A8ABB3A3EAF6EC981A1DD7D5760E436B1B1FD3768EEB7A8BF7DAB2C5B67F59ED96ACED0CD1F2BCD53E7F7DBA3D971B7EA36CE777BAEECCF2F54DAA6A4356D7FA19195A0A59434BA6D36AB377ADA6148B56C38263F5971D8B04F2B9F3B47BF7F374E59F297956B6ADA4EBE697D69731D4D68CA1CDF989A44787297EE43035B7DC4B6712FD4192C58CAEBEE55DAF12DBCEB7160AEA653F3943FF8EEE5F7B1F1D3CF8E64D721E9C9255746D335C1FC8F98D7FDAFD116DD8B881563635D11D2B567004094AE8EA014F8D149083D1CECE5805893D7B5EE4BA40F2CF3F8C8A67024E295FA90F610D7A6E6478903EEBE9A64D9B37DD9AA0A1399386BACE53C7C35A76CC398472CD3D6BA830A3D2C4C400370E52425F3CDEC1CF5A5F789A1E78683D3DB6F111DABF7F2FFD3C79C62D172DA94F592AE7E0C965100452C964F236E81339377CBE4FDE058E1E7D97FAFA3E91FFDB5EDB45A5628ED6AD5FCBFFF7F4C4FD9E4C11317DA8D6106312202514DE8220A50D35826A1546A6A6CED2962D8F5363D34A7E1F44907B1D1DAF73C462AF4A7200C8FB0892E3981105AD24CC98403D04590B4AA095F88D0099F4694E041EBCB3E12EA90FBF41B2B9A59987F8E26FA315F7169C9984C2FB5C98310F75129C2D5D9D8EFA8D9C1B3C45BDBDC7B9E7FCE4FC40DE7D75EA63FE214F6CDBCADFF7EECF2A5E030E37C850174106CB4CC6E09511ED1B59B1C0BE7DAFC8DF4188F7442AE04390BF20C942ACC5C20C09D44B90556FCC5F08022888E09980FF192A19AD099E44235798D2B6A0113FEA218856E5DAF9367CB9C83754260CA228849E2044E11C3AF4365DFA7B827BEEDABF1728377DEE8AC2676B883181BA088E694398AD5EFEC851F6C5C92E5E2461610631547A68D3B6F3432C07F596306302F51044C161F0FB8DC023A2384012F909C06BF02C428A670F3FFA204522CFF0392DEEBA2533FA7FA366833FCC20E02778FADBAF43DF0132BA66B2467D3BF461F00B23A84CDC4501E037422FF475777756855E1487639B26D1EF5C9F82AD04833FCCF0979F9F90978FC53BAB9E7B58644BC366AE8C09B6925F0B23F3F0127A1CEE228C30DCD5F5BED4377D6190E75A22718206BEEFE51F81B1C8968645DB36A53E2ED84A8286C7D421DAF572442ADCF6D493F4D38F0315EF00D994F681A7460AB6121082417865F6AF0C278890635180BE679FDBC1CF04F6465FE2A36FC1B5AAF471C156C20C3A30FAE1F163159B8C40436323BDF7CE01416E11E4C40C0E0AB612A7643A7E12003CBBEAEE5574F6879315E7563E7903E4F80CAE25D84A98E19447A0269073FEB0D6126C25CC784A908087B0BD604E8B3300395715D65A028F60F063B6627C4952ACCFA195A05A45412C47E0110C7ECCD6422179E9E6266DCEA195A05A65415488A2FC07E0A259714A1314CA0000000049454E44AE426082</t>
  </si>
  <si>
    <t>Radiance</t>
  </si>
  <si>
    <t>Radiance — Destroy target enchantment and each other enchantment that shares a color with it.</t>
  </si>
  <si>
    <t>5e6a3099-2597-5755-8a6f-67f1569a3b8a</t>
  </si>
  <si>
    <t>1.51</t>
  </si>
  <si>
    <t>Ouphe Vandals</t>
  </si>
  <si>
    <t>Fifth Dawn</t>
  </si>
  <si>
    <t>89504E470D0A1A0A0000000D49484452000000130000001408060000006F550674000000017352474200AECE1CE90000000467414D410000B18F0BFC6105000000097048597300000EC300000EC301C76FA8640000015B49444154384FAD93B12E054118851737D1287424140A8542A1A7109168141E40E101140A8552AFD078031151A91428491448241412850809890885A8249CB37BFEC9B96BEF5E095FF2E5CCEC9D999D7F766EF64BE695FFC233EC2D9A7F63147EC1D9BC5743A7B28EE152B6A443E98CC031380327A02FF2008FE13E3C8357B09605C8B2DAB90A9B60998DA29928F75BD1AD0C1A5CACFCD9C795EDE01138AC283B82FC628467C56B50555695D3900CC11B3656207F78549EC045B8092FF52CBC87DB7009EEEA59CCE3F8FC8C4EF580BEEA59D00339816F77FC45B7305D6A96173FD075E82C2B03F67DFC1C6C8267E7030E61C0DD052CD3C771573FE06E7C10E58E1D96521EC3B3CBF1BFD3B9D2995406E53E49F37CB10BA5D3A70CFA954E9AE78BBD2B9DF2E4AAC5D23C5FAC8A416530A0743E95B58BBDC19DA299D8834F453391EE64973278811F9057610D6E40E71ADEC1297800B7942835CBBE0100CB65437429A7810000000049454E44AE426082</t>
  </si>
  <si>
    <t>Ouphe, Rogue</t>
  </si>
  <si>
    <t>Creature — Ouphe Rogue</t>
  </si>
  <si>
    <t>{G}, Sacrifice Ouphe Vandals: Counter target activated ability from an artifact source and destroy that artifact if it's on the battlefield. (Mana abilities can't be targeted.)</t>
  </si>
  <si>
    <t>cc6ce5a2-49d0-59de-a17e-362f47b67773</t>
  </si>
  <si>
    <t>0.54</t>
  </si>
  <si>
    <t>Syphon Soul</t>
  </si>
  <si>
    <t>Onslaught</t>
  </si>
  <si>
    <t>89504E470D0A1A0A0000000D494844520000001A00000014080600000093402DBE000000017352474200AECE1CE90000000467414D410000B18F0BFC6105000000097048597300000EC300000EC301C76FA864000001DA49444154484B9D95BF2B456118C76F32180C464531188D068341214AA22806A33FC0AA18147F01A3DD60346042284531280665A02803451928BEDFF33EDFEB39EF3DE7DCC3B73E3D3FEEFB3EEFEF732B7F50BF59AFAC5C698D80E6E0A67401E2FC35680C6E558C27825BAC3570047CD14EF00D669328A80F30E757C541B6C07612393598F5625116D9011A8CABA426CD52F287CD72904D300558A3AEB8459C29D1CA384BC61F1653F780B933A095A8DF0BA82B365207C2C1DE5CBC08E65C4CB87A1F9316902BCE36EEF05FBA4155F119B59B95BECC96956F9FAA150FE40FF109AC06B794D6C1797013A52E44D18A0EC00AB84AA2623D8005C03E529BD944F1401D66A943C0ADF0B3CCD32D7807EC23955ED1A9D9F8DCB2A436EA4315F6DB07BC31FE1DF033C3DCA7598F727C5F92DEE15D1299F256E4F7BAD5EC0618023C8B2530069601D504F46ED4B770459AE17C12A5DF153F2DB17A807ED7BBE10755B9CCC1387335E86502EA02CAE5BD747D49069328BB4E6AEB744B787B74D334A34BF01ADC1AC55BC5F77713DCDF9BE70752C363A017AE86BB66B3B467D65FE79A73D2403CCCF1E0564ECC72ABA6839B7A1FB1547414A8B06A0C80EA96F3BF865751FBCA3F321EB272BC20FA6BC8D32360DB67C07A5C9DEAE1B7CACC0F8F248EA752340BF70000000049454E44AE426082</t>
  </si>
  <si>
    <t>{2}{B}</t>
  </si>
  <si>
    <t>89504E470D0A1A0A0000000D4948445200000028000000140806000000FF467FBB000000017352474200AECE1CE90000000467414D410000B18F0BFC6105000000097048597300000EC200000EC20115284A80000003BF49444154484BAD96DB4B54411CC70FF4D053188A49569876332A5F8AEC8EDDACC80A2990442A0A23EC221152BD442108661486D155BAD2BDA4240AA33D27775777C5E7FE841E7AECA1875EA6F319CFEF309E9DB32DD10FBECB9E99DF7CE737BFDB8C1327998C3B2B3BEC6ECBA6DC236349B75D23EDB58EA5BC5D63C96465A056B0FC37BE71D72DC926BD97FE6265E2F3C7F793BEB3692F313AEA5604CB62C5E41B78F54CDDECEB559D972EA8EB577BD48BA78F54CA1D2A9C2F9376F766D2DE0F3182C527DA8EA9D973E6A8694545AAA4B4546DDABC510DBE7D29A43F3349F778B03C47840FC396AF58AE39A2985E5CACF6ED6D549F0607F2F341268681D1E12F6AFDBAB59A60CDEA55DA300C84746679B9FAF0EE4DA8EB87EB4C40138AF0F5DFBDA99E3CB897635814075A9AB591563EC2607A0E1C3AD8A2962C5DA29E3EBE1F8EF17F46599926DCB3BB211CF7F16B3CED2E0AE8423E3C87F71FF6DFCEEBC195B52B555DDD06FD7DED4A770E9F13CD39BC03F1EBE74FC2314163E31E4DC47C646E2491484C11BEAF5F3EE903A25B513957AFAB5E5C1D1A1607A2137872828FEA8A6CA4BD47EE45C7414F77972622DCD1B9D1B4DB247C673BCEE46C5E28582B7C0EA56F6E02383D888E03AA0F12F233673EE5BD153E5280F06DDF5EAFD79C3FD711169B097470C69D5B7DEAD489B630E785CFD17DC9DCE42FC0BB109F6E3F993B9FF2BE0BDFFC850B746199F3A48CE4B000E34D9D23870FEA71DDD67C3E2768989394E240D2135A129A2AB7E9C0C71C9EE8EABC98337FB4F570681CC5119D670FE6A495F921F64E47956C20E43535CB74E227863E587580F051B5F437D908E01529163C8C8E994AFC273238411AB8E3FFB48A421CF008E18230EC551604AD4AF3DDE8BD6ACD39AA94422327F172741E4891C0E7E8BBD0D8C4064EDDB073476CE10832296FC8E4431F43497E319643D2B8E98D140363CCA143A198D181CFCFC164A50CD840D2625C34E7F88E7A73E22160E793E4277F093586D00918232F6D6BE09B68D4FE456D53C0D536E300173ED7937C6792DE37BFB14E8DE3231FC55B5BEBB7A8E6FD4DAA6A5E951EB3F55C93CFE115C1456D2A601C21A0AA4874012F10E66817842FD0FFED5FF2B59ACC171B1F7D91C2C040F29082A358E0310F1A60129F165E11A2407BE064F940A5494E6647BCCB014D28261F209C7811430933FF093B8D9C6F53D7C6A7855784AFF00BCF71DA7C081E0BBF21933B382AC2C7A68414A3480D0C23128C136EE3E191974F0BAF085F712458100B7224270C1631F96CFD93DB85622B944F0B27E0A2E62EE4BA1132FA12A54F7585095C80FC3B9FE3FC013CBDCECF803936680000000049454E44AE426082</t>
  </si>
  <si>
    <t>Syphon Soul deals 2 damage to each other player. You gain life equal to the damage dealt this way.</t>
  </si>
  <si>
    <t>9c015664-e6e8-53a4-ad48-276138b18098</t>
  </si>
  <si>
    <t>0.05</t>
  </si>
  <si>
    <t>0.47</t>
  </si>
  <si>
    <t>Gixian Puppeteer</t>
  </si>
  <si>
    <t>Magic Online Promos</t>
  </si>
  <si>
    <t>89504E470D0A1A0A0000000D494844520000001A00000014080600000093402DBE000000017352474200AECE1CE90000000467414D410000B18F0BFC6105000000097048597300000EC300000EC301C76FA864000001D949444154484B9DD5314B1C411C87E18DA448616191C22E1629052D2C02B1B04861A190C2C24E0B0B0BC14AB0486121A448201F2085040B0B4B850414AC44C1420BC1C28414A630282410218104CCFBDEDD5FE6F676CFBDFBC173BB77373B333B3B33FB20AB963E3CC3738CE011D27CC63E76F1CD1F3A4D2F5EE32F6EF10B5B58C01C56B08EDFF07FCBAD610095F31217B002BDC14314C50ED97874E807C6706FA6100DC84AAAE405BC6BAFB1D15994661051587BE824561ED76A188539425AB0A3F1260EEF39E2FAC28E3AB3D2460ED04DE691D633D1C347FA80171BC788D3B59B1C368E91193F3E22D6453ACB348E7CECD80EAEB001675C3E968919A83317AC273F1BF2CF631BD7F5D3EC0FBEE309D2D9B484B7F5D3A67C45537DD16AB7DEA1283674572EEEE8132E3181C788ACE24BFDB416B7177BF9BEF6AD9E4978E7F9586FE49F1F698FDC6EEE7A01176E51EC903B45D9FFAE9DB49E96D9FB146901F7B26EB28C7BEB71814501C7B96C7F6B9763441DCE3E6FA0252EDA740B2A1B9EB2B8ABC7B52A9B2CB58C221AF3E8F72AF1D9B8BEA211D768D13A6B8A7712EF191B735B69378CBE56D291D844E561EF87B71E0DBA59BEC2347CDFC8EF6788067CC636DA944E5EE5BE9386E03A92EBED06AE2D9DE2034E904B96FD079746A4FC21D5BDE80000000049454E44AE426082</t>
  </si>
  <si>
    <t>{3}{B}</t>
  </si>
  <si>
    <t>89504E470D0A1A0A0000000D4948445200000028000000140806000000FF467FBB000000017352474200AECE1CE90000000467414D410000B18F0BFC6105000000097048597300000EC200000EC20115284A80000003C249444154484BAD96496B144114801B3C78928841831B1AD74834284ADCC535E6A086A02006515046DC354651114509081A512291B8E216E28A82224AC4E9363D9399099EFD091E3C7AC8C14BD95F4DBFA6A6A73B3662C14BA6BB5E7DF5EA6DD556DCC8E7ED89857E7B632163EF1D74ED635AB24E6A30E36C1E74DD6A5F2DF1F86FBC6FB65D59709D97DE62359C14B24E3A97B3A7F8CB6287C97BFBEA99EAEEEA54ED972EA89BD73BD48BDE272A63F725E7E5B3F6D67CD6F92946A4FB3EA8C307F7AB858B16AA19B366AA0D0DEBD5F97367D4D72F9F04FA2BEFDA87FCE5654378180663544545998C1E33466DDBDAAC3EBD7F3B3C0F9818863CB8D7ADA64D9FA62AC78ED586991BAC5CB13CD0D3E2DA6D3E2618C283D3F3E87E895151B26B678B36329247184CCFE1FA7155556AEF9EDD81B790A3870F06C0005694A16F597BB68F0B78786ED2E4C9EAF1833BC37AB07E71BD5ABD7A957EBE71ED4A19CF0AE75CCB8EED3A94E63BE4F5F39E004CF843F303E9747A84F03858EDDC5AAD3BA57AAA6A6E6E5235736A82F571327EC204397C91477585368A958E2B9735E4C0FE54E47C2E6B6F17DEE9536D659B2715D60ACFA2F4CD4DE284B0E3897DA93D91F35A32CE1BE1356DD9A4C3D7D8D8A02BF6EC99533ADC6163D0A110EFDEEED229C4F3B2A54B029EA5FB92B9494872FD5FD4C913C775B16020308C8DD2F5803F8447D5AF5DB7A6649E1421B74D0331DED421EF79FFF9E33BCDB3FC8659A224429293C06CC6A9C80F16636C181C88C7E35078E272FBC5B2792220C6C10ECFB32773EFDFBCD4CF5E889DD6B09208C9EA5795160A8316038016244DD614E151B5F437D908C12B522C1C1A1DB34BF0BBF5D811ED00615BDE9F942824113C271EE87DFAB064CE6F559A77ABF37A64CE11058A8D9CC4CBE179448A049EA5EF426393BF09E19350D3DFCCB97CC6E93379780443497E3116AFD1B8594BDAF08E39742814B37DC1F372D0AD9617490400504E6F8607297E0844F324F969C884DA4C97B8CE00AFD8A8BD8B3A4A214A487CD9C87C9F779DEF5E631D19C7231FC55B5C9D5C06E431EFE80C617D9367F115C1451D560A0B6D82F0020E5D75BFBD4B7EB18679238A475FA4303010465DDD3C5D2CB41DEE6153D793129E1E7C4530498E715398058031E408B0050BE66B43650E290C38577D4C3084274238F12286E27D7E13761A79381A513C3DF88AC8F57F1EE27B0D4368CC9C96FF345DDE730003F61B98DCC1E101CFD31942979062140C0C93664FB8313A094F0FBE223CC5017F41AC902365618818262FE2034347830825E5E9C109B8A8B90BB96E04465FA2F4A9AE2081138C7FE759D61F6C1EDB46E56F9C510000000049454E44AE426082</t>
  </si>
  <si>
    <t>Phyrexian, Warlock</t>
  </si>
  <si>
    <t>Creature — Phyrexian Warlock</t>
  </si>
  <si>
    <t>Whenever you draw your second card each turn, each opponent loses 2 life and you gain 2 life.\nWhen Gixian Puppeteer dies, return another target creature card with mana value 3 or less from your graveyard to the battlefield.</t>
  </si>
  <si>
    <t>1c1aafc6-e078-5951-a22e-4d386aef8140</t>
  </si>
  <si>
    <t>Hypnotic Cloud</t>
  </si>
  <si>
    <t>Invasion</t>
  </si>
  <si>
    <t>89504E470D0A1A0A0000000D49484452000000100000001408060000008462BD77000000017352474200AECE1CE90000000467414D410000B18F0BFC6105000000097048597300000EC300000EC301C76FA8640000017449444154384F8DD4BD2B45711CC7F1EB210F25190C9264344A068362B031180C06A4188D16852C62E06FA028A3C120B1519241B1C862A0140621CFC5FBED9C7B9D7BCF71F2A9D7BDBFFB3BBFF3FD3D9CD3CDA4A40E1BD841B31DFF4D29AAE0CD5FA123548452D38F6B34E111CEBE0A8BD4E216E348CC3CB2333684DF63E80BDBEDB808DBCB70A5B90C227BB35C81DFEB70B0ED0E5C866D4DE127EED7E5662FA817C791DFCEEC0AA2633EE0443FCB8C5ED001DA308011B4600B85E366917841CEE0CDDD7809FB0A9D16F3E18125C54372895EFFEBF13515F1E1FE1CF88A156CE30C77F80C794EF285EA84DBAE41A6045DD8470FCA318419B8BF37D4630FC368C4214661E16AE45E53F75BB8578BD81FEDF36C266062AFB807E680B402FECEC5438C6617734133319E9172292C6016701534F3E2214F07CDDF241570E064D0CCCB226285930A9835F828B379C252D0CC8F8FF1AF54A20CF7B881FF0FB1A41538472B1EB0098BC49256E019EF70DF2776C493C97C03C95E79E1BAF0FE280000000049454E44AE426082</t>
  </si>
  <si>
    <t>Kicker</t>
  </si>
  <si>
    <t>Kicker {4} (You may pay an additional {4} as you cast this spell.)\nTarget player discards a card. If this spell was kicked, that player discards three cards instead.</t>
  </si>
  <si>
    <t>413e11a5-35a1-51c7-928b-219b4453a094</t>
  </si>
  <si>
    <t>0.62</t>
  </si>
  <si>
    <t>Crenellated Wall</t>
  </si>
  <si>
    <t>Mercadian Masques</t>
  </si>
  <si>
    <t>89504E470D0A1A0A0000000D49484452000000140000001408060000008D891D0D000000017352474200AECE1CE90000000467414D410000B18F0BFC6105000000097048597300000EC300000EC301C76FA864000001A049444154384FA5D5BF2B45611CC7F1E3C760500C863B280683C160B031180D4683C160B0DA0C06833230287F80CD42599445B1888D415D8322122549124528DEEFD3B9D773CF3DD7BD379F7ADD3AE73ECF739FE739DFE7DC86A83CCD18C520FAD189569857DCE214FBD8C13B32E3409338C7778DEE30871694A407796475AA8593E8459C213C20ABA1FCEE20E18CB2DAE8058E154D2537420EB2801CD2E9C03C9E90EEE7F2E38CE308DEDC849DAAC536B6B58FDB358138E12C0A4FB39E847D724D7C38331FCA332E516F3ED08769AC598737B0D68C7576820B5CC39AFB4218CBCBF65DE886B5DA8E62AE106EECBF34F211660F4B388EAFFECE1996B1859255585F8E3E125FFDC653F389B259A0581E492C6AEFBB7DD17672E18349C7720A07D22CD2710F2DECBC0F651136F24178D81F61DA300C373D8C2F8643DCC757A5ED36BC3186F42CD2DEE00CB2BE0BCD20AEF84A7B25CFAF65E2B2AABD408AABD9455603B99C42DCFC4A3FEE1BA7183B65355A473AEE79565BABA224AB081BB867851314C6B36B79846D5D61593C52D6974BF2F5E5DF40A50CA030E80A92377614FD000DF6D12A48DAD1E30000000049454E44AE426082</t>
  </si>
  <si>
    <t>{4}</t>
  </si>
  <si>
    <t>89504E470D0A1A0A0000000D49484452000000140000001408060000008D891D0D000000017352474200AECE1CE90000000467414D410000B18F0BFC6105000000097048597300000EC200000EC20115284A800000021549444154384F8D94BF4B1C4114C70752A40A8A62C4B330E76FF107B1D1223FB0133116414108920B8A20FE404444D308922E45209080D8A408445054C22188E0CEC4BDBDDB3DACF32758A44C6171CD38DF7167983967CF7BF03D6EDF7BF3D97D33EF0D49B230A4CDD1251D8D7274AEE8D355A980CD17736CA2E8FBE938ED61BBA2B43EF2D98158CC2B290A985728D0967899DBC2804E8601FBE7027CDAD9E64F6A6A787B6787F609E8FFD0A74BF172DB003301A64E7F1FF1A654EA1E50CBA7EB31E6CE5066D297412323AFF9AB972F928101BBB90A68578C23A4D29E7DDCDAE0EF67DEF1E5C5854A4028EF79DE23799A8EA0D4C9E13E1F18E8E77F2ECEAA01F24240A7095AC319BCBCE043C3437C6FF79B7CAE06285AEA98C83E7304D7565764A9EAB94AE035891BD60AFCFAF98377F774CB5295AF2AA0902899AD990E943A38F85C97AA540ECC1E1FF0B3EC89950311F1336F3AE6663356A94AE540BCF4FBD72F560E5A8FC8D9349CB57575FCCDF8189F9A7C6B0900009F3636EAFFE802736D9863E7620FFDB4E9C497B8A41A1B13A37CD81E732D0EF8AEB1C5A09B01970000B0B5ADD5190F7DF65734F66309C4AD814177252A7DC8CC4820E49D9F96C74BE29218963065B835CA92B4709ABD7DBD1AB8B9B16EC5A33CFB1C636CC3AD21126ECC642CAE6F68D030A596F433C44B80C9194E32DC1A22316F425DC29EDD2B33C9F0460C3A6613E3A421A2CFD01A384D7D009611720B6BEEAE110FAD53BF0000000049454E44AE426082</t>
  </si>
  <si>
    <t>Artifact, Creature</t>
  </si>
  <si>
    <t>Wall</t>
  </si>
  <si>
    <t>Artifact Creature — Wall</t>
  </si>
  <si>
    <t>Defender</t>
  </si>
  <si>
    <t>Defender (This creature can't attack.)\n{T}: Target creature gets +0/+4 until end of turn.</t>
  </si>
  <si>
    <t>f1e4acc1-1bb7-57ea-9d61-edb3e803ab5c</t>
  </si>
  <si>
    <t>0.24</t>
  </si>
  <si>
    <t>Renounce</t>
  </si>
  <si>
    <t>Sacrifice any number of permanents. You gain 2 life for each permanent sacrificed this way.</t>
  </si>
  <si>
    <t>f4198239-6754-5db7-9229-4cc9e264151e</t>
  </si>
  <si>
    <t>0.31</t>
  </si>
  <si>
    <t>6.1</t>
  </si>
  <si>
    <t>Viashino Runner</t>
  </si>
  <si>
    <t>Urza's Saga</t>
  </si>
  <si>
    <t>89504E470D0A1A0A0000000D4948445200000022000000140806000000E864EF72000000017352474200AECE1CE90000000467414D410000B18F0BFC6105000000097048597300000EC300000EC301C76FA864000002A049444154484BB5D621CCCD5118C7F13B130441104441106C04411004C14610044110044110DE2008364110043641601304411044411004411004360113D80436367E9FFBFE9FBBE7FEDFEBBE6FB9BFEDBBFF39E7FF9CFF79CE739EF3DC3B59A2E7E1EFC09A81556ADBF02CED189ED4DB0787275D0E4FC2CE696F053A133E8663614FF81A2A223FC3C370AB8DBD0AEC96C937CF0FEC36B0998E861FC102BF83856BC1FFC1EE5058A66FA1EC3955DA1776AD37E7753BF445F0298880DD5C0FAF437F7F2D8C2542225AEAF6370D446C7CFB6DE0D09CE4C39B50939E05A13C152C7821D8C1D5503672A54BCEBC082275299857B605071C7FF51DFFDE30A79AC8D0A28F877EC151CED5B8B0BB59302E81BBFD563077A6C3C10E84CA4B213C3BB4E5CAFD50BB90B0478676C7AE1C5F1F13199BDB1FE840F06DE36553EFA6EA9321272A673CE978D07F171C41B78745B6073749DF6272C526EDFA7D70DC92FB44A879B3E31DD711722C5FD69BD3DDDBEDC9696F32F91EC657F673E0C49FF0CB407427B095331CF20D0EE87F080F025539E0E8CCBBC2599B58D7B9E3C8444CDBAE39CA7147D6935D923F1ADA22A13C70425F945DE5B2856F4DE5D69C0EF5C2872C52A196231CE885CE539272BAE615CEBE7E22CE05720CFA1C13A56E8F992C52858C87AE6A151D8E56E5ED937D7491236C2BCFE4956FD55C49AD1C685B47A4BC9F697C5D0BE767C2A2775594DC2C475A8B3D0DA2C589B1BDCD55B438B1416347169579D5553E704C719ABB7E51DD2E54445D618E5E19FAFD9AAB45223A27997F3730709EAEE9784755BE456143798EFC5DE8F6767E3198A756BD0CFD3DE4E142D5627423F4491BBC6FB2DBADFC588E19FF542C9485DD9662B3FF20753360F772A52F0A25C00D156D756465E28C242CA7E55277A4241556AEBEC8BD504E48CE059A4CFE0100D23DBEED3178950000000049454E44AE426082</t>
  </si>
  <si>
    <t>Lizard</t>
  </si>
  <si>
    <t>Creature — Lizard</t>
  </si>
  <si>
    <t>Menace</t>
  </si>
  <si>
    <t>Menace (This creature can't be blocked except by two or more creatures.)</t>
  </si>
  <si>
    <t>aa480225-6f03-5f0f-85af-41af75e515aa</t>
  </si>
  <si>
    <t>0.04</t>
  </si>
  <si>
    <t>Hungry Mist</t>
  </si>
  <si>
    <t>Homelands</t>
  </si>
  <si>
    <t>89504E470D0A1A0A0000000D49484452000000140000001408060000008D891D0D000000017352474200AECE1CE90000000467414D410000B18F0BFC6105000000097048597300000EC300000EC301C76FA8640000020F49444154384F8DD42F88554114C7F1AB180C1B0C0683C1A0603018040D4683D1A068301836188C16414130180C06C306C346150583C1B00B1B140C86150C22081B0C0A6B535050587F9FEB9CE7F8DCE7FA83EFBEBB7367CE3973FEDC6DC36C1D0B67DBEF1E0BD1A7F02A3C08CB16FE47BBC3C3B0D1580D77C39DF0327C0FD657C2BEF04F9D0EEB8D73612E1C0F17C2F9F6BC2B9C0C6BE173B8143615633C8B4E94A553E143A88819B915F606515BBB1CFE1003A2624CBE5CC7F391B0A3AD2D057BCA30270703E35FDBF3440EDBCCB00D75A80E5E0F3B83EB2E84CAA377FBC39BF022703E56D14B399B0FB5791A792C557AF024F43686DBED1F0598650C57432FD5B77E3188DE0D1F6FCF1FD6F5D697702D9C69BF57C281703FD08FF65B7AD77E1F856FE179606B2CBF3E939F71614AF27233A86AAFD74184DE39EB06FE1FDE07E5AF62C8CF563A11EC2D144DEB6CB8F2C720B2B7816ACC7AC951ADBBCDD35F8F13B9F2D16034C70D8A7128944795E3F546580C0A603A48A3F7D1C13B37D5AB93F02DF633DC23CFA41344D7BF33049ADAB3B61B65D1A19A92FE00EE059ACE9DC22896A6D6DC5233CA57C38C2A8EAABA2AE3AEE160E5CC8167C1A829A2881543CAFEEA105F0D876D2C4FD50AF0E9322D8703671C97316736950DBC0BBF3CFA40C88D22990A86E4CC35CBD838C3B3549B45358E531029678A5669E89D6E291E0D3A63FDB79003AD21E249017E6B187E02FF7AB661B296BF1C0000000049454E44AE426082</t>
  </si>
  <si>
    <t>{2}{G}{G}</t>
  </si>
  <si>
    <t>89504E470D0A1A0A0000000D494844520000003C000000140806000000D1035E29000000017352474200AECE1CE90000000467414D410000B18F0BFC6105000000097048597300000EC200000EC20115284A80000004C3494441545847C5575B4C5447183E491FFAD4684124827821D21AA98464DB7A41ADB4A9D6166AA9460D21D2764B8B22598962AFA134B4B4488A95DD85544D1777BDB47821D560C936EC4CDD5DD8253EFBDE171F7CF481075EA6F3FD9E3939CC398BA4396BFFE40BBB33B3DFFC3FFF758C5C92C9B0D2EC5DB63B9B62FE99240B10D2BC6526C5EB6792C9B5E6B1454B8C9D2B8DB2D0EE1116F4C758300044F950CB081FAABF9C1CFAFFF8EE3156984DF251699CB0E3AF3F6FCDFB9E4DF3C4F4345B6DFE2CA75C66BF145EE2E1D1180F8B0B1367C4C9BE36F1F6C15DE240CB7B62F8D6698175E0220F27226CF8E9F265D26C5F26CD1F2AA3522C2E8E1D6D152BCBCAC4734B9688C2A222F1FA1BB5E2F6CD5165F4A34C92B5993F77C8080BEDBBC8830F9512B575DB894761557999F8E4F3C38473E33F41C947D26B4F870FC62A4381E9BB9362FBB61AB1B4A0406CDDB2990C85C1205E515222C6FFB8619D95E17EC2A4B104CA0DDEF841D437BE25DE6CA815FECEA679CAE958565C24BA874F91215116CE2F1FC2D8EE59E083E62651F952A5B8128B586BF8BCBCB89808F7BE5B67AD4BCCDE4BB3174D3A0A3B78028AE98A2C844ADF06313219944A0667236C306F7C869EB3F01EC2F8FA6F97EC46111A1AF61219F6B5BDA94422F10CF8548E556FAE7228F1242825A58192EF1BEFF9508D35C5C9BBC85D7D1DE8EFEB252284B7BE379D6607513DA11CB0A17ABD4381276169C1F3A22FDA658662D0733E03AD4757FCEFC90982BE0E0C0EF41311F2DBB19FE237D12A503D73851F724BED5554AE13AFEDA9719C295DB35284C77E944A863CE733A8CFEA8A2F00781F241D8176E77E8A3F405F6CFDEA43C7A5E5EBCBC5B65D5BACCFF8EBABA916EDDD1FCF3BA7D0D6E587573CE733CC81C2A9BC0BC6AE5DA550DEB973075571B73318007A235F3B2E5C515642F9645F431B8187EC6B0A819E4F290CBDE69321CD3BDC14D78110AFAADA48953B111F773D03C8DED781F029285A665DB6BCA4987AA6F2841DAB2BD6D07FDF7E1E303DE2399F21956CD195D6016FA20FFB5EF68989DB63AE6700B4368C77987AEC9701C8235CAA179E5776F8C82B0094853158472EA21579CD67D06CECA2BC1D684575EFECC959C81432291EC72CFBC540C0520055B2F1E87EF2083E4309B50760FDFB0B5F3E0E5F094C48CDC70F89B3A3DFC9EF21CFF9640E27D7DA95D6E1FFA8998CD57316DF756FA3006270C745281EB8BCA3F7887539F2C8AE1C0085D4BE03B26079CD87BE6EE02160575CE1B3CE13AEC6023DDF7689C34D8DD6F74C92DF9783C7B3E0C3E0EE76E1AFF19FE71515E4A0DB3920CAC3F72389485EF80CBC7AF010B01B04633143A332E3B1A0F0FB9528ED61C40C9F1D50E7E7E42362139149C12B0583BBDBC5681D4A415459B733F2B773313694373E12BC7A94B1BD3DDD16492EA03DA99CCE4EF1D3268D2578A5A80B31DA9DEA6FA7DCB37B043988B07C3CEFDA950CE59D8F04AF1E69C02C3CBBEE858A05613E1EE660AC9AA175C12BE5FC9D815954594C4355AF6E24C5F496814A8A2A7AFECE993928A766685DBCE623C1AB471A3205CF2D04E4AC3D8C73095E2918DCF19F46CE41D9A6F603547CE0A143ADEFD3E7CEBE63FF38C2CE45BCE62381C7F010C06C8C71D13252F659B41E546355A01623F80FD34340CEB252D1072AD4D017E55A1CD5D32A288B90FFCE6718FF02C9A4D271CE7ADB3F0000000049454E44AE426082</t>
  </si>
  <si>
    <t>At the beginning of your upkeep, sacrifice Hungry Mist unless you pay {G}{G}.</t>
  </si>
  <si>
    <t>91556c5f-b11e-573d-a3bb-627dfa6c2926</t>
  </si>
  <si>
    <t>Vexing Arcanix</t>
  </si>
  <si>
    <t>Ice Age</t>
  </si>
  <si>
    <t>89504E470D0A1A0A0000000D49484452000000130000001408060000006F550674000000017352474200AECE1CE90000000467414D410000B18F0BFC6105000000097048597300000EC300000EC301C76FA8640000022149444154384F9DD43D48D65114C7F17F2F83438348844350434383830E92434263434141CDDA2694D8E81834384A445434544414D412110D4DD65082514310D2505060906090609058BFCF7DFE1724B2C803DFE7BEFCEFCB39BF73EED3FCC3AE879FEBB8183665FDE14770C8AD75FD43E1BFED59F8129E9451D3DC091FC3FBB0C3C4EFB6A56DDD36D2E916DB1F86C270DB1E080FC25C781BDE84D76135B047E17EA7DB34AF42D5454836E88F85EE20C47DE14C30BF10E857F718776DCDCF68A0CFDD70256C0FC7C3D7C05BDFCCED0E138137BEB31BC19EDE30E9B0D381DD0E33613638E868D8193E05B6188C4F860F613EBC0C57032BE79C0B5CFD160E07C20B6B32B8914904EF8C85BE1248416B21DAAF8C8A264B811E16CB940F0ED73A64BA6D2F873A6F2D4FC954352D56BD73A3D43BB82B1C0B47023B188CCDFBFE2E38D83E97343463346216EE0D7B02A169B31CD8F760ACE5BD75B5DEE859CC01E2AE610A87A76E56B064980A363E0CE67D37AE618AA8E87B36D4049C08F7DA31D75DE47097316307FB2E511256439D1666ADFC53C16D4A61305C08CF83D7E056023F0E5EC2407811D4A01262A30EBBD9E997276393DB3F07212AD4E27E4C9F97E6E946536B3D37A680CB023A70159E8910F485E476FDAA8FBE1AAB1500A5D5BD2D3F6B8126BB826C697BDA763CF4B5631B3C748922058FADC7A5F034FCD168A7DE782021C6FE00CC6DF817F437F35484A0BACF07E93796F14DD9B5507581EC6E604DF30B54739CE8140134E90000000049454E44AE426082</t>
  </si>
  <si>
    <t>{3}, {T}: Target player chooses a card name, then reveals the top card of their library. If that card has the chosen name, that player puts it into their hand. Otherwise, they put it into their graveyard and Vexing Arcanix deals 2 damage to them.</t>
  </si>
  <si>
    <t>66dae17d-a742-51b4-ba09-0b37d7c64265</t>
  </si>
  <si>
    <t>0.29</t>
  </si>
  <si>
    <t>Thallid Devourer</t>
  </si>
  <si>
    <t>Fallen Empires</t>
  </si>
  <si>
    <t>89504E470D0A1A0A0000000D4948445200000019000000140806000000787796BD000000017352474200AECE1CE90000000467414D410000B18F0BFC6105000000097048597300000EC300000EC301C76FA8640000015349444154484BB5D4AD4E04311486E1E14720100824028140209008041780E002104804028940902090C8C57101080406872541408244222081048180041278BFE97473B69CCE341BF64B9E4CB7D36EBB67BA530D91634C86E668B2831F1CD49F469079BC438B7C6119FF9E2B6881E816C5655B68AE6D89654A9594ADFE7E3DC8071CC22B812D532A57B645EC43BFF65C1D73D0E038F1115A78154A5AA6542C9B16D346B5617B7F05754E616F446F4EDF8BD3E78D136DB01FEDC21B94D26614EDD8BB9FDAC0402EE00DB4D6A12CC1BB6FDDE34FD6E00DB66611933B0CD116DCDCC09B10E990287AD01FF0C6C813B2FF21D5D09B14C51A773DC35D64A3D5D323689D611A3DD397D2499B416BB6E14D2E7584818C35579B29EC85E65039C17368864C34579B6F7CA2E49D96E61A77A1D91DBD52BC5274D94471740072AF8A36F67FD4CF78734DA3925D86667154AAD7D0B4A9AA5F42C1DBC4DE0432330000000049454E44AE426082</t>
  </si>
  <si>
    <t>{1}{G}{G}</t>
  </si>
  <si>
    <t>89504E470D0A1A0A0000000D494844520000003C000000140806000000D1035E29000000017352474200AECE1CE90000000467414D410000B18F0BFC6105000000097048597300000EC200000EC20115284A800000043E494441545847C5575B481451181EE8A1A7A83493B4F242521485B06545372CBA9250196A224598DD4C4CCAEE9861591A59B6BB4A69ADAE4960A4505462B8E7D4B8BA2B3DF7DE4B0F3EFAE0832FA7F39DE60C33B3B3BA1BB3F6C387E3CC39DFF9BF3DE7FC17259A8542243DFC9DEC0F8F90F27195540B0469C5F8082D1857D52C6D58CCD6435EA6FB89677F177197F7107735E0A76D155DB4ADA0576DFB7F7C3F08490EABB48F8B6333211CA481B13192A14D8B6ABDE445F21BEAEDEBA15ED639F8945D6DAA64878AF7B1A28A23ACFD4333C37BA09B7A033ED23EB77CA120290C05E98451D8D8F761D670AF8E656465B28FFD7D56D1932195546AD323AC8B780ABBA97B423A917F78075BB070A18E95D92BD8D91B27055E7E7A022727F9AECD0D1FC41AC5785B5B986BA38B2D4D4DD509AD8275A8E48A46A31B9C7BFEFE212B283DC0F61ECD67E5B56526E7AC58929AC2EADBAF09217EE24D2C1F8EB17567BF0D0FB2764F2BCBDB9CA79344151CA4533F8264B546278E1D76028E199D980DEB5C6B59D7B09B3BE99EF291E709E35366BAB3D8694930836060341008CC039FBC63B95B36981C8805D2492E90F3DD759E0FD1D8C6791D102927CF22988D054931A2279C03D6E6AE312D1E0B16252D664DFE3AED28BA1DE753907AEC9C978847304F59FD4815889ED18E1FEE96FC96B36E15DB75705BC498F4CCE5CC3BF0883BE9719C4F1179D6CE790D710AFE8DBC78FEF669D38240F69A6CB67DDF56FD197F5DDB725955FD19D33889CABA72EC8AE37C8A5650D80BE0884B30070A8046DF1DD362C0B21569E23E19DF218D60878CEF24AA1BCE8963E8341F3FD2B4C6CE71897805F3DC5783E39394B2449FB7342D55E44CB9134664E4648A5FDF381ED076C4713E853B596175DA88780423B5A1BC43D5635C0CC03DC2A2D6C0B369A74BEC0A00672106EF7117918A9CE653446D6CE3BC445C8247E8106AD99B2DD5FA1C44C9D28BC7C58EE0194EC86F00DE3FE8BCF5F7F872A0423A75B984B5F6DDE7FF7B1CE7E37758CD323A6D453C82110051B86321040F2C5ED378415F1CF7487249C021F93D023C6039CD87BCAEA011B0130018050FBC7B6B3B0608A9F4272F3CE6830F85BBDD82AF879E99820AEEA0DD38C04FBD3F7D015F42F814743D6804EC8474BF7AA1133636D4477CD730CD9B88CD828C1BBA1414EE760B2375483E4459BB317CEE740F694B189F30743D5621236488959E28D60977EFC9675FBF7C308D01C2A3B459A3D10D5D8A5C10A5DDB5C755E2EE1977047710C7F26FBD6B74D293703E61E87AB880298878DCD468EA9424925352D8F5DA2B52EC34C4CA1ADA6AE8523A3EB74C21CAA21ADA90B75E705853062229A268C7E7A7D3704ED6D056739A4F18BA1E2E6454131415B8B3C6631CCDD0A5A070C72F8D3B0767CBAA8A44F0C10E959C3F269E6B9B2EFD8A387636E6349F30EC181A01D4C6281775913CCF22F5201ACB00158BE117168D00AF65B9A3BFE551435EE4EF86103DF5801283FD3B9FA2FC011398EF5DDEBC13E20000000049454E44AE426082</t>
  </si>
  <si>
    <t>Fungus</t>
  </si>
  <si>
    <t>Creature — Fungus</t>
  </si>
  <si>
    <t>At the beginning of your upkeep, put a spore counter on Thallid Devourer.\nRemove three spore counters from Thallid Devourer: Create a 1/1 green Saproling creature token.\nSacrifice a Saproling: Thallid Devourer gets +1/+2 until end of turn.</t>
  </si>
  <si>
    <t>8d6b22fe-8583-5908-b964-05e3174e3154</t>
  </si>
  <si>
    <t>0.65</t>
  </si>
  <si>
    <t>Resurrection</t>
  </si>
  <si>
    <t>Revised Edition</t>
  </si>
  <si>
    <t>89504E470D0A1A0A0000000D494844520000001700000014080600000066BEA60E000000017352474200AECE1CE90000000467414D410000B18F0BFC6105000000097048597300000EC300000EC301C76FA8640000022C49444154484B9DD53F4894711CC7F1C7AEC8A021A4C131C8C1C021A8418C22A44197B0C1E168169CB4069708ACB1211A6A69885CA421458782C204A542058344A52087924AA306158588D2DEEFE7EE77DC3D3CCF1DF88197F79C7ADFDFFFDFD545E9398DFEC263CDFCC5285EC4EFCA922BBE861C441BAE631A1770AC861974E32756B18B38F6FC28BA7006F662015F711183A895210CE338AC6107973162CF6FE03BF660AFFBD0842FB0815A798FCBB88650780BF903FC3057710F1DA8F717FB88855BE1685DAF8D507CAEF89ACC473CC3141E208F53B88D6A79837F16DF8045D2D28CB3E8C40F3CC153DCC23CB2E266C859FC155CD46DA4A511AEC1C9F85D14B514CDC6EFD26387E72CBE043F6C23597127BCC46F58D40F5F425A5C601B9F0A736E1C4AB5FC82F37D1E1370CAD2529A8950DC7DBD5278CC8C3BEA03ECD55D7F9191B7708451286E6B0EDDDE558BDBF4313C38EEA2643C848AD72314FF0C172C6DDEDD158EEA1DDC924E877BB907E3288FFFEBBD54513C2439EF0ECF117D8287EC043C2C37B106AF8DF2B8E88751312DC663BB5E782CC569B0A0AF160DC5B362CF370B8F95C51DB27BDA29DA4FECAD0D7B3AE3945FB91E22EF162F1D7BF81C0DB0B16A9C4A7790D7ADBD1E417CED26EF73EFEF45F42214F66A78843BF00EBA0FA7F0108C853D500F61CF9D8138C9E21674784ECF245E6307E7D08E23B802778457B28DF9F73F18835F1EA56B21F935E7C2B92B3CDE3E7F835F5F5E11C97865388D6EE1D0A10114CF4A14FD07FF4983AA53B3DE470000000049454E44AE426082</t>
  </si>
  <si>
    <t>{2}{W}{W}</t>
  </si>
  <si>
    <t>89504E470D0A1A0A0000000D494844520000003C000000140806000000D1035E29000000017352474200AECE1CE90000000467414D410000B18F0BFC6105000000097048597300000EC200000EC20115284A800000051D494441545847C5575D4C1C55149EC4079F4C1542A9144250B18D5434B646A56AB03E54D31F2468306D53AC88B655249BA2F6A11A0C6993DA5043531F4C4830D8A0C50A29844AB1EC0CEC2E2C3F863484DDC1F52FC634B65A7F969DD9051F8EF31DE78EB3B3032166B79EE44B66EEBDF3DDEFCC3DF7DC73A5A52C1894D78E8FC85BC7FD72ED844F6E600494BA09BFB263C2E72B3287ADD834EDEBB5F198BAD5406D625E6D98FF73A6617676687F420BEF88C7E7FE3FBE2959CE1EF7295D867364C7975FF426BD8F0714EFD8985C687EB6A445A36AF682AE7625749504C2B39768F7EE4ABAFECBB4D596D0546F3C1EBEB17CC1805C150C28D784537E79905E3BB89FF20B0AE89655AB283B2787B63CF904F5757709A7A3419FFCAAF9798A695AB82A12917FB58B0BF8CED19DC577D0E1C307FF1567428FA9D1B816BA317C7056380A8C8D0CD1638F6EA65BB3B2A8EC9187D951380CC76FCFCBA3FEF39F5B638D703F64D258067198B4A9C99324A2A6E639E680C81F7F0824F509E8B17066F910C6F695055EA8D943251B4AA8F3E376AB0DCFAB737379828A9DDBAD7603FA54405E67D271D825F4D035845A7E413E45E6649A9CECE5C9210ADF03CDCD8DDC56F5EC36BA67C37A7A60D37D545FBF8FBE9AEA8B27A26AC6F824E79EC5EA218CCF7D7AC6EE14A3B2B282C9D1EFE81BF57ABD37814FECB1A14B9D9618E0E8D137A9B3F394F55EF7F22E8A456769DDFA627E3F7DBA99059B1825CA001FB2B14338AF2EF6AEB31D3871FC189321BC9D7D6301B91AD9534C323D7D81CACA1EA49CDCD5FC0D8460AF3536BEC2F0785EB2C401106F1348BA1E4A3B9F84A3C7297C786880E16C074E9D3CC164D8DF29FD7EA51B47857D122038D6C342B022B765675982F00C918545851C82DF7D3B92F4DD823E97763E89CF59A7F06580D507B9A7A13EB5DFAF5C89FD3E536B9FE4E24007B5B51DE795B08BB303FBEC4CC7FBEC48F996CD3CDEFC3EED7C925950A48A7741CF679F702897973FCE59DC6D8C1AF27AF0978795B35606050E1CD89B24CA0E314E842A1CC17E85C874F31921AD78DC843B81102F2DBD9733B777B0DF750C6064538F3D910820A138DB04EC7DC8AC387AB032FF1412E9E5930C91754ED14E6035710E6FDCB49106FA7A5CC70038DAE25AB80E7F52EC2F644A4C88A462176587483C478EBC4E577F9EE495F8E3B7CB343B73F17ABAF924AE8D5DC4DB81A368FBB6A7974C640241BF32885A161300A2D4FBA8BD85938C5B18421832AF6BD1A085D3CE67EC615F919B7881DA176BD859E79EC5BB73B5910051B8DB27C11F16C90522B11F01AC02560A2187BED2FB4BA8BA7A27D7C5E2DB782C94763E9CEB122E0276E1026FBD71C8D559A0F9DD7768EF9E5DD67BD0A7848CC2E366F0A17017932053420012089E119A78075A5B9B52425324175D0B8588BECF089F845B0F2E027687E02C6A6864665C1604CE7676701F4ACC0F5A4F8AF18BC625E22126330CB7946F22C3F3F8EB38133131C20C13B7B4BC6D8999B93CC07BABBBFB43EA3DDFC64EA06C348AFE454D0B658C8F0DB71EE1ECB1E6268B6429E078127B7A7C5479CFA4B10CB71408C284F8CB577E0AB24084240A7D70543CF314B709ECAB7D9E4BC385B89A713E36DC7A0C0774ACEC5D77172F0BF3F2B00867450DED34DC52F45848B78B00B0526BF2D6D085FEF6A47635ECFD0BE2440DEDB474F3B1E1D66338328A955B0ED8B3F6305ECA704B31261F1522F0C7719B415D2CDA00ECB194B073B174F3B161C57011406D8C72D172D2386771F4201B8B04B512C31F46E18E5A3612F15E15C70BAE7C382A903DAD84B202FBEF7C92F4371823BD0F631F8C400000000049454E44AE426082</t>
  </si>
  <si>
    <t>Return target creature card from your graveyard to the battlefield.</t>
  </si>
  <si>
    <t>7be5b8a9-0d68-5125-b729-ff1063dd3ed0</t>
  </si>
  <si>
    <t>0.25</t>
  </si>
  <si>
    <t>artist</t>
  </si>
  <si>
    <t>artistIds</t>
  </si>
  <si>
    <t>asciiName</t>
  </si>
  <si>
    <t>attractionLights</t>
  </si>
  <si>
    <t>availability</t>
  </si>
  <si>
    <t>boosterTypes</t>
  </si>
  <si>
    <t>borderColor</t>
  </si>
  <si>
    <t>cardParts</t>
  </si>
  <si>
    <t>colorIdentity</t>
  </si>
  <si>
    <t>colorIndicator</t>
  </si>
  <si>
    <t>colors</t>
  </si>
  <si>
    <t>defense</t>
  </si>
  <si>
    <t>duelDeck</t>
  </si>
  <si>
    <t>edhrecRank</t>
  </si>
  <si>
    <t>edhrecSaltiness</t>
  </si>
  <si>
    <t>faceConvertedManaCost</t>
  </si>
  <si>
    <t>faceFlavorName</t>
  </si>
  <si>
    <t>faceManaValue</t>
  </si>
  <si>
    <t>faceName</t>
  </si>
  <si>
    <t>finishes</t>
  </si>
  <si>
    <t>flavorName</t>
  </si>
  <si>
    <t>flavorText</t>
  </si>
  <si>
    <t>frameEffects</t>
  </si>
  <si>
    <t>frameVersion</t>
  </si>
  <si>
    <t>hand</t>
  </si>
  <si>
    <t>hasAlternativeDeckLimit</t>
  </si>
  <si>
    <t>hasContentWarning</t>
  </si>
  <si>
    <t>hasFoil</t>
  </si>
  <si>
    <t>hasNonFoil</t>
  </si>
  <si>
    <t>isAlternative</t>
  </si>
  <si>
    <t>isFullArt</t>
  </si>
  <si>
    <t>isFunny</t>
  </si>
  <si>
    <t>isOnlineOnly</t>
  </si>
  <si>
    <t>isOversized</t>
  </si>
  <si>
    <t>isPromo</t>
  </si>
  <si>
    <t>isRebalanced</t>
  </si>
  <si>
    <t>isReprint</t>
  </si>
  <si>
    <t>isReserved</t>
  </si>
  <si>
    <t>isStarter</t>
  </si>
  <si>
    <t>isStorySpotlight</t>
  </si>
  <si>
    <t>isTextless</t>
  </si>
  <si>
    <t>isTimeshifted</t>
  </si>
  <si>
    <t>keywords</t>
  </si>
  <si>
    <t>language</t>
  </si>
  <si>
    <t>layout</t>
  </si>
  <si>
    <t>leadershipSkills</t>
  </si>
  <si>
    <t>life</t>
  </si>
  <si>
    <t>loyalty</t>
  </si>
  <si>
    <t>manaCost</t>
  </si>
  <si>
    <t>manaValue</t>
  </si>
  <si>
    <t>name</t>
  </si>
  <si>
    <t>number</t>
  </si>
  <si>
    <t>originalPrintings</t>
  </si>
  <si>
    <t>originalReleaseDate</t>
  </si>
  <si>
    <t>originalText</t>
  </si>
  <si>
    <t>originalType</t>
  </si>
  <si>
    <t>otherFaceIds</t>
  </si>
  <si>
    <t>power</t>
  </si>
  <si>
    <t>printings</t>
  </si>
  <si>
    <t>promoTypes</t>
  </si>
  <si>
    <t>rarity</t>
  </si>
  <si>
    <t>rebalancedPrintings</t>
  </si>
  <si>
    <t>relatedCards</t>
  </si>
  <si>
    <t>securityStamp</t>
  </si>
  <si>
    <t>setCode</t>
  </si>
  <si>
    <t>side</t>
  </si>
  <si>
    <t>signature</t>
  </si>
  <si>
    <t>sourceProducts</t>
  </si>
  <si>
    <t>subsets</t>
  </si>
  <si>
    <t>subtypes</t>
  </si>
  <si>
    <t>supertypes</t>
  </si>
  <si>
    <t>text</t>
  </si>
  <si>
    <t>toughness</t>
  </si>
  <si>
    <t>type</t>
  </si>
  <si>
    <t>types</t>
  </si>
  <si>
    <t>uuid</t>
  </si>
  <si>
    <t>variations</t>
  </si>
  <si>
    <t>watermark</t>
  </si>
  <si>
    <t>Matt Stewart</t>
  </si>
  <si>
    <t>20871267-2d8a-41d5-b03a-be3d557c5734</t>
  </si>
  <si>
    <t>arena, mtgo, paper</t>
  </si>
  <si>
    <t>default</t>
  </si>
  <si>
    <t>black</t>
  </si>
  <si>
    <t>normal</t>
  </si>
  <si>
    <t>ELD, MB2, PELD, PLST</t>
  </si>
  <si>
    <t>oval</t>
  </si>
  <si>
    <t>ELD</t>
  </si>
  <si>
    <t>{"foil": ["21d471fb-dfea-5778-99ff-65a3e2264501", "61cb35b0-215b-5d52-bcd9-6f55e1769ab2"], "nonfoil": ["21d471fb-dfea-5778-99ff-65a3e2264501", "f9e6cfe6-1676-52ea-b127-c1c8e20e890d"]}</t>
  </si>
  <si>
    <t>6c62c84e-ef63-5447-81d6-c6d1d0a9a117</t>
  </si>
  <si>
    <t>Dan Murayama Scott</t>
  </si>
  <si>
    <t>f852fa13-137e-40f2-bbc1-0f01df09c0e0</t>
  </si>
  <si>
    <t>paper</t>
  </si>
  <si>
    <t>Lurking beneath the murky waters of Ixalan's rivers, sailbacks can rip a meal off the shore in the blink of an eye.</t>
  </si>
  <si>
    <t>XLN-208</t>
  </si>
  <si>
    <t>PLST, XLN</t>
  </si>
  <si>
    <t>PLST</t>
  </si>
  <si>
    <t>{"nonfoil": ["82697abd-23fa-5ab8-8fd4-c835c77bdc7c", "abb81fe0-95ce-5abf-b4a3-a09beea5732b", "cbd26a74-d0fd-5a8e-8f28-61f759dc3675"]}</t>
  </si>
  <si>
    <t>Mark Winters</t>
  </si>
  <si>
    <t>3d8a379d-f4e8-440d-99d5-5ec107757348</t>
  </si>
  <si>
    <t>"When we were lost and weary, the ainok showed us how to survive. They have earned the right to call themselves Abzan, and to wear the Scale."\n—Anafenza, khan of the Abzan</t>
  </si>
  <si>
    <t>KTK-131</t>
  </si>
  <si>
    <t>KTK, PLST, PRM, UGIN</t>
  </si>
  <si>
    <t>Bastien L. Deharme</t>
  </si>
  <si>
    <t>798f63ec-41ad-474e-9708-df08193345c6</t>
  </si>
  <si>
    <t>mtgo</t>
  </si>
  <si>
    <t>0.21</t>
  </si>
  <si>
    <t>BRO, PBRO, PRM</t>
  </si>
  <si>
    <t>PRM</t>
  </si>
  <si>
    <t>Winona Nelson</t>
  </si>
  <si>
    <t>e45fe8d3-75d6-42c9-a2df-e945ad81ea27</t>
  </si>
  <si>
    <t>mtgo, paper</t>
  </si>
  <si>
    <t>0.43</t>
  </si>
  <si>
    <t>"I never thought I'd miss the gomazoa."\n—Trinda, Hada spy patrol</t>
  </si>
  <si>
    <t>devoid</t>
  </si>
  <si>
    <t>Devoid (This card has no color.)\nFlying\nWhenever you cast a colorless spell, target opponent exiles the top card of his or her library.</t>
  </si>
  <si>
    <t>OGW</t>
  </si>
  <si>
    <t>{"foil": ["a80b98ae-3781-5077-83a9-31907bd528e4"], "nonfoil": ["63480c0e-589d-51e0-a872-628092af872d", "a80b98ae-3781-5077-83a9-31907bd528e4"]}</t>
  </si>
  <si>
    <t>Nils Hamm</t>
  </si>
  <si>
    <t>c540d1fc-1500-457f-93cf-d6069ee66546</t>
  </si>
  <si>
    <t>Haste\nWhen Glarewielder comes into play, up to two target creatures can't block this turn.\nEvoke {1}{R} (You may play this spell for its evoke cost. If you do, it's sacrificed when it comes into play.)</t>
  </si>
  <si>
    <t>Creature - Elemental Shaman</t>
  </si>
  <si>
    <t>LRW, PLST</t>
  </si>
  <si>
    <t>LRW</t>
  </si>
  <si>
    <t>{"foil": ["17d7dd33-f196-53f9-aa62-f12b5a5a32b4"], "nonfoil": ["17d7dd33-f196-53f9-aa62-f12b5a5a32b4", "220a5e02-5213-5d46-a9d1-d322b74f05a6"]}</t>
  </si>
  <si>
    <t>Aaron Miller</t>
  </si>
  <si>
    <t>fc021f3d-773a-4706-bbe7-f602324f511f</t>
  </si>
  <si>
    <t>The elf's blade carved deep into the Eldrazi drone's fleshy lattices. Without a sound, the drone lost equilibrium and tumbled from the sky.</t>
  </si>
  <si>
    <t>A25, AFR, ARC, BFZ, CN2, CNS, DBL, HBG, IKO, M11, M12, M13, M14, M15, M19, M20, MID, MM2, ORI, PLST, RIX, THB</t>
  </si>
  <si>
    <t>BFZ</t>
  </si>
  <si>
    <t>{"foil": ["37e28375-f5ba-51e8-8e11-b6830a33b669"], "nonfoil": ["1f60d907-1bfa-5efa-b288-72b523570628", "37e28375-f5ba-51e8-8e11-b6830a33b669", "c53b5e9c-0403-5679-b896-27c1f5615c25"]}</t>
  </si>
  <si>
    <t>Randy Gallegos</t>
  </si>
  <si>
    <t>a5048cc7-438a-4378-98e4-da99b78e1db0</t>
  </si>
  <si>
    <t>Kicker o4 (You may pay an additional o4 as you play this spell.)\nTarget player discards a card from his or her hand. If you paid the kicker cost, that player discards three cards from his or her hand instead.</t>
  </si>
  <si>
    <t>DDM, INV</t>
  </si>
  <si>
    <t>INV</t>
  </si>
  <si>
    <t>{"foil": ["1ada4ff0-f518-5da4-83b8-db322b012329", "e634446e-4111-5781-ba46-1161cb3abb5a"], "nonfoil": ["1971eacc-6305-5c8c-914d-663ae422c379", "308d01d7-d39a-5165-a13f-46721cf60b29", "e634446e-4111-5781-ba46-1161cb3abb5a"]}</t>
  </si>
  <si>
    <t>Lake Hurwitz</t>
  </si>
  <si>
    <t>3677c64b-55e6-4a0d-a952-bdbb05531220</t>
  </si>
  <si>
    <t>0.75</t>
  </si>
  <si>
    <t>All things considered, his first day on patrol could have gone better.</t>
  </si>
  <si>
    <t>GRN, IKO, ISD, J22, LCI, PLST, SIR, SOI</t>
  </si>
  <si>
    <t>GRN</t>
  </si>
  <si>
    <t>{"foil": ["dbecee60-807c-5627-9090-d2114a897fcd"], "nonfoil": ["236711ef-2574-5a52-ada8-9b1f7f80c9a7", "378dd83c-121e-5b5a-b303-2bd7ad263313", "b5495422-e733-5142-8e84-902bc81e62ca", "ceb9dc37-df20-5ea6-884d-c41ecf4b7a4d", "dbecee60-807c-5627-9090-d2114a897fcd"]}</t>
  </si>
  <si>
    <t>Ryan Pancoast</t>
  </si>
  <si>
    <t>89cc9475-dda2-4d13-bf88-54b92867a25c</t>
  </si>
  <si>
    <t>"Don't be fooled. If it were as docile as it looks, it would've died off long ago."\n—Yon Basrel, Oran-Rief survivalist</t>
  </si>
  <si>
    <t>Landfall — Whenever a land enters the battlefield under your control, you may gain 2 life.</t>
  </si>
  <si>
    <t>C13, DDH, DDO, DDP, J25, PLST, ZEN</t>
  </si>
  <si>
    <t>ZEN</t>
  </si>
  <si>
    <t>{"foil": ["a2630e5d-f1ae-53b8-b5e2-938d77123f73"], "nonfoil": ["5cd87b3b-e80e-5d49-83ba-96435fe9df2e", "a2630e5d-f1ae-53b8-b5e2-938d77123f73", "ab50bceb-299c-5cdb-a01d-d66bdf9a2b7c", "ca3b78cc-456e-5e0b-846a-1b5b4f297aea"]}</t>
  </si>
  <si>
    <t>Pat Lee</t>
  </si>
  <si>
    <t>4902294d-a1e5-495b-8526-49b2bfdda056</t>
  </si>
  <si>
    <t>The magic of the Boros patrols the streets even when their soldiers do not.</t>
  </si>
  <si>
    <t>Radiance Destroy target enchantment and each other enchantment that shares a color with it.</t>
  </si>
  <si>
    <t>RAV</t>
  </si>
  <si>
    <t>{"foil": ["fb684793-38fa-5e34-bc75-34cff075443c"], "nonfoil": ["303d70f4-790d-5ccf-af92-fb6fe17c2311", "fb684793-38fa-5e34-bc75-34cff075443c"]}</t>
  </si>
  <si>
    <t>boros</t>
  </si>
  <si>
    <t>Zack Stella</t>
  </si>
  <si>
    <t>17bc7f55-958b-43f4-bb40-09746d05b3f9</t>
  </si>
  <si>
    <t>188s</t>
  </si>
  <si>
    <t>CMM, KHM, LCC, PKHM, PLST, PRM</t>
  </si>
  <si>
    <t>prerelease, datestamped</t>
  </si>
  <si>
    <t>PKHM</t>
  </si>
  <si>
    <t>31669a91-4e69-5bbf-b1a9-33c7ce9eab0b</t>
  </si>
  <si>
    <t>o3,oc\nT: Target player names a card and then turns over the top card of his or her library. If that is the card named, put it into the player's hand. Otherwise, put it into the player's graveyard, and Vexing Arcanix deals 2 damage to that player.</t>
  </si>
  <si>
    <t>8ED, ICE</t>
  </si>
  <si>
    <t>ICE</t>
  </si>
  <si>
    <t>{"nonfoil": ["336c0f3c-7922-530d-b687-ca056692d873", "57d8c3aa-7e9f-5cd0-bc47-3686d9958d8b"]}</t>
  </si>
  <si>
    <t>Yigit Koroglu</t>
  </si>
  <si>
    <t>a24479f8-6d9e-40f9-bede-f29899922b97</t>
  </si>
  <si>
    <t>0.33</t>
  </si>
  <si>
    <t>"A great wave crashed, and a mighty wind blew out the stars."\n—*The Cosmogony*</t>
  </si>
  <si>
    <t>THB</t>
  </si>
  <si>
    <t>{"foil": ["089080a6-6828-50c3-9101-7dde35781608", "ef9b5f95-e25a-5a7f-ade5-a78df463ebe6"], "nonfoil": ["089080a6-6828-50c3-9101-7dde35781608", "38c6c6f8-2cbe-566e-85b5-6caba302d843"]}</t>
  </si>
  <si>
    <t>Dan Frazier</t>
  </si>
  <si>
    <t>059bba56-5feb-42e4-8c2e-e2f1e6ba11f9</t>
  </si>
  <si>
    <t>white</t>
  </si>
  <si>
    <t>Take a creature from your graveyard and put it directly into play. Treat this creature as though it were just summoned.</t>
  </si>
  <si>
    <t>2ED, 30A, 3ED, CED, CEI, F08, FBB, LEA, LEB, PLST, PRM, SUM, TD0, TSB, UMA</t>
  </si>
  <si>
    <t>3ED</t>
  </si>
  <si>
    <t>{"nonfoil": ["4ebfc88d-eea7-599e-ba79-c86020d1c1e2", "9b04b8ff-5402-5553-a531-323a38d8c4a4"]}</t>
  </si>
  <si>
    <t>Grzegorz Rutkowski</t>
  </si>
  <si>
    <t>b5f49d0d-8056-48e3-b614-090e656b4f9c</t>
  </si>
  <si>
    <t>arena, paper</t>
  </si>
  <si>
    <t>0.72</t>
  </si>
  <si>
    <t>J25, OTC, PRM, PZNR, ZNR</t>
  </si>
  <si>
    <t>J25</t>
  </si>
  <si>
    <t>{"nonfoil": ["4498a9bc-294c-5036-91e5-031880296db8"]}</t>
  </si>
  <si>
    <t>Ron Spencer</t>
  </si>
  <si>
    <t>dab52c11-0564-4207-a4a1-c1735c946a65</t>
  </si>
  <si>
    <t>During your upkeep, put a spore counter on Thallid Devourer.\no0: Remove three spore counters from Thallid Devourer to put a Saproling token into play. Treat this token as a 1/1 green creature.\no0: Sacrifice a Saproling to give Thallid Devourer +1/+2 until end of turn.</t>
  </si>
  <si>
    <t>Summon - Fungus</t>
  </si>
  <si>
    <t>FEM, ME2</t>
  </si>
  <si>
    <t>FEM</t>
  </si>
  <si>
    <t>{"nonfoil": ["cbbd7529-f4d9-53ac-bd3f-a55bd930c679"]}</t>
  </si>
  <si>
    <t>Heather Hudson</t>
  </si>
  <si>
    <t>4441fe52-9e41-40c1-9b74-8510426279ab</t>
  </si>
  <si>
    <t>"All things must eat, after all. Even the air can hunger."\n—Gemma, Willow Priestess</t>
  </si>
  <si>
    <t>88a</t>
  </si>
  <si>
    <t>During your upkeep, pay o\nGo\nG or bury Hungry Mist.</t>
  </si>
  <si>
    <t>Summon - Mist</t>
  </si>
  <si>
    <t>5ED, HML, ME1</t>
  </si>
  <si>
    <t>HML</t>
  </si>
  <si>
    <t>{"nonfoil": ["c9de01e3-8ad0-5efa-a5f4-4cfeac03e5c7"]}</t>
  </si>
  <si>
    <t>74484d41-3d02-5bd7-a5fc-a0dfc481bb2d</t>
  </si>
  <si>
    <t>Ron Spears</t>
  </si>
  <si>
    <t>fce9030b-86bd-4439-b06a-920a1eeb184c</t>
  </si>
  <si>
    <t>0.56</t>
  </si>
  <si>
    <t>As Phage drank their energy, a vague memory of Jeska stirred. Then she lost herself again in the joy of her victims' suffering.</t>
  </si>
  <si>
    <t>6ED, BRB, CNS, HOP, LEG, ONS</t>
  </si>
  <si>
    <t>ONS</t>
  </si>
  <si>
    <t>{"foil": ["04f90aad-76b6-5bc6-a732-45d06c1dad37", "da796ce7-43ec-5fba-9705-77a79758eedb"], "nonfoil": ["04f90aad-76b6-5bc6-a732-45d06c1dad37", "de0877c3-6604-50cc-a2e5-50d47d05fa29"]}</t>
  </si>
  <si>
    <t>Eric Deschamps</t>
  </si>
  <si>
    <t>37970e22-9cee-44c1-af44-5ee27cf26b76</t>
  </si>
  <si>
    <t>IMA, JMP, M14</t>
  </si>
  <si>
    <t>IMA</t>
  </si>
  <si>
    <t>{"foil": ["6dea76a3-dab9-5707-9181-635f24535a5b"], "nonfoil": ["6dea76a3-dab9-5707-9181-635f24535a5b"]}</t>
  </si>
  <si>
    <t>Lenka Šimečková</t>
  </si>
  <si>
    <t>c9e04828-8fcb-47ba-aadc-4005d43a79f4</t>
  </si>
  <si>
    <t>borderless</t>
  </si>
  <si>
    <t>0.15</t>
  </si>
  <si>
    <t>showcase, legendary, inverted</t>
  </si>
  <si>
    <t>{"brawl": false, "commander": true, "oathbreaker": false}</t>
  </si>
  <si>
    <t>WHO</t>
  </si>
  <si>
    <t>boosterfun</t>
  </si>
  <si>
    <t>triangle</t>
  </si>
  <si>
    <t>{"foil": ["2d252e89-9965-5f23-907e-7a98726d7fac", "c3727661-aaa8-5fc8-985e-93b619c3ef05"], "nonfoil": ["2d252e89-9965-5f23-907e-7a98726d7fac", "c3727661-aaa8-5fc8-985e-93b619c3ef05"]}</t>
  </si>
  <si>
    <t>845adf01-30b9-59f5-940b-2200b70f713d, a4d8b55a-7761-5685-a768-d6bcae2809b0, be61e9c2-20bf-59b8-bfae-3a5f64a7fc28, 4f3671e6-6faa-533a-9ba9-f05f5bf09e8b, 47adf329-3c8e-5af4-801a-c361a3e647f9, 6129fe0e-e952-5b75-b5f5-8cb46cc58b77, 882be6aa-fac2-52b8-9b47-a0980d475a11</t>
  </si>
  <si>
    <t>Andreas Rocha</t>
  </si>
  <si>
    <t>d084e74b-f63a-4107-b72c-ed6250ecc93b</t>
  </si>
  <si>
    <t>0.38</t>
  </si>
  <si>
    <t>10E, 2ED, 2XM, 30A, 3ED, 40K, 4BB, 4ED, 5ED, 6ED, 7ED, 8ED, 9ED, ACR, AFR, AKH, AKR, ALA, ANA, ANB, ARC, ATH, AVR, BBD, BFZ, BLB, BRB, BRO, BTD, C13, C14, C15, C16, C17, C18, C19, CED, CEI, CHK, CLB, CLU, CM2, CMA, CMD, CMM, CMR, CST, DD1, DDD, DDE, DDG, DDH, DDJ, DDL, DDM, DDO, DDP, DDR, DDS, DDU, DFT, DKM, DMR, DMU, DOM, DPA, DSK, DTK, E01, ELD, EVG, FBB, FDN, FRF, G17, GK1, GK2, GN2, GN3, GNT, GRN, GS1, GVL, H09, HBG, HOP, HOU, ICE, IKO, INV, ISD, ITP, J14, J22, J25, JMP, KHM, KLD, KLR, KTK, LCI, LEA, LEB, LRW, LTR, M10, M11, M12, M13, M14, M15, M19, M20, M21, MBS, ME1, ME3, MH2, MH3, MID, MIR, MKM, MMQ, MOM, MRD, NEO, NPH, ODY, OLEP, ONE, ONS, ORI, OTJ, P02, P23, PAL00, PAL01, PAL03, PAL04, PAL05, PAL06, PAL99, PALP, PANA, PARL, PC2, PCA, PELP, PF19, PF20, PGPX, PGRU, PIP, PLST, PMPS, PMPS06, PMPS07, PMPS08, PMPS09, PMPS10, PMPS11, POR, PPP1, PRM, PRW2, PRWK, PS11, PSAL, PSS2, PSS3, PSS4, PTC, PTK, PZ2, RAV, REX, RIX, RNA, ROE, RQS, RTR, S99, SCD, SHM, SIR, SLD, SNC, SOI, SOM, STX, SUM, TD0, TD2, THB, THS, TMP, TPR, TSP, UGL, UND, UNF, UNH, USG, UST, VOW, WAR, WC00, WC01, WC02, WC03, WC04, WC97, WC98, WC99, WHO, WOE, XANA, XLN, ZEN, ZNR</t>
  </si>
  <si>
    <t>MID</t>
  </si>
  <si>
    <t>{"nonfoil": ["1eb46285-39db-5049-be86-bc2d50b91d77", "57be20bf-5950-5969-b16b-047aaf6e5010", "89a4fe76-d836-5b5c-bde4-49358f23810c", "c654b999-069f-5af8-8e41-87d6282f9dfd"]}</t>
  </si>
  <si>
    <t>ea2a2ba8-dec2-55c7-af4a-2de52d404cc0, 0c1b7f25-d6cd-5897-bebf-003b5c97bb87</t>
  </si>
  <si>
    <t>Alan Pollack</t>
  </si>
  <si>
    <t>70c20ea3-5ad6-4082-a337-6e994ae5828e</t>
  </si>
  <si>
    <t>LGN-12</t>
  </si>
  <si>
    <t>LGN, PLST, VMA</t>
  </si>
  <si>
    <t>{"nonfoil": ["1db93605-0a4e-5e5b-80a2-18a6e177f51d"]}</t>
  </si>
  <si>
    <t>Steve White</t>
  </si>
  <si>
    <t>674a172f-e11a-458b-a681-964726a0c320</t>
  </si>
  <si>
    <t>"It moved this way, an' that way, an' then before I could stick it, it jumped over my head an' was gone."\n—Jula, goblin raider</t>
  </si>
  <si>
    <t>Viashino Runner cannot be blocked by only one creature.</t>
  </si>
  <si>
    <t>Summon - Viashino</t>
  </si>
  <si>
    <t>10E, USG</t>
  </si>
  <si>
    <t>USG</t>
  </si>
  <si>
    <t>{"nonfoil": ["96772e6d-0aba-5362-ab10-d5f3f6d23634", "c901ab11-9d40-5fc1-a603-470b42f4b48b", "fc38f6c9-a9a2-544a-9b76-1a3a007e5ea5"]}</t>
  </si>
  <si>
    <t>James Ryman</t>
  </si>
  <si>
    <t>3852bbc9-11c0-4fe3-8722-a06ad7e2bcc5</t>
  </si>
  <si>
    <t>"Justice isn't done until undeath is undone."</t>
  </si>
  <si>
    <t>A9</t>
  </si>
  <si>
    <t>AVR, MIC, PAVR</t>
  </si>
  <si>
    <t>setpromo, resale</t>
  </si>
  <si>
    <t>PAVR</t>
  </si>
  <si>
    <t>colorpie</t>
  </si>
  <si>
    <t>Richard Sardinha</t>
  </si>
  <si>
    <t>a3cce4f0-fbf5-4883-aac7-fb28b993b132</t>
  </si>
  <si>
    <t>silver</t>
  </si>
  <si>
    <t>Mongo's fleas no longer bothered him. But the family of goblins that had moved in behind his left ear was starting to get really irritating.</t>
  </si>
  <si>
    <t>ULST, UND, UNH</t>
  </si>
  <si>
    <t>UND</t>
  </si>
  <si>
    <t>{"nonfoil": ["b966f472-6bd1-55a5-9e13-235320a03bb2"]}</t>
  </si>
  <si>
    <t>Mark Brill</t>
  </si>
  <si>
    <t>46dc4b5e-e42c-4d65-a4f3-ad75b0f6f6dd</t>
  </si>
  <si>
    <t>PCY-90</t>
  </si>
  <si>
    <t>PCY, PLST, WC00</t>
  </si>
  <si>
    <t>John Stanko</t>
  </si>
  <si>
    <t>b0f038a0-73b5-4806-918e-9cd11b5f92e1</t>
  </si>
  <si>
    <t>Right before his demise, he experienced a shattering revelation.</t>
  </si>
  <si>
    <t>MB2, MH2, SPG</t>
  </si>
  <si>
    <t>MH2</t>
  </si>
  <si>
    <t>{"etched": ["16d143d9-e957-54bc-8344-87a7ed85666d"], "foil": ["16d143d9-e957-54bc-8344-87a7ed85666d", "1fc1a634-d083-59eb-8194-2e6da14e912e", "ad26d972-c187-5109-ba88-301a89762c34"], "nonfoil": ["1fc1a634-d083-59eb-8194-2e6da14e912e", "ad26d972-c187-5109-ba88-301a89762c34"]}</t>
  </si>
  <si>
    <t>efdbf638-dbe6-5813-ba0b-dafbac1e1468</t>
  </si>
  <si>
    <t>Pascal Quidault</t>
  </si>
  <si>
    <t>aabbf32e-5330-403a-8a99-a653c050e263</t>
  </si>
  <si>
    <t>arena</t>
  </si>
  <si>
    <t>PIO, WOE</t>
  </si>
  <si>
    <t>PIO</t>
  </si>
  <si>
    <t>Thomas M. Baxa</t>
  </si>
  <si>
    <t>ff346569-557d-4043-ae44-97c2c7cabd7d</t>
  </si>
  <si>
    <t>The ouphes finally managed to still the clockwork monstrosity by catching themselves in its cogs.</t>
  </si>
  <si>
    <t>{G}, Sacrifice Ouphe Vandals: Counter target activated ability from an artifact source and destroy that artifact if it's in play. (Mana abilities can't be targeted.)</t>
  </si>
  <si>
    <t>Creature - Ouphe</t>
  </si>
  <si>
    <t>5DN</t>
  </si>
  <si>
    <t>{"foil": ["ff372bd0-1e42-53ef-aa53-46498eeb9248"], "nonfoil": ["ff372bd0-1e42-53ef-aa53-46498eeb9248"]}</t>
  </si>
  <si>
    <t>Karl Kopinski</t>
  </si>
  <si>
    <t>0fad2c48-a56e-4a0b-b512-224f6f238f20</t>
  </si>
  <si>
    <t>At the beginning of your upkeep, target opponent reveals the top three cards of his or her library, may put a creature card from among them onto the battlefield, then puts the rest into his or her graveyard. You do the same with the top three cards of your library. If two creatures are put onto the battlefield this way, those creatures fight each other.</t>
  </si>
  <si>
    <t>RTR</t>
  </si>
  <si>
    <t>{"foil": ["1772b60a-f041-51d9-b86b-dc79d6b65070"], "nonfoil": ["054a8581-a827-5b8b-a29b-eea32ad0f6a7", "0e8bd314-6d5b-53cb-a988-6e71a69a9a31", "1772b60a-f041-51d9-b86b-dc79d6b65070", "301a90fe-bd76-5fa7-910c-7cbe20c104c8", "d9885085-299e-5105-8a78-913d6a270c88", "e6b67874-ea3e-5ff3-a415-fcef29455c2e"]}</t>
  </si>
  <si>
    <t>He Jiancheng</t>
  </si>
  <si>
    <t>0b1dee8b-d30a-488d-9cc5-27bddff2c30b</t>
  </si>
  <si>
    <t>10E, 2ED, 2XM, 30A, 3ED, 40K, 4BB, 4ED, 5ED, 6ED, 7ED, 8ED, 9ED, ACR, AFR, AKH, AKR, ALA, ANA, ANB, ARC, ATH, AVR, BBD, BFZ, BLB, BRB, BRC, BRO, C13, C14, C15, C16, C17, C18, C19, CED, CEI, CHK, CLB, CLU, CM2, CMA, CMD, CMM, CMR, CST, DDC, DDE, DDF, DDG, DDH, DDI, DDK, DDL, DDN, DDO, DDP, DDQ, DFT, DMR, DMU, DOM, DSK, DTK, DVD, E01, ELD, FBB, FDN, FRF, G17, GK1, GK2, GN2, GN3, GNT, GRN, GS1, H09, HBG, HOP, HOU, ICE, IKO, INV, ISD, ITP, J14, J22, J25, JMP, KHM, KLD, KLR, KTK, LCI, LEA, LEB, LRW, LTR, M10, M11, M12, M13, M14, M15, M19, M20, M21, MBS, MD1, ME1, ME3, MH2, MH3, MID, MIR, MKM, MMQ, MOM, MRD, NEO, NPH, ODY, OLEP, ONE, ONS, ORI, OTJ, P02, P23, PAL00, PAL01, PAL03, PAL04, PAL05, PAL06, PAL99, PALP, PANA, PARL, PC2, PCA, PDGM, PELP, PF19, PF20, PGPX, PGRU, PIP, PLST, PMPS, PMPS06, PMPS07, PMPS08, PMPS09, PMPS10, PMPS11, POR, PPP1, PRM, PRW2, PRWK, PS11, PSAL, PSS2, PSS3, PSS4, PTC, PTK, PZ2, RAV, REX, RIX, RNA, ROE, RQS, RTR, S99, SCD, SHM, SIR, SLD, SLP, SNC, SOI, SOM, STX, SUM, TD0, TD2, THB, THS, TMP, TPR, TSP, UGL, UND, UNF, UNH, USG, UST, VOW, WAR, WC00, WC02, WC03, WC04, WC97, WC98, WHO, WOE, XANA, XLN, ZEN, ZNR</t>
  </si>
  <si>
    <t>ME3</t>
  </si>
  <si>
    <t>81789ad4-aed8-5a47-a03c-41bae1ec088c, a7627021-b739-583e-95be-68c2814578f7</t>
  </si>
  <si>
    <t>Drink deep, and find your vengeance fulfilled.</t>
  </si>
  <si>
    <t>{3}{R}, Sacrifice Font of Ire: Font of Ire deals 5 damage to target player.</t>
  </si>
  <si>
    <t>JOU</t>
  </si>
  <si>
    <t>{"foil": ["ef8281b6-54ab-578a-baec-62f5c79977c0"], "nonfoil": ["8f1fcc1c-d6aa-5e8e-989d-0db882750641", "ef8281b6-54ab-578a-baec-62f5c79977c0"]}</t>
  </si>
  <si>
    <t>Sam Burley</t>
  </si>
  <si>
    <t>f89f4b78-cefb-41f7-b7cb-4f4d28de0c4f</t>
  </si>
  <si>
    <t>0.14</t>
  </si>
  <si>
    <t>When Kellan let his eyes wander to the horizon, he saw a land whose destiny was as uncertain as his own.</t>
  </si>
  <si>
    <t>inverted</t>
  </si>
  <si>
    <t>H1R, MH1, PRM, SPG, ZNE</t>
  </si>
  <si>
    <t>SPG</t>
  </si>
  <si>
    <t>{"foil": ["6b307a92-0a52-5ecc-aaeb-1fa4180ec7ad"], "nonfoil": ["7c02f937-ddc8-57af-9cf7-a09f7c0be1c3"]}</t>
  </si>
  <si>
    <t>Arnie Swekel</t>
  </si>
  <si>
    <t>af10ecf2-eb82-4100-97b2-6c236b0fa644</t>
  </si>
  <si>
    <t>Mercadian soldiers excel at finding things to stand behind.</t>
  </si>
  <si>
    <t>(Walls can't attack.)\noc\nT: Target creature gets +0/+4 until end of turn.</t>
  </si>
  <si>
    <t>Artifact Creature - Wall</t>
  </si>
  <si>
    <t>MMQ, PLST</t>
  </si>
  <si>
    <t>MMQ</t>
  </si>
  <si>
    <t>{"foil": ["65bc1540-791e-5561-b050-658c4e65e28f"], "nonfoil": ["1c7870eb-5ce3-5be0-b0fb-644bfe832d14", "65bc1540-791e-5561-b050-658c4e65e28f", "b783fe2e-16f4-5dac-944a-73377ccfb2b8"]}</t>
  </si>
  <si>
    <t>Carl Critchlow</t>
  </si>
  <si>
    <t>17948f16-611a-44b8-8d10-9895a0bdfff1</t>
  </si>
  <si>
    <t>Gerrard offered no defense to Orim's condemnation; the mission was under his command, and he was responsible.</t>
  </si>
  <si>
    <t>Sacrifice any number of permanents. You gain 2 life for each one sacrificed this way.</t>
  </si>
  <si>
    <t>{"foil": ["65bc1540-791e-5561-b050-658c4e65e28f"], "nonfoil": ["1c7870eb-5ce3-5be0-b0fb-644bfe832d14", "65bc1540-791e-5561-b050-658c4e65e28f"]}</t>
  </si>
  <si>
    <t>Howard Lyon</t>
  </si>
  <si>
    <t>6dd06426-59fe-4b9c-aad5-6da8446a5c3d</t>
  </si>
  <si>
    <t>{"brawl": false, "commander": false, "oathbreaker": true}</t>
  </si>
  <si>
    <t>X</t>
  </si>
  <si>
    <t>+2: Scry 2.\n0: Look at the top card of your library. If it's a land card or a creature card with converted mana cost less than or equal to the number of loyalty counters on Nissa, Steward of Elements, you may put that card onto the battlefield.\n−6: Untap up to two target lands you control. They become 5/5 Elemental creatures with flying and haste until end of turn. They're still lands.</t>
  </si>
  <si>
    <t>AKH, AKR, C20, M3C, PAKH, PS17</t>
  </si>
  <si>
    <t>AKR</t>
  </si>
  <si>
    <t>Alejandro Mirabal</t>
  </si>
  <si>
    <t>f77eebc1-2aa4-4cad-a158-aedbdfccbf0c</t>
  </si>
  <si>
    <t>Silence rules Bala Ged, broken only by the skittering of Eldrazi.</t>
  </si>
  <si>
    <t>Devoid (This card has no color.)\nIngest (Whenever this creature deals combat damage to a player, that player exiles the top card of his or her library.)</t>
  </si>
  <si>
    <t>{"foil": ["37e28375-f5ba-51e8-8e11-b6830a33b669"], "nonfoil": ["37e28375-f5ba-51e8-8e11-b6830a33b669", "d0533d35-75aa-5764-8bd0-3f2c76d805ce"]}</t>
  </si>
  <si>
    <t>orientation</t>
  </si>
  <si>
    <t>reverseRelated</t>
  </si>
  <si>
    <t>Bud Cook</t>
  </si>
  <si>
    <t>4c3be2d4-73e6-4005-b897-8ac65b9c8660</t>
  </si>
  <si>
    <t>token</t>
  </si>
  <si>
    <t>setpromo</t>
  </si>
  <si>
    <t>{"reverseRelated": ["Acererak the Archlich", "Aphemia, the Cacophony", "Archdemon of Unx", "Army of the Damned", "Assemble the Rank and Vile", "Awaken the Erstwhile", "Bone Miser", "Boneclad Necromancer", "Bridge from Below", "Captive Audience", "Cellar Door", "Cemetery Reaper", "Cradle of the Accursed", "Cryptbreaker", "Curse of Disturbance", "Curse of Shallow Graves", "Dark Salvation", "Death Tyrant", "Diregraf Colossus", "Doomed Dissenter", "Drana's Chosen", "Dread Summons", "Drunau Corpse Trawler", "Dunes of the Dead", "Dying to Serve", "Empty the Pits", "Endless Ranks of the Dead", "Feast or Famine", "Field of the Dead", "From Under the Floorboards", "Ghoulcaller Gisa", "Ghoulcaller's Accomplice", "Gisa's Bidding", "Graf Harvest", "Grave Titan", "Gravedig", "Graveyard Marshal", "Grixis Slavedriver", "Havengul Runebinder", "Headless Rider", "Hour of Promise", "Invasion of Innistrad // Deluge of the Dead", "Kalitas, Traitor of Ghet", "Lair of the Ashen Idol", "Liliana's Devotee", "Liliana's Mastery", "Liliana's Reaver", "Liliana, Death's Majesty", "Liliana, Dreadhorde General", "Liliana, Heretical Healer // Liliana, Defiant Necromancer", "Liliana, the Last Hope", "Liliana, the Last Hope Emblem", "Maalfeld Twins", "Magus of the Bridge", "Midnight Ritual", "Moan of the Unhallowed", "Necromancer's Covenant", "Necromancer's Stockpile", "Necromaster Dragon", "Necromentia", "Necrotic Hex", "Never // Return", "Nevinyrral, Urborg Tyrant", "Noosegraf Mob", "Null Caller", "Oath of Liliana", "Oglor, Devoted Assistant", "Open the Graves", "Overseer of the Damned", "Rakshasa Gravecaller", "Rank Officer", "Reap the Seagraf", "Rise from the Tides", "Rotlung Reanimator", "Rotted Ones, Lay Siege", "Sarcomancy", "Shamble Back", "Sidisi, Brood Tyrant", "Skull Skaab", "Stir the Sands", "Suspicious Shambler", "Syphon Flesh", "The Book of Vile Darkness", "The Fourth Sphere", "The Necrobloom", "Tobias, Doomed Conqueror", "Tombstone Stairwell", "Tormod, the Desecrator", "Tymaret Calls the Dead", "Undead Alchemist", "Undead Servant", "Unscythe, Killer of Kings", "Varina, Lich Queen", "Vile Rebirth", "Wakedancer", "Wand of Orcus", "Waste Not", "Wight", "Xathrid Necromancer", "Zombie Infestation"]}</t>
  </si>
  <si>
    <t>Acererak the Archlich, Aphemia, the Cacophony, Archdemon of Unx, Army of the Damned, Assemble the Rank and Vile, Awaken the Erstwhile, Bone Miser, Boneclad Necromancer, Bridge from Below, Captive Audience, Cellar Door, Cemetery Reaper, Cradle of the Accursed, Cryptbreaker, Curse of Disturbance, Curse of Shallow Graves, Dark Salvation, Death Tyrant, Diregraf Colossus, Doomed Dissenter, Drana's Chosen, Dread Summons, Drunau Corpse Trawler, Dunes of the Dead, Dying to Serve, Empty the Pits, Endless Ranks of the Dead, Feast or Famine, Field of the Dead, From Under the Floorboards, Ghoulcaller Gisa, Ghoulcaller's Accomplice, Gisa's Bidding, Graf Harvest, Grave Titan, Gravedig, Graveyard Marshal, Grixis Slavedriver, Havengul Runebinder, Headless Rider, Hour of Promise, Invasion of Innistrad // Deluge of the Dead, Kalitas, Traitor of Ghet, Lair of the Ashen Idol, Liliana's Devotee, Liliana's Mastery, Liliana's Reaver, Liliana, Death's Majesty, Liliana, Dreadhorde General, Liliana, Heretical Healer // Liliana, Defiant Necromancer, Liliana, the Last Hope, Liliana, the Last Hope Emblem, Maalfeld Twins, Magus of the Bridge, Midnight Ritual, Moan of the Unhallowed, Necromancer's Covenant, Necromancer's Stockpile, Necromaster Dragon, Necromentia, Necrotic Hex, Never // Return, Nevinyrral, Urborg Tyrant, Noosegraf Mob, Null Caller, Oath of Liliana, Oglor, Devoted Assistant, Open the Graves, Overseer of the Damned, Rakshasa Gravecaller, Rank Officer, Reap the Seagraf, Rise from the Tides, Rotlung Reanimator, Rotted Ones, Lay Siege, Sarcomancy, Shamble Back, Sidisi, Brood Tyrant, Skull Skaab, Stir the Sands, Suspicious Shambler, Syphon Flesh, The Book of Vile Darkness, The Fourth Sphere, The Necrobloom, Tobias, Doomed Conqueror, Tombstone Stairwell, Tormod, the Desecrator, Tymaret Calls the Dead, Undead Alchemist, Undead Servant, Unscythe, Killer of Kings, Varina, Lich Queen, Vile Rebirth, Wakedancer, Wand of Orcus, Waste Not, Wight, Xathrid Necromancer, Zombie Infestation</t>
  </si>
  <si>
    <t>TM11</t>
  </si>
  <si>
    <t>Kekai Kotaki</t>
  </si>
  <si>
    <t>4b771085-c049-4308-930d-ec9665f803a4</t>
  </si>
  <si>
    <t>Bloodvial Purveyor</t>
  </si>
  <si>
    <t>art_series</t>
  </si>
  <si>
    <t>horizontal</t>
  </si>
  <si>
    <t>4f374ba7-d810-5f2f-945b-2f8fd7d600ad</t>
  </si>
  <si>
    <t>AVOW</t>
  </si>
  <si>
    <t>Seb McKinnon</t>
  </si>
  <si>
    <t>ad4caca0-8d89-44ce-a1a6-d5ca905bd6fb</t>
  </si>
  <si>
    <t>Silent Clearing</t>
  </si>
  <si>
    <t>73c978c2-e1ec-59b5-9341-de3ea776839b</t>
  </si>
  <si>
    <t>AMH1</t>
  </si>
  <si>
    <t>Esad Ribic</t>
  </si>
  <si>
    <t>86884c1c-7d4b-4543-9141-a2701d9e09a5</t>
  </si>
  <si>
    <t>FJ25</t>
  </si>
  <si>
    <t>April Prime</t>
  </si>
  <si>
    <t>266f773b-5c80-4803-9b95-5a985af90548</t>
  </si>
  <si>
    <t>{"reverseRelated": ["Ajani's Chosen", "Ajani, Caller of the Pride", "Kemba, Kha Enduring", "Kemba, Kha Regent", "White Sun's Zenith"]}</t>
  </si>
  <si>
    <t>Ajani's Chosen, Ajani, Caller of the Pride, Kemba, Kha Enduring, Kemba, Kha Regent, White Sun's Zenith</t>
  </si>
  <si>
    <t>TWOC</t>
  </si>
  <si>
    <t>Raymond Swanland</t>
  </si>
  <si>
    <t>e956bacc-077d-4c12-b6bc-ba798b718af9</t>
  </si>
  <si>
    <t>0.26</t>
  </si>
  <si>
    <t>Shadrix Silverquill</t>
  </si>
  <si>
    <t>a3d9c702-510c-5d47-a0d4-9cce72d29d66</t>
  </si>
  <si>
    <t>ASTX</t>
  </si>
  <si>
    <t>Julia Griffin</t>
  </si>
  <si>
    <t>35d4a4a6-ac7d-4c48-8060-97325f1a2a85</t>
  </si>
  <si>
    <t>{"reverseRelated": ["Otterball Antics", "Ral, Crackling Wit", "Stormchaser's Talent"]}</t>
  </si>
  <si>
    <t>Otterball Antics, Ral, Crackling Wit, Stormchaser's Talent</t>
  </si>
  <si>
    <t>TBLB</t>
  </si>
  <si>
    <t>Ryan Yee</t>
  </si>
  <si>
    <t>8955dca7-3e37-42b4-83a9-167c78a2178f</t>
  </si>
  <si>
    <t>Sythis, Harvest's Hand</t>
  </si>
  <si>
    <t>e3b480fe-e63e-5af7-bd02-da93b5e9d87e</t>
  </si>
  <si>
    <t>AMH2</t>
  </si>
  <si>
    <t>Alayna Danner</t>
  </si>
  <si>
    <t>bb677b1a-ce51-4888-83d6-5a94de461ff9</t>
  </si>
  <si>
    <t>{"reverseRelated": ["Dog Walker", "Hunted Bonebrute", "Krovod Haunch", "Release the Dogs", "Rin and Seri, Inseparable // Rin and Seri, Inseparable"]}</t>
  </si>
  <si>
    <t>Dog Walker, Hunted Bonebrute, Krovod Haunch, Release the Dogs, Rin and Seri, Inseparable // Rin and Seri, Inseparable</t>
  </si>
  <si>
    <t>TMKM</t>
  </si>
  <si>
    <t>0.64</t>
  </si>
  <si>
    <t>Ranger-Captain of Eos</t>
  </si>
  <si>
    <t>3972aae0-a52d-5593-914d-0fd42d24ee3d</t>
  </si>
  <si>
    <t>Chris Rahn</t>
  </si>
  <si>
    <t>7742047e-0f80-4c0f-a530-d07460165e86</t>
  </si>
  <si>
    <t>0.79</t>
  </si>
  <si>
    <t>All Will Be One</t>
  </si>
  <si>
    <t>9c96fa13-76b8-5d5e-a647-7bfded2528ed</t>
  </si>
  <si>
    <t>AONE</t>
  </si>
  <si>
    <t>Michael C. Hayes</t>
  </si>
  <si>
    <t>d119119f-9ee1-4cf1-a01f-e90b6a042155</t>
  </si>
  <si>
    <t>Blossoming Calm</t>
  </si>
  <si>
    <t>1s</t>
  </si>
  <si>
    <t>horizontalstamped</t>
  </si>
  <si>
    <t>e9f0c596-9d75-59e1-bebb-ea3b441e9cd6</t>
  </si>
  <si>
    <t>stamped</t>
  </si>
  <si>
    <t>Filipe Pagliuso</t>
  </si>
  <si>
    <t>64c537b4-a864-4051-9a24-fbdd22cb40b4</t>
  </si>
  <si>
    <t>Rampant Frogantua</t>
  </si>
  <si>
    <t>3951c090-e5dd-589e-b74b-ab8e03a895a7</t>
  </si>
  <si>
    <t>AMH3</t>
  </si>
  <si>
    <t>Season of Weaving</t>
  </si>
  <si>
    <t>135a9490-d909-58cf-b069-fda758ec14ea</t>
  </si>
  <si>
    <t>ABLB</t>
  </si>
  <si>
    <t>Suzanne Helmigh</t>
  </si>
  <si>
    <t>65d77b0b-6cca-4adf-a7ee-610c96d02371</t>
  </si>
  <si>
    <t>Chillerpillar</t>
  </si>
  <si>
    <t>75138b6b-c6a8-5f2f-b82f-08d9c04ecc8d</t>
  </si>
  <si>
    <t>Maxime Minard</t>
  </si>
  <si>
    <t>a9065769-afcd-4e54-a3c0-5809e7b4108b</t>
  </si>
  <si>
    <t>{"reverseRelated": ["Burn Down the House", "Dance with Devils", "Devils' Playground", "I Call for Slaughter", "Maestros Diabolist", "Make Mischief", "Ob Nixilis, the Adversary", "Pugnacious Pugilist", "Raphael, Fiendish Savior", "Spiked Corridor // Torture Pit", "Tibalt, Rakish Instigator", "Tibalt, Wicked Tormentor", "You Exist Only to Amuse", "Zariel, Archduke of Avernus", "Zurzoth, Chaos Rider"]}</t>
  </si>
  <si>
    <t>Burn Down the House, Dance with Devils, Devils' Playground, I Call for Slaughter, Maestros Diabolist, Make Mischief, Ob Nixilis, the Adversary, Pugnacious Pugilist, Raphael, Fiendish Savior, Spiked Corridor // Torture Pit, Tibalt, Rakish Instigator, Tibalt, Wicked Tormentor, You Exist Only to Amuse, Zariel, Archduke of Avernus, Zurzoth, Chaos Rider</t>
  </si>
  <si>
    <t>TDSC</t>
  </si>
  <si>
    <t>XiaoDi Jin</t>
  </si>
  <si>
    <t>28f8a8a9-c5da-46c7-9cfb-9bb18f3a6309</t>
  </si>
  <si>
    <t>legendary</t>
  </si>
  <si>
    <t>{"reverseRelated": ["Verix Bladewing"]}</t>
  </si>
  <si>
    <t>Verix Bladewing</t>
  </si>
  <si>
    <t>TDOM</t>
  </si>
  <si>
    <t>Kev Walker</t>
  </si>
  <si>
    <t>f366a0ee-a0cd-466d-ba6a-90058c7a31a6</t>
  </si>
  <si>
    <t>{"reverseRelated": ["A Killer Among Us", "Ardoz, Cobbler of War", "Battle Cry Goblin", "Beetleback Chief", "Blast from the Past", "Box of Free-Range Goblins", "Den of the Bugbear", "Dragon Fodder", "Empty the Warrens", "Garbage Elemental", "General Kreat, the Boltbringer", "Gift Horse", "Goblin Assault", "Goblin Gang Leader", "Goblin Gathering", "Goblin Goliath", "Goblin Instigator", "Goblin Marshal", "Goblin Morningstar", "Goblin Negotiation", "Goblin Offensive", "Goblin Rabblemaster", "Goblin Rally", "Goblin Surprise", "Goblin Traprunner", "Goblin War Party", "Goblin Warrens", "Goblinslide", "Hordeling Outburst", "Hunted Phantasm", "Ib Halfheart, Goblin Tactician", "Jund", "Kathari Bomber", "Krenko's Command", "Krenko, Baron of Tin Street", "Krenko, Mob Boss", "Krenko, Tin Street Kingpin", "Kuldotha Rebirth", "Legion Warboss", "Lost Mine of Phandelver", "Mardu Ascendancy", "Mogg Alarm", "Mogg Infestation", "Mogg War Marshal", "Pashalik Mons", "Ponyback Brigade", "Rasputin, the Oneiromancer", "Rulik Mons, Warren Chief", "Sarpadian Empires, Vol. VII", "Searslicer Goblin", "Siege-Gang Commander", "Siege-Gang Lieutenant", "Sling-Gang Lieutenant", "Squee, Dubious Monarch", "Survey the Wreckage", "Swarming Goblins", "Tin Street Cadet", "Warbreak Trumpeter", "You See a Pair of Goblins"]}</t>
  </si>
  <si>
    <t>A Killer Among Us, Ardoz, Cobbler of War, Battle Cry Goblin, Beetleback Chief, Blast from the Past, Box of Free-Range Goblins, Den of the Bugbear, Dragon Fodder, Empty the Warrens, Garbage Elemental, General Kreat, the Boltbringer, Gift Horse, Goblin Assault, Goblin Gang Leader, Goblin Gathering, Goblin Goliath, Goblin Instigator, Goblin Marshal, Goblin Morningstar, Goblin Negotiation, Goblin Offensive, Goblin Rabblemaster, Goblin Rally, Goblin Surprise, Goblin Traprunner, Goblin War Party, Goblin Warrens, Goblinslide, Hordeling Outburst, Hunted Phantasm, Ib Halfheart, Goblin Tactician, Jund, Kathari Bomber, Krenko's Command, Krenko, Baron of Tin Street, Krenko, Mob Boss, Krenko, Tin Street Kingpin, Kuldotha Rebirth, Legion Warboss, Lost Mine of Phandelver, Mardu Ascendancy, Mogg Alarm, Mogg Infestation, Mogg War Marshal, Pashalik Mons, Ponyback Brigade, Rasputin, the Oneiromancer, Rulik Mons, Warren Chief, Sarpadian Empires, Vol. VII, Searslicer Goblin, Siege-Gang Commander, Siege-Gang Lieutenant, Sling-Gang Lieutenant, Squee, Dubious Monarch, Survey the Wreckage, Swarming Goblins, Tin Street Cadet, Warbreak Trumpeter, You See a Pair of Goblins</t>
  </si>
  <si>
    <t>TM3C</t>
  </si>
  <si>
    <t>Island</t>
  </si>
  <si>
    <t>5105c4cc-3589-555b-8e96-645e6744a7a5</t>
  </si>
  <si>
    <t>AFDN</t>
  </si>
  <si>
    <t>Jeff Dee</t>
  </si>
  <si>
    <t>623129e5-3984-4d9b-b412-9b283a51b81d</t>
  </si>
  <si>
    <t>Jan Jansen, Chaos Crafter</t>
  </si>
  <si>
    <t>vertical</t>
  </si>
  <si>
    <t>975e6e71-0680-5a0d-ac59-03df36f67dda</t>
  </si>
  <si>
    <t>ACLB</t>
  </si>
  <si>
    <t>Filip Burburan</t>
  </si>
  <si>
    <t>66082c3b-a623-4d34-be51-2475214b85d3</t>
  </si>
  <si>
    <t>Unblinking Observer</t>
  </si>
  <si>
    <t>174fab69-feac-5f8a-849e-d4171d1a5fbd</t>
  </si>
  <si>
    <t>AMID</t>
  </si>
  <si>
    <t>CardId</t>
  </si>
  <si>
    <t>CardsOwned</t>
  </si>
  <si>
    <t>CardsForTrade</t>
  </si>
  <si>
    <t>Condition</t>
  </si>
  <si>
    <t>Finish</t>
  </si>
  <si>
    <t>Near Mint</t>
  </si>
  <si>
    <t>French</t>
  </si>
  <si>
    <t>etched</t>
  </si>
  <si>
    <t>Excellent</t>
  </si>
  <si>
    <t>Light Played</t>
  </si>
  <si>
    <t>Good</t>
  </si>
  <si>
    <t>German</t>
  </si>
  <si>
    <t>Poor</t>
  </si>
  <si>
    <t>Kicker, Kicker</t>
  </si>
  <si>
    <t>Defender, Defender</t>
  </si>
  <si>
    <t>Mint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</si>
</sst>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F986C-225C-4F79-A7D6-053249FD50D8}" name="Table1" displayName="Table1" ref="A1:V60" totalsRowShown="0">
  <autoFilter ref="A1:V60" xr:uid="{656F986C-225C-4F79-A7D6-053249FD50D8}">
    <filterColumn colId="7">
      <filters>
        <filter val="G"/>
        <filter val="G, U"/>
        <filter val="R"/>
      </filters>
    </filterColumn>
    <filterColumn colId="13">
      <filters>
        <filter val="2.0"/>
        <filter val="3.0"/>
        <filter val="4.0"/>
        <filter val="5.0"/>
        <filter val="6.0"/>
        <filter val="7.0"/>
      </filters>
    </filterColumn>
    <filterColumn colId="18">
      <filters>
        <filter val="common"/>
        <filter val="uncommon"/>
      </filters>
    </filterColumn>
  </autoFilter>
  <tableColumns count="22">
    <tableColumn id="1" xr3:uid="{BC2E6466-C9BA-46FE-9880-43BFCCB48D8B}" name="Name"/>
    <tableColumn id="2" xr3:uid="{3418E4C5-1E22-4DE2-AD0B-B585C811C356}" name="SetName"/>
    <tableColumn id="3" xr3:uid="{E0C97CD2-F2CC-4663-A1D4-4F6C5A73AE40}" name="ReleaseDate" dataDxfId="1"/>
    <tableColumn id="4" xr3:uid="{2FE50ED0-B842-42FF-AE4B-205591723C11}" name="KeyRuneImage"/>
    <tableColumn id="5" xr3:uid="{281AE793-7792-49E8-AD42-94E51050ECE2}" name="ManaCost"/>
    <tableColumn id="6" xr3:uid="{D8207F68-8266-42EA-999B-7A7AE0BD3D1A}" name="ManaCostImage"/>
    <tableColumn id="7" xr3:uid="{12EEB508-2DE1-484D-A905-FA2A61D91127}" name="Types"/>
    <tableColumn id="8" xr3:uid="{AE3C9F8A-6782-4054-ACE9-30B2A9C60B59}" name="Colors"/>
    <tableColumn id="9" xr3:uid="{00FAD0BB-F65D-4A19-9111-FC3300023BF3}" name="SuperTypes"/>
    <tableColumn id="10" xr3:uid="{808230A2-EBFF-45A1-9681-41523BDD8A73}" name="SubTypes"/>
    <tableColumn id="11" xr3:uid="{F0E0D1F0-ACD8-4EB1-B7E1-53CAF116194A}" name="Type"/>
    <tableColumn id="12" xr3:uid="{5AEEE1D5-7FD0-4975-A2DA-818B0EE617A0}" name="Keywords"/>
    <tableColumn id="13" xr3:uid="{D46CAA36-F3A5-4E11-A829-45DF4F90A123}" name="RulesText"/>
    <tableColumn id="14" xr3:uid="{DF68C5DF-B852-4D26-8736-E74EC4C2582A}" name="ManaValue"/>
    <tableColumn id="15" xr3:uid="{48B486B7-E70C-43B9-A136-DB6888AFE7ED}" name="Language"/>
    <tableColumn id="16" xr3:uid="{1FE133FC-08B2-4E11-9936-0F633F304220}" name="Uuid"/>
    <tableColumn id="17" xr3:uid="{DFFF979F-9008-40AC-A700-4A1853AFC7EC}" name="Finishes"/>
    <tableColumn id="18" xr3:uid="{CE66BF63-65F3-452A-B453-8B8F1EC14807}" name="Side"/>
    <tableColumn id="19" xr3:uid="{6DCC3017-E806-494C-93D0-DD1B484E4154}" name="Rarity"/>
    <tableColumn id="20" xr3:uid="{F1B8067C-DC2F-4DA0-9077-10CEFB02F3F8}" name="NormalPrice"/>
    <tableColumn id="21" xr3:uid="{3FD7BD1B-6C0C-4BD8-9186-55A6EEC2C34E}" name="FoilPrice"/>
    <tableColumn id="22" xr3:uid="{1D226D10-7907-4FB6-BD12-E36986B13F79}" name="EtchedPric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38B013-55FD-4B94-A2EF-F507FC8588B5}" name="Table4" displayName="Table4" ref="A1:AA23" totalsRowShown="0">
  <autoFilter ref="A1:AA23" xr:uid="{5038B013-55FD-4B94-A2EF-F507FC8588B5}">
    <filterColumn colId="7">
      <filters>
        <filter val="G"/>
        <filter val="R"/>
      </filters>
    </filterColumn>
    <filterColumn colId="13">
      <filters>
        <filter val="2.0"/>
        <filter val="3.0"/>
        <filter val="4.0"/>
        <filter val="5.0"/>
        <filter val="6.0"/>
      </filters>
    </filterColumn>
    <filterColumn colId="23">
      <filters>
        <filter val="common"/>
        <filter val="uncommon"/>
      </filters>
    </filterColumn>
  </autoFilter>
  <tableColumns count="27">
    <tableColumn id="1" xr3:uid="{BBC6B022-BFDE-4776-9613-09CF331254FA}" name="Name"/>
    <tableColumn id="2" xr3:uid="{E35C4BC7-C63A-4885-A78B-2D90DBCC67E8}" name="SetName"/>
    <tableColumn id="3" xr3:uid="{6BFCA44C-D543-459E-80BF-4E144F4F2CD7}" name="ReleaseDate" dataDxfId="0"/>
    <tableColumn id="4" xr3:uid="{30825F7F-E01D-42DF-9B20-125488BF2502}" name="KeyRuneImage"/>
    <tableColumn id="5" xr3:uid="{6E1105A1-3CFF-4011-96B1-430F0D385806}" name="ManaCost"/>
    <tableColumn id="6" xr3:uid="{27CF659C-A6C4-415C-B5F2-5D5CF5CADAB3}" name="ManaCostImage"/>
    <tableColumn id="7" xr3:uid="{4BF178AB-190C-48FB-AC60-EBB9B2533AAC}" name="Types"/>
    <tableColumn id="8" xr3:uid="{11C63418-AE38-430C-A21C-036D6528730B}" name="Colors"/>
    <tableColumn id="9" xr3:uid="{D1B3BD9E-BB39-4045-B6F4-EC9050A49F6C}" name="SuperTypes"/>
    <tableColumn id="10" xr3:uid="{EEE61566-ACFA-48ED-9DC1-B96BF16EDDAC}" name="SubTypes"/>
    <tableColumn id="11" xr3:uid="{B8400885-D1D1-4971-B834-0F3DD3995517}" name="Type"/>
    <tableColumn id="12" xr3:uid="{8C2ADA75-D2D4-4BC0-9AEC-6FC647865380}" name="Keywords"/>
    <tableColumn id="13" xr3:uid="{A6ECB500-9E2B-4AA5-9692-76E14C0702DD}" name="RulesText"/>
    <tableColumn id="14" xr3:uid="{C5A8F756-5522-43F8-B33A-F32B28A2069A}" name="ManaValue"/>
    <tableColumn id="15" xr3:uid="{111A3A9C-5449-41D6-9F8A-68210B26FE9A}" name="Finishes"/>
    <tableColumn id="16" xr3:uid="{19097050-E820-4D7B-9FE4-CD5810089A7B}" name="Uuid"/>
    <tableColumn id="17" xr3:uid="{ED828A68-D3E8-4B35-A41D-7CF82B8991B9}" name="CardId"/>
    <tableColumn id="18" xr3:uid="{3CA9C234-C121-495B-9DB0-AE8646754EE6}" name="CardsOwned"/>
    <tableColumn id="19" xr3:uid="{D9198F9E-DE89-46BC-BBFF-9330CE541D73}" name="CardsForTrade"/>
    <tableColumn id="20" xr3:uid="{A4CBA622-7234-42C6-A78B-E1F78359AF41}" name="Condition"/>
    <tableColumn id="21" xr3:uid="{6BE0157E-CA60-4454-9269-4E1293EED18D}" name="Language"/>
    <tableColumn id="22" xr3:uid="{547AE444-8582-4767-9813-814E29DEAC70}" name="Finish"/>
    <tableColumn id="23" xr3:uid="{37E0E5EC-F7AA-4E97-A941-A8391E0499E8}" name="Side"/>
    <tableColumn id="24" xr3:uid="{E1A9758E-EA83-4546-98FF-0BB9FAE4166D}" name="Rarity"/>
    <tableColumn id="25" xr3:uid="{697F6E1D-4BF6-4E68-AAF3-BC841F3FB652}" name="NormalPrice"/>
    <tableColumn id="26" xr3:uid="{D47409DE-B462-408B-8420-CDC28D1B9E89}" name="FoilPrice"/>
    <tableColumn id="27" xr3:uid="{C38FB472-E9CC-42F5-90F9-45FFF2455DAD}" name="EtchedPric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C24C4-E5C2-49A1-8CEC-A03BA4B63659}" name="Table2" displayName="Table2" ref="A1:BZ39" totalsRowShown="0">
  <autoFilter ref="A1:BZ39" xr:uid="{6B5C24C4-E5C2-49A1-8CEC-A03BA4B63659}"/>
  <tableColumns count="78">
    <tableColumn id="1" xr3:uid="{3EA4132A-74D9-46F9-93AF-A3DEFB734703}" name="artist"/>
    <tableColumn id="2" xr3:uid="{6059952C-F4DE-49DE-850F-2F8399D75EAD}" name="artistIds"/>
    <tableColumn id="3" xr3:uid="{5942B846-C972-41D7-90E8-5ECC2F2D03EB}" name="asciiName"/>
    <tableColumn id="4" xr3:uid="{E07340A0-AE08-4E16-B7D2-F81703BCD459}" name="attractionLights"/>
    <tableColumn id="5" xr3:uid="{CC0355BA-EE77-41E9-BECD-7AFB49FACD37}" name="availability"/>
    <tableColumn id="6" xr3:uid="{1DCFBE39-00D8-40CF-9E81-8F1B00AD5D67}" name="boosterTypes"/>
    <tableColumn id="7" xr3:uid="{4CB916A9-1482-47E7-85DD-397E65CA7152}" name="borderColor"/>
    <tableColumn id="8" xr3:uid="{3ECFFAB1-92B8-4F0F-AC11-0305FB3387A5}" name="cardParts"/>
    <tableColumn id="9" xr3:uid="{A872EA8D-10CA-46CF-83ED-5C66BC5AFB7F}" name="colorIdentity"/>
    <tableColumn id="10" xr3:uid="{F7A5A593-C87B-44DC-A6B5-0256EE14DB6D}" name="colorIndicator"/>
    <tableColumn id="11" xr3:uid="{2D70C0F1-4AF6-4B69-BFCE-4C43B45BDB4E}" name="colors"/>
    <tableColumn id="12" xr3:uid="{5FD600B0-D364-45DD-835B-6CB859936D00}" name="defense"/>
    <tableColumn id="13" xr3:uid="{C7887BB8-76C3-4A30-AA5F-FA0983774F87}" name="duelDeck"/>
    <tableColumn id="14" xr3:uid="{97F98AEB-3DB2-4AAF-BD43-7C7C76678DDB}" name="edhrecRank"/>
    <tableColumn id="15" xr3:uid="{EE079D01-52D6-496E-8778-F5758562FCD2}" name="edhrecSaltiness"/>
    <tableColumn id="16" xr3:uid="{49B0E25B-1994-45ED-B9A1-EE8DA13AE965}" name="faceConvertedManaCost"/>
    <tableColumn id="17" xr3:uid="{A87AABB0-EFAE-4EC7-9A4A-E0E272EF94D9}" name="faceFlavorName"/>
    <tableColumn id="18" xr3:uid="{47D197CD-337C-485B-B9BA-593544DFD220}" name="faceManaValue"/>
    <tableColumn id="19" xr3:uid="{E9EA7B49-D1C1-4CC9-A5B6-151DF6A7EBD4}" name="faceName"/>
    <tableColumn id="20" xr3:uid="{F27EA8B9-874A-4925-8D56-7EB86DE3E649}" name="finishes"/>
    <tableColumn id="21" xr3:uid="{6CF078FF-0230-4B02-9E76-ED0C8819BCF7}" name="flavorName"/>
    <tableColumn id="22" xr3:uid="{5A94282F-FC40-4929-A482-676401312972}" name="flavorText"/>
    <tableColumn id="23" xr3:uid="{B68C290B-0FFE-4AE3-B3E5-841A3991889A}" name="frameEffects"/>
    <tableColumn id="24" xr3:uid="{911530F6-39BB-47AD-A271-92DEE9DF63F4}" name="frameVersion"/>
    <tableColumn id="25" xr3:uid="{1A350160-D289-4AC3-BDF1-B8BA30C45E26}" name="hand"/>
    <tableColumn id="26" xr3:uid="{F3D4FC6A-2A01-4F78-BAFF-77C078653CAC}" name="hasAlternativeDeckLimit"/>
    <tableColumn id="27" xr3:uid="{0A101C32-1DF3-40E1-B649-2F3DEF497D51}" name="hasContentWarning"/>
    <tableColumn id="28" xr3:uid="{F7395DA6-4348-45BF-BC8D-C39D3F0132EE}" name="hasFoil"/>
    <tableColumn id="29" xr3:uid="{2BCE1D65-52A0-4B36-A72A-25678278C5B6}" name="hasNonFoil"/>
    <tableColumn id="30" xr3:uid="{FE572265-C803-48FC-8DA9-3760F53A2A70}" name="isAlternative"/>
    <tableColumn id="31" xr3:uid="{69E9C9EA-5283-490E-9874-97DAB5F17402}" name="isFullArt"/>
    <tableColumn id="32" xr3:uid="{67360480-98EF-46C0-A265-F36120D4FD73}" name="isFunny"/>
    <tableColumn id="33" xr3:uid="{DA43EC9F-E230-437C-B942-4D7688822FB8}" name="isOnlineOnly"/>
    <tableColumn id="34" xr3:uid="{DC7D5D0E-E497-475F-B112-06D65519A481}" name="isOversized"/>
    <tableColumn id="35" xr3:uid="{8840F6FC-C2CF-471F-875C-D8BC5D4071FB}" name="isPromo"/>
    <tableColumn id="36" xr3:uid="{20EB8CCC-846C-4B93-8843-8952D3AF5B12}" name="isRebalanced"/>
    <tableColumn id="37" xr3:uid="{0EDBD6A3-0C38-46D9-BC3F-C21DE6531CB4}" name="isReprint"/>
    <tableColumn id="38" xr3:uid="{C0D2B60A-6150-4B41-8F76-385C3906D488}" name="isReserved"/>
    <tableColumn id="39" xr3:uid="{95FB1F5B-2AF8-4D91-9126-140FACB79E94}" name="isStarter"/>
    <tableColumn id="40" xr3:uid="{C027584D-F0A3-4F23-87BB-69E7C38DAA32}" name="isStorySpotlight"/>
    <tableColumn id="41" xr3:uid="{9178108D-4FC5-4FDD-81A3-1BD22E076455}" name="isTextless"/>
    <tableColumn id="42" xr3:uid="{3D1990FA-F282-4908-A485-778750697E79}" name="isTimeshifted"/>
    <tableColumn id="43" xr3:uid="{41226FD8-152A-48C5-8F7C-60E647B10D46}" name="keywords"/>
    <tableColumn id="44" xr3:uid="{C146EEE3-BD3D-4AF3-9BFE-FD157B71A103}" name="language"/>
    <tableColumn id="45" xr3:uid="{E080519F-96B5-4210-8B3C-AAA107E42F71}" name="layout"/>
    <tableColumn id="46" xr3:uid="{880304BA-E276-48C4-8EDE-740D8D5CD612}" name="leadershipSkills"/>
    <tableColumn id="47" xr3:uid="{FCC8985B-8B63-4528-A6DD-6952A4F144F3}" name="life"/>
    <tableColumn id="48" xr3:uid="{D5E08E4E-E1D4-4038-8DE6-3AF2AF01277E}" name="loyalty"/>
    <tableColumn id="49" xr3:uid="{41950A5E-929B-47A0-BACC-693B0500D549}" name="manaCost"/>
    <tableColumn id="50" xr3:uid="{565D14DB-BB99-4825-984C-DAF9A0A265F8}" name="manaValue"/>
    <tableColumn id="51" xr3:uid="{568FDDA0-FB7C-4868-8082-1E2F706070A4}" name="name"/>
    <tableColumn id="52" xr3:uid="{D731EAEF-AFBE-4D32-AA5B-11AB951E8D08}" name="number"/>
    <tableColumn id="53" xr3:uid="{02E696FA-F64F-48E4-9B35-6BA48B08A787}" name="originalPrintings"/>
    <tableColumn id="54" xr3:uid="{47EFA060-2159-4E67-A3DD-FE42EC7704AD}" name="originalReleaseDate"/>
    <tableColumn id="55" xr3:uid="{AE1A3722-BEC6-4852-A02A-2DC889896CAF}" name="originalText"/>
    <tableColumn id="56" xr3:uid="{B33AE4BE-D8D0-49C2-A38D-4F9DE7906900}" name="originalType"/>
    <tableColumn id="57" xr3:uid="{B89D195C-DCDD-427C-9497-012149023F69}" name="otherFaceIds"/>
    <tableColumn id="58" xr3:uid="{5F73BE81-0255-4216-AB89-56C4F78600F9}" name="power"/>
    <tableColumn id="59" xr3:uid="{866ED1C4-4B06-4E8F-8484-7C8179B1A57D}" name="printings"/>
    <tableColumn id="60" xr3:uid="{B8585715-6BAB-4897-A99E-5ABF88D2B2B0}" name="promoTypes"/>
    <tableColumn id="61" xr3:uid="{864897FA-A513-49AF-9C69-25B1D057481B}" name="rarity"/>
    <tableColumn id="62" xr3:uid="{2487F9F6-1373-4EE7-AB67-74ABF1975967}" name="rebalancedPrintings"/>
    <tableColumn id="63" xr3:uid="{63236E52-2510-47E0-B70F-12C31D9A6874}" name="relatedCards"/>
    <tableColumn id="64" xr3:uid="{B856E42D-626E-4A6D-8D2A-3E6270774ADD}" name="securityStamp"/>
    <tableColumn id="65" xr3:uid="{28EB9965-54BF-4FC1-AB74-A77ED103A024}" name="setCode"/>
    <tableColumn id="66" xr3:uid="{DF3805DE-C417-4A26-BED3-3B3085A0F4B1}" name="side"/>
    <tableColumn id="67" xr3:uid="{FB007DAF-4BED-4098-9B41-17B30BC5B0E3}" name="signature"/>
    <tableColumn id="68" xr3:uid="{7C927615-6677-4529-A94E-BC347A7189F8}" name="sourceProducts"/>
    <tableColumn id="69" xr3:uid="{6932E7A8-FC55-4661-95C5-880B88B23AC6}" name="subsets"/>
    <tableColumn id="70" xr3:uid="{C7D6C64E-2247-4149-A74E-5212B066783C}" name="subtypes"/>
    <tableColumn id="71" xr3:uid="{539D0759-64B7-46E6-9E32-94F0A5B2D28B}" name="supertypes"/>
    <tableColumn id="72" xr3:uid="{392AD717-5CC0-4945-8AB4-7C7801546C0D}" name="text"/>
    <tableColumn id="73" xr3:uid="{3DB7C36D-E0C8-4349-9C18-23B6F5F064B0}" name="toughness"/>
    <tableColumn id="74" xr3:uid="{32C0AEA9-A850-493F-BCFE-6FFFA15D3DA9}" name="type"/>
    <tableColumn id="75" xr3:uid="{13D1C9B5-4A1A-419F-A2AF-78187895A7D0}" name="types"/>
    <tableColumn id="76" xr3:uid="{E41CA7A1-9C2B-4121-A91E-76D37A0B8055}" name="uuid"/>
    <tableColumn id="77" xr3:uid="{6901E2E3-53FD-47E7-BE5D-0F69E12BCFB0}" name="variations"/>
    <tableColumn id="78" xr3:uid="{D5FA57CC-A275-493E-8A01-BD128EF2F36D}" name="watermark"/>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8C32B-3528-4C00-8332-00BE7697FC91}" name="Table3" displayName="Table3" ref="A1:AW22" totalsRowShown="0">
  <autoFilter ref="A1:AW22" xr:uid="{1428C32B-3528-4C00-8332-00BE7697FC91}"/>
  <tableColumns count="49">
    <tableColumn id="1" xr3:uid="{9B35596A-C5BD-4E96-AB2E-6C6DDFB7CF1B}" name="artist"/>
    <tableColumn id="2" xr3:uid="{790FC2DD-D559-4F1C-B19E-B1DF43D89334}" name="artistIds"/>
    <tableColumn id="3" xr3:uid="{6217010C-A1D9-4C92-A512-920AA8EB806A}" name="asciiName"/>
    <tableColumn id="4" xr3:uid="{D0EF038C-2417-4142-9AA9-47E46F90AFEB}" name="availability"/>
    <tableColumn id="5" xr3:uid="{C6F2F6A2-35F8-47DB-8C70-CC55760664D9}" name="boosterTypes"/>
    <tableColumn id="6" xr3:uid="{EE9A21B9-8BDC-4FAD-857B-E97779DF4C29}" name="borderColor"/>
    <tableColumn id="7" xr3:uid="{154D9F3C-B32B-4DBA-AAB9-0E77572549BE}" name="colorIdentity"/>
    <tableColumn id="8" xr3:uid="{FC930B3A-1DF4-41C4-982F-FAC523FBF7A5}" name="colors"/>
    <tableColumn id="9" xr3:uid="{A7C8A61B-D56D-4A3D-AEF3-6243C0822E40}" name="edhrecSaltiness"/>
    <tableColumn id="10" xr3:uid="{5FF3C98E-55EC-467E-A922-5D6EEA9C42DB}" name="faceName"/>
    <tableColumn id="11" xr3:uid="{337B8F89-E363-4D40-8BA1-5324E9B251D8}" name="finishes"/>
    <tableColumn id="12" xr3:uid="{19A2D0B9-1CF7-4F00-9296-83056F19B1F2}" name="flavorName"/>
    <tableColumn id="13" xr3:uid="{5BAB5B96-7555-4F98-A0A1-ACDF886A043C}" name="flavorText"/>
    <tableColumn id="14" xr3:uid="{354E0082-825B-4B6B-9B65-89D073E423D3}" name="frameEffects"/>
    <tableColumn id="15" xr3:uid="{F40BCCED-0107-4900-93E1-D83C7DBE590A}" name="frameVersion"/>
    <tableColumn id="16" xr3:uid="{FB0738E0-7289-4E2A-80F8-DA513D2044E0}" name="hasFoil"/>
    <tableColumn id="17" xr3:uid="{CD519D29-396E-4D80-A0BA-1A723B2F482C}" name="hasNonFoil"/>
    <tableColumn id="18" xr3:uid="{8F806317-03B0-4667-B5DE-4985AA3CA331}" name="isFullArt"/>
    <tableColumn id="19" xr3:uid="{BC788AFC-A593-4A4D-85B0-48D9FF00B237}" name="isFunny"/>
    <tableColumn id="20" xr3:uid="{45121F38-F6FB-41F4-8FC4-697CBAF43E3B}" name="isOversized"/>
    <tableColumn id="21" xr3:uid="{91463555-8E7F-4FB3-8C1E-E88525F616B6}" name="isPromo"/>
    <tableColumn id="22" xr3:uid="{C5717E64-F9BC-405F-9FA1-7DE1EAFBE739}" name="isReprint"/>
    <tableColumn id="23" xr3:uid="{66BC1A15-AC82-4801-A1B7-BCA937B3A285}" name="isTextless"/>
    <tableColumn id="24" xr3:uid="{C62A9EAC-2977-43CC-8AED-A00997EC4A12}" name="keywords"/>
    <tableColumn id="25" xr3:uid="{7D5A78A6-F391-4B0E-9F28-0916E85F279B}" name="language"/>
    <tableColumn id="26" xr3:uid="{4641B958-ACDB-4C0D-A504-F30B98A6C8BE}" name="layout"/>
    <tableColumn id="27" xr3:uid="{6DE88A66-A539-4018-8E4F-B6BC7EB2B570}" name="manaCost"/>
    <tableColumn id="28" xr3:uid="{544335BD-2C66-4564-878F-85B9D41B0D9A}" name="name"/>
    <tableColumn id="29" xr3:uid="{58C39B81-A869-4D4D-87C8-863D79D4B028}" name="number"/>
    <tableColumn id="30" xr3:uid="{E45C93F3-5BA5-41C9-92CA-03E0E85B4FB3}" name="orientation"/>
    <tableColumn id="31" xr3:uid="{87C71AD2-F57D-4ED2-9F9C-D80C06F21997}" name="originalText"/>
    <tableColumn id="32" xr3:uid="{93960789-BA5D-4E42-B33F-E05C9CDD58CE}" name="originalType"/>
    <tableColumn id="33" xr3:uid="{CB2B6FE8-5D7D-4E1D-B95C-839011F56D4A}" name="otherFaceIds"/>
    <tableColumn id="34" xr3:uid="{A0BAC780-45AB-4379-A69E-2747BBB4CF28}" name="power"/>
    <tableColumn id="35" xr3:uid="{813F9405-18EE-43E5-BBC9-72290C9012E5}" name="promoTypes"/>
    <tableColumn id="36" xr3:uid="{A2D84C92-8F2C-4110-95D6-B2E728DADA03}" name="relatedCards"/>
    <tableColumn id="37" xr3:uid="{BB303B99-5C9E-484C-A14B-FD6855806D96}" name="reverseRelated"/>
    <tableColumn id="38" xr3:uid="{6D803A84-9965-447B-AC31-F3D83A9B700F}" name="securityStamp"/>
    <tableColumn id="39" xr3:uid="{27A54A77-6AE2-42DD-A629-354C2D4DE0D6}" name="setCode"/>
    <tableColumn id="40" xr3:uid="{7F5ACA22-E3E7-4D0B-B094-972F6F010A1B}" name="side"/>
    <tableColumn id="41" xr3:uid="{38F89374-9F27-4A18-AEB3-BE823FAF7E88}" name="signature"/>
    <tableColumn id="42" xr3:uid="{A2147D76-DA04-4ED7-A037-8C05BE3292BC}" name="subtypes"/>
    <tableColumn id="43" xr3:uid="{C660DCEB-81D3-4D5F-90BB-49EC872A6E63}" name="supertypes"/>
    <tableColumn id="44" xr3:uid="{5B229A21-0496-4F12-B6B7-B9F5D1EEEA93}" name="text"/>
    <tableColumn id="45" xr3:uid="{91906FC3-345D-4D2F-BF53-B8FA3B68D1AE}" name="toughness"/>
    <tableColumn id="46" xr3:uid="{AA982C7D-64ED-4B48-9131-12005740F28C}" name="type"/>
    <tableColumn id="47" xr3:uid="{39DAD081-5F48-4DAB-9915-2335542B092F}" name="types"/>
    <tableColumn id="48" xr3:uid="{6D66BB3A-82E0-49F6-9905-D78F3A46E02F}" name="uuid"/>
    <tableColumn id="49" xr3:uid="{82BC7FD5-52B0-4955-80BB-3FB0CE203E79}" name="watermark"/>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7AF0-0602-4C7C-9D3A-09A3F75E1D40}">
  <dimension ref="A1:X60"/>
  <sheetViews>
    <sheetView workbookViewId="0">
      <selection activeCell="M2" sqref="M2"/>
    </sheetView>
  </sheetViews>
  <sheetFormatPr defaultRowHeight="15" x14ac:dyDescent="0.25"/>
  <cols>
    <col min="1" max="1" width="49.42578125" bestFit="1" customWidth="1"/>
    <col min="2" max="2" width="38.42578125" bestFit="1" customWidth="1"/>
    <col min="3" max="3" width="14.85546875" bestFit="1" customWidth="1"/>
    <col min="4" max="4" width="6.85546875" customWidth="1"/>
    <col min="5" max="5" width="12.28515625" bestFit="1" customWidth="1"/>
    <col min="6" max="6" width="6.85546875" customWidth="1"/>
    <col min="7" max="7" width="15.85546875" bestFit="1" customWidth="1"/>
    <col min="8" max="8" width="9.28515625" bestFit="1" customWidth="1"/>
    <col min="9" max="9" width="13.85546875" bestFit="1" customWidth="1"/>
    <col min="10" max="10" width="18.28515625" bestFit="1" customWidth="1"/>
    <col min="11" max="11" width="36" bestFit="1" customWidth="1"/>
    <col min="12" max="12" width="21" bestFit="1" customWidth="1"/>
    <col min="13" max="13" width="23.28515625" customWidth="1"/>
    <col min="14" max="14" width="13" bestFit="1" customWidth="1"/>
    <col min="15" max="15" width="11.7109375" bestFit="1" customWidth="1"/>
    <col min="16" max="16" width="38.140625" bestFit="1" customWidth="1"/>
    <col min="17" max="17" width="18.28515625" bestFit="1" customWidth="1"/>
    <col min="18" max="18" width="7.28515625" bestFit="1" customWidth="1"/>
    <col min="19" max="19" width="11.140625" bestFit="1" customWidth="1"/>
    <col min="20" max="20" width="14.42578125" bestFit="1" customWidth="1"/>
    <col min="21" max="21" width="11.140625" bestFit="1" customWidth="1"/>
    <col min="22" max="22" width="14.140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4" x14ac:dyDescent="0.25">
      <c r="A2" t="s">
        <v>22</v>
      </c>
      <c r="B2" t="s">
        <v>23</v>
      </c>
      <c r="C2" s="1">
        <v>45636</v>
      </c>
      <c r="D2" t="s">
        <v>24</v>
      </c>
      <c r="E2" t="s">
        <v>25</v>
      </c>
      <c r="F2" t="s">
        <v>26</v>
      </c>
      <c r="G2" t="s">
        <v>27</v>
      </c>
      <c r="H2" t="s">
        <v>28</v>
      </c>
      <c r="J2" t="s">
        <v>29</v>
      </c>
      <c r="K2" t="s">
        <v>30</v>
      </c>
      <c r="M2" t="s">
        <v>31</v>
      </c>
      <c r="N2" t="s">
        <v>32</v>
      </c>
      <c r="O2" t="s">
        <v>33</v>
      </c>
      <c r="P2" t="s">
        <v>34</v>
      </c>
      <c r="Q2" t="s">
        <v>35</v>
      </c>
      <c r="S2" t="s">
        <v>36</v>
      </c>
    </row>
    <row r="3" spans="1:24" hidden="1" x14ac:dyDescent="0.25">
      <c r="A3" t="s">
        <v>37</v>
      </c>
      <c r="B3" t="s">
        <v>38</v>
      </c>
      <c r="C3" s="1">
        <v>45611</v>
      </c>
      <c r="D3" t="s">
        <v>39</v>
      </c>
      <c r="G3" t="s">
        <v>40</v>
      </c>
      <c r="K3" t="s">
        <v>40</v>
      </c>
      <c r="O3" t="s">
        <v>33</v>
      </c>
      <c r="P3" t="s">
        <v>41</v>
      </c>
      <c r="Q3" t="s">
        <v>42</v>
      </c>
      <c r="R3" t="s">
        <v>43</v>
      </c>
      <c r="X3">
        <f>COUNTIF(Table1[ManaValue],"&gt;1.0")</f>
        <v>32</v>
      </c>
    </row>
    <row r="4" spans="1:24" hidden="1" x14ac:dyDescent="0.25">
      <c r="A4" t="s">
        <v>44</v>
      </c>
      <c r="B4" t="s">
        <v>45</v>
      </c>
      <c r="C4" s="1">
        <v>45611</v>
      </c>
      <c r="D4" t="s">
        <v>46</v>
      </c>
      <c r="E4" t="s">
        <v>47</v>
      </c>
      <c r="F4" t="s">
        <v>48</v>
      </c>
      <c r="G4" t="s">
        <v>27</v>
      </c>
      <c r="H4" t="s">
        <v>49</v>
      </c>
      <c r="J4" t="s">
        <v>50</v>
      </c>
      <c r="K4" t="s">
        <v>51</v>
      </c>
      <c r="L4" t="s">
        <v>52</v>
      </c>
      <c r="M4" t="s">
        <v>53</v>
      </c>
      <c r="N4" t="s">
        <v>54</v>
      </c>
      <c r="O4" t="s">
        <v>33</v>
      </c>
      <c r="P4" t="s">
        <v>55</v>
      </c>
      <c r="Q4" t="s">
        <v>35</v>
      </c>
      <c r="S4" t="s">
        <v>56</v>
      </c>
      <c r="T4" t="s">
        <v>57</v>
      </c>
    </row>
    <row r="5" spans="1:24" hidden="1" x14ac:dyDescent="0.25">
      <c r="A5" t="s">
        <v>58</v>
      </c>
      <c r="B5" t="s">
        <v>59</v>
      </c>
      <c r="C5" s="1">
        <v>45611</v>
      </c>
      <c r="D5" t="s">
        <v>46</v>
      </c>
      <c r="G5" t="s">
        <v>40</v>
      </c>
      <c r="K5" t="s">
        <v>40</v>
      </c>
      <c r="M5" t="s">
        <v>60</v>
      </c>
      <c r="O5" t="s">
        <v>33</v>
      </c>
      <c r="P5" t="s">
        <v>61</v>
      </c>
      <c r="Q5" t="s">
        <v>35</v>
      </c>
      <c r="X5">
        <f>COUNTIF(Table1[Rarity],"Mythic")</f>
        <v>4</v>
      </c>
    </row>
    <row r="6" spans="1:24" hidden="1" x14ac:dyDescent="0.25">
      <c r="A6" t="s">
        <v>62</v>
      </c>
      <c r="B6" t="s">
        <v>63</v>
      </c>
      <c r="C6" s="1">
        <v>45562</v>
      </c>
      <c r="D6" t="s">
        <v>64</v>
      </c>
      <c r="G6" t="s">
        <v>65</v>
      </c>
      <c r="H6" t="s">
        <v>28</v>
      </c>
      <c r="J6" t="s">
        <v>62</v>
      </c>
      <c r="K6" t="s">
        <v>66</v>
      </c>
      <c r="M6" t="s">
        <v>67</v>
      </c>
      <c r="O6" t="s">
        <v>33</v>
      </c>
      <c r="P6" t="s">
        <v>68</v>
      </c>
      <c r="Q6" t="s">
        <v>69</v>
      </c>
    </row>
    <row r="7" spans="1:24" hidden="1" x14ac:dyDescent="0.25">
      <c r="A7" t="s">
        <v>70</v>
      </c>
      <c r="B7" t="s">
        <v>71</v>
      </c>
      <c r="C7" s="1">
        <v>45506</v>
      </c>
      <c r="D7" t="s">
        <v>72</v>
      </c>
      <c r="G7" t="s">
        <v>65</v>
      </c>
      <c r="H7" t="s">
        <v>73</v>
      </c>
      <c r="J7" t="s">
        <v>70</v>
      </c>
      <c r="K7" t="s">
        <v>74</v>
      </c>
      <c r="L7" t="s">
        <v>75</v>
      </c>
      <c r="M7" t="s">
        <v>76</v>
      </c>
      <c r="O7" t="s">
        <v>33</v>
      </c>
      <c r="P7" t="s">
        <v>77</v>
      </c>
      <c r="Q7" t="s">
        <v>69</v>
      </c>
    </row>
    <row r="8" spans="1:24" hidden="1" x14ac:dyDescent="0.25">
      <c r="A8" t="s">
        <v>78</v>
      </c>
      <c r="B8" t="s">
        <v>79</v>
      </c>
      <c r="C8" s="1">
        <v>45506</v>
      </c>
      <c r="D8" t="s">
        <v>72</v>
      </c>
      <c r="G8" t="s">
        <v>40</v>
      </c>
      <c r="K8" t="s">
        <v>40</v>
      </c>
      <c r="O8" t="s">
        <v>33</v>
      </c>
      <c r="P8" t="s">
        <v>80</v>
      </c>
      <c r="Q8" t="s">
        <v>42</v>
      </c>
      <c r="R8" t="s">
        <v>43</v>
      </c>
    </row>
    <row r="9" spans="1:24" hidden="1" x14ac:dyDescent="0.25">
      <c r="A9" t="s">
        <v>81</v>
      </c>
      <c r="B9" t="s">
        <v>82</v>
      </c>
      <c r="C9" s="1">
        <v>45457</v>
      </c>
      <c r="D9" t="s">
        <v>83</v>
      </c>
      <c r="G9" t="s">
        <v>40</v>
      </c>
      <c r="K9" t="s">
        <v>40</v>
      </c>
      <c r="O9" t="s">
        <v>33</v>
      </c>
      <c r="P9" t="s">
        <v>84</v>
      </c>
      <c r="Q9" t="s">
        <v>42</v>
      </c>
      <c r="R9" t="s">
        <v>43</v>
      </c>
    </row>
    <row r="10" spans="1:24" hidden="1" x14ac:dyDescent="0.25">
      <c r="A10" t="s">
        <v>85</v>
      </c>
      <c r="B10" t="s">
        <v>86</v>
      </c>
      <c r="C10" s="1">
        <v>45457</v>
      </c>
      <c r="D10" t="s">
        <v>87</v>
      </c>
      <c r="G10" t="s">
        <v>65</v>
      </c>
      <c r="H10" t="s">
        <v>28</v>
      </c>
      <c r="J10" t="s">
        <v>85</v>
      </c>
      <c r="K10" t="s">
        <v>88</v>
      </c>
      <c r="O10" t="s">
        <v>33</v>
      </c>
      <c r="P10" t="s">
        <v>89</v>
      </c>
      <c r="Q10" t="s">
        <v>69</v>
      </c>
    </row>
    <row r="11" spans="1:24" hidden="1" x14ac:dyDescent="0.25">
      <c r="A11" t="s">
        <v>90</v>
      </c>
      <c r="B11" t="s">
        <v>91</v>
      </c>
      <c r="C11" s="1">
        <v>45331</v>
      </c>
      <c r="D11" t="s">
        <v>92</v>
      </c>
      <c r="G11" t="s">
        <v>65</v>
      </c>
      <c r="H11" t="s">
        <v>93</v>
      </c>
      <c r="J11" t="s">
        <v>90</v>
      </c>
      <c r="K11" t="s">
        <v>94</v>
      </c>
      <c r="O11" t="s">
        <v>33</v>
      </c>
      <c r="P11" t="s">
        <v>95</v>
      </c>
      <c r="Q11" t="s">
        <v>69</v>
      </c>
    </row>
    <row r="12" spans="1:24" hidden="1" x14ac:dyDescent="0.25">
      <c r="A12" t="s">
        <v>96</v>
      </c>
      <c r="B12" t="s">
        <v>97</v>
      </c>
      <c r="C12" s="1">
        <v>45247</v>
      </c>
      <c r="D12" t="s">
        <v>98</v>
      </c>
      <c r="G12" t="s">
        <v>99</v>
      </c>
      <c r="K12" t="s">
        <v>99</v>
      </c>
      <c r="M12" t="s">
        <v>100</v>
      </c>
      <c r="N12" t="s">
        <v>101</v>
      </c>
      <c r="O12" t="s">
        <v>33</v>
      </c>
      <c r="P12" t="s">
        <v>102</v>
      </c>
      <c r="Q12" t="s">
        <v>69</v>
      </c>
      <c r="S12" t="s">
        <v>56</v>
      </c>
      <c r="T12" t="s">
        <v>103</v>
      </c>
      <c r="U12" t="s">
        <v>104</v>
      </c>
    </row>
    <row r="13" spans="1:24" hidden="1" x14ac:dyDescent="0.25">
      <c r="A13" t="s">
        <v>105</v>
      </c>
      <c r="B13" t="s">
        <v>106</v>
      </c>
      <c r="C13" s="1">
        <v>45212</v>
      </c>
      <c r="D13" t="s">
        <v>107</v>
      </c>
      <c r="E13" t="s">
        <v>108</v>
      </c>
      <c r="F13" t="s">
        <v>109</v>
      </c>
      <c r="G13" t="s">
        <v>27</v>
      </c>
      <c r="H13" t="s">
        <v>110</v>
      </c>
      <c r="I13" t="s">
        <v>111</v>
      </c>
      <c r="J13" t="s">
        <v>112</v>
      </c>
      <c r="K13" t="s">
        <v>113</v>
      </c>
      <c r="L13" t="s">
        <v>114</v>
      </c>
      <c r="M13" t="s">
        <v>115</v>
      </c>
      <c r="N13" t="s">
        <v>116</v>
      </c>
      <c r="O13" t="s">
        <v>33</v>
      </c>
      <c r="P13" t="s">
        <v>117</v>
      </c>
      <c r="Q13" t="s">
        <v>69</v>
      </c>
      <c r="S13" t="s">
        <v>56</v>
      </c>
    </row>
    <row r="14" spans="1:24" hidden="1" x14ac:dyDescent="0.25">
      <c r="A14" t="s">
        <v>118</v>
      </c>
      <c r="B14" t="s">
        <v>119</v>
      </c>
      <c r="C14" s="1">
        <v>45177</v>
      </c>
      <c r="D14" t="s">
        <v>120</v>
      </c>
      <c r="G14" t="s">
        <v>65</v>
      </c>
      <c r="H14" t="s">
        <v>93</v>
      </c>
      <c r="J14" t="s">
        <v>118</v>
      </c>
      <c r="K14" t="s">
        <v>121</v>
      </c>
      <c r="O14" t="s">
        <v>33</v>
      </c>
      <c r="P14" t="s">
        <v>122</v>
      </c>
      <c r="Q14" t="s">
        <v>69</v>
      </c>
    </row>
    <row r="15" spans="1:24" hidden="1" x14ac:dyDescent="0.25">
      <c r="A15" t="s">
        <v>123</v>
      </c>
      <c r="B15" t="s">
        <v>124</v>
      </c>
      <c r="C15" s="1">
        <v>44960</v>
      </c>
      <c r="D15" t="s">
        <v>125</v>
      </c>
      <c r="G15" t="s">
        <v>40</v>
      </c>
      <c r="K15" t="s">
        <v>40</v>
      </c>
      <c r="O15" t="s">
        <v>33</v>
      </c>
      <c r="P15" s="2" t="s">
        <v>126</v>
      </c>
      <c r="Q15" t="s">
        <v>42</v>
      </c>
      <c r="R15" t="s">
        <v>43</v>
      </c>
    </row>
    <row r="16" spans="1:24" hidden="1" x14ac:dyDescent="0.25">
      <c r="A16" t="s">
        <v>127</v>
      </c>
      <c r="B16" t="s">
        <v>128</v>
      </c>
      <c r="C16" s="1">
        <v>44722</v>
      </c>
      <c r="D16" t="s">
        <v>129</v>
      </c>
      <c r="G16" t="s">
        <v>40</v>
      </c>
      <c r="K16" t="s">
        <v>40</v>
      </c>
      <c r="O16" t="s">
        <v>33</v>
      </c>
      <c r="P16" t="s">
        <v>130</v>
      </c>
      <c r="Q16" t="s">
        <v>42</v>
      </c>
      <c r="R16" t="s">
        <v>43</v>
      </c>
    </row>
    <row r="17" spans="1:22" hidden="1" x14ac:dyDescent="0.25">
      <c r="A17" t="s">
        <v>131</v>
      </c>
      <c r="B17" t="s">
        <v>132</v>
      </c>
      <c r="C17" s="1">
        <v>44519</v>
      </c>
      <c r="D17" t="s">
        <v>133</v>
      </c>
      <c r="G17" t="s">
        <v>40</v>
      </c>
      <c r="K17" t="s">
        <v>40</v>
      </c>
      <c r="O17" t="s">
        <v>33</v>
      </c>
      <c r="P17" t="s">
        <v>134</v>
      </c>
      <c r="Q17" t="s">
        <v>42</v>
      </c>
      <c r="R17" t="s">
        <v>43</v>
      </c>
    </row>
    <row r="18" spans="1:22" hidden="1" x14ac:dyDescent="0.25">
      <c r="A18" t="s">
        <v>135</v>
      </c>
      <c r="B18" t="s">
        <v>136</v>
      </c>
      <c r="C18" s="1">
        <v>44463</v>
      </c>
      <c r="D18" t="s">
        <v>137</v>
      </c>
      <c r="G18" t="s">
        <v>99</v>
      </c>
      <c r="I18" t="s">
        <v>138</v>
      </c>
      <c r="J18" t="s">
        <v>135</v>
      </c>
      <c r="K18" t="s">
        <v>139</v>
      </c>
      <c r="M18" t="s">
        <v>140</v>
      </c>
      <c r="N18" t="s">
        <v>101</v>
      </c>
      <c r="O18" t="s">
        <v>33</v>
      </c>
      <c r="P18" t="s">
        <v>141</v>
      </c>
      <c r="Q18" t="s">
        <v>69</v>
      </c>
      <c r="S18" t="s">
        <v>36</v>
      </c>
      <c r="T18" t="s">
        <v>142</v>
      </c>
      <c r="U18" t="s">
        <v>143</v>
      </c>
    </row>
    <row r="19" spans="1:22" hidden="1" x14ac:dyDescent="0.25">
      <c r="A19" t="s">
        <v>144</v>
      </c>
      <c r="B19" t="s">
        <v>145</v>
      </c>
      <c r="C19" s="1">
        <v>44463</v>
      </c>
      <c r="D19" t="s">
        <v>137</v>
      </c>
      <c r="G19" t="s">
        <v>40</v>
      </c>
      <c r="K19" t="s">
        <v>40</v>
      </c>
      <c r="O19" t="s">
        <v>33</v>
      </c>
      <c r="P19" t="s">
        <v>146</v>
      </c>
      <c r="Q19" t="s">
        <v>42</v>
      </c>
      <c r="R19" t="s">
        <v>43</v>
      </c>
    </row>
    <row r="20" spans="1:22" hidden="1" x14ac:dyDescent="0.25">
      <c r="A20" t="s">
        <v>147</v>
      </c>
      <c r="B20" t="s">
        <v>148</v>
      </c>
      <c r="C20" s="1">
        <v>44365</v>
      </c>
      <c r="D20" t="s">
        <v>149</v>
      </c>
      <c r="E20" t="s">
        <v>150</v>
      </c>
      <c r="F20" t="s">
        <v>151</v>
      </c>
      <c r="G20" t="s">
        <v>152</v>
      </c>
      <c r="H20" t="s">
        <v>93</v>
      </c>
      <c r="K20" t="s">
        <v>152</v>
      </c>
      <c r="L20" t="s">
        <v>153</v>
      </c>
      <c r="M20" t="s">
        <v>154</v>
      </c>
      <c r="N20" t="s">
        <v>155</v>
      </c>
      <c r="O20" t="s">
        <v>33</v>
      </c>
      <c r="P20" t="s">
        <v>156</v>
      </c>
      <c r="Q20" t="s">
        <v>157</v>
      </c>
      <c r="S20" t="s">
        <v>158</v>
      </c>
      <c r="T20" t="s">
        <v>159</v>
      </c>
      <c r="V20" t="s">
        <v>160</v>
      </c>
    </row>
    <row r="21" spans="1:22" hidden="1" x14ac:dyDescent="0.25">
      <c r="A21" t="s">
        <v>161</v>
      </c>
      <c r="B21" t="s">
        <v>162</v>
      </c>
      <c r="C21" s="1">
        <v>44365</v>
      </c>
      <c r="D21" t="s">
        <v>149</v>
      </c>
      <c r="G21" t="s">
        <v>40</v>
      </c>
      <c r="K21" t="s">
        <v>40</v>
      </c>
      <c r="O21" t="s">
        <v>33</v>
      </c>
      <c r="P21" t="s">
        <v>163</v>
      </c>
      <c r="Q21" t="s">
        <v>42</v>
      </c>
      <c r="R21" t="s">
        <v>43</v>
      </c>
    </row>
    <row r="22" spans="1:22" hidden="1" x14ac:dyDescent="0.25">
      <c r="A22" t="s">
        <v>164</v>
      </c>
      <c r="B22" t="s">
        <v>162</v>
      </c>
      <c r="C22" s="1">
        <v>44365</v>
      </c>
      <c r="D22" t="s">
        <v>149</v>
      </c>
      <c r="G22" t="s">
        <v>40</v>
      </c>
      <c r="K22" t="s">
        <v>40</v>
      </c>
      <c r="O22" t="s">
        <v>33</v>
      </c>
      <c r="P22" t="s">
        <v>165</v>
      </c>
      <c r="Q22" t="s">
        <v>166</v>
      </c>
      <c r="R22" t="s">
        <v>43</v>
      </c>
    </row>
    <row r="23" spans="1:22" hidden="1" x14ac:dyDescent="0.25">
      <c r="A23" t="s">
        <v>167</v>
      </c>
      <c r="B23" t="s">
        <v>168</v>
      </c>
      <c r="C23" s="1">
        <v>44309</v>
      </c>
      <c r="D23" t="s">
        <v>169</v>
      </c>
      <c r="G23" t="s">
        <v>40</v>
      </c>
      <c r="K23" t="s">
        <v>40</v>
      </c>
      <c r="O23" t="s">
        <v>33</v>
      </c>
      <c r="P23" t="s">
        <v>170</v>
      </c>
      <c r="Q23" t="s">
        <v>42</v>
      </c>
      <c r="R23" t="s">
        <v>43</v>
      </c>
    </row>
    <row r="24" spans="1:22" hidden="1" x14ac:dyDescent="0.25">
      <c r="A24" t="s">
        <v>171</v>
      </c>
      <c r="B24" t="s">
        <v>172</v>
      </c>
      <c r="C24" s="1">
        <v>44232</v>
      </c>
      <c r="D24" t="s">
        <v>173</v>
      </c>
      <c r="E24" t="s">
        <v>174</v>
      </c>
      <c r="F24" t="s">
        <v>175</v>
      </c>
      <c r="G24" t="s">
        <v>27</v>
      </c>
      <c r="H24" t="s">
        <v>49</v>
      </c>
      <c r="J24" t="s">
        <v>176</v>
      </c>
      <c r="K24" t="s">
        <v>177</v>
      </c>
      <c r="L24" t="s">
        <v>178</v>
      </c>
      <c r="M24" t="s">
        <v>179</v>
      </c>
      <c r="N24" t="s">
        <v>116</v>
      </c>
      <c r="O24" t="s">
        <v>33</v>
      </c>
      <c r="P24" t="s">
        <v>180</v>
      </c>
      <c r="Q24" t="s">
        <v>181</v>
      </c>
      <c r="S24" t="s">
        <v>182</v>
      </c>
      <c r="T24" t="s">
        <v>183</v>
      </c>
      <c r="U24" t="s">
        <v>184</v>
      </c>
    </row>
    <row r="25" spans="1:22" hidden="1" x14ac:dyDescent="0.25">
      <c r="A25" t="s">
        <v>185</v>
      </c>
      <c r="B25" t="s">
        <v>186</v>
      </c>
      <c r="C25" s="1">
        <v>44100</v>
      </c>
      <c r="D25" t="s">
        <v>187</v>
      </c>
      <c r="E25" t="s">
        <v>188</v>
      </c>
      <c r="F25" t="s">
        <v>189</v>
      </c>
      <c r="G25" t="s">
        <v>27</v>
      </c>
      <c r="H25" t="s">
        <v>93</v>
      </c>
      <c r="J25" t="s">
        <v>190</v>
      </c>
      <c r="K25" t="s">
        <v>191</v>
      </c>
      <c r="L25" t="s">
        <v>192</v>
      </c>
      <c r="M25" t="s">
        <v>193</v>
      </c>
      <c r="N25" t="s">
        <v>155</v>
      </c>
      <c r="O25" t="s">
        <v>33</v>
      </c>
      <c r="P25" t="s">
        <v>194</v>
      </c>
      <c r="Q25" t="s">
        <v>35</v>
      </c>
      <c r="S25" t="s">
        <v>36</v>
      </c>
    </row>
    <row r="26" spans="1:22" x14ac:dyDescent="0.25">
      <c r="A26" t="s">
        <v>195</v>
      </c>
      <c r="B26" t="s">
        <v>186</v>
      </c>
      <c r="C26" s="1">
        <v>44100</v>
      </c>
      <c r="D26" t="s">
        <v>187</v>
      </c>
      <c r="E26" t="s">
        <v>196</v>
      </c>
      <c r="F26" t="s">
        <v>197</v>
      </c>
      <c r="G26" t="s">
        <v>27</v>
      </c>
      <c r="H26" t="s">
        <v>49</v>
      </c>
      <c r="J26" t="s">
        <v>198</v>
      </c>
      <c r="K26" t="s">
        <v>199</v>
      </c>
      <c r="L26" t="s">
        <v>200</v>
      </c>
      <c r="M26" t="s">
        <v>201</v>
      </c>
      <c r="N26" t="s">
        <v>202</v>
      </c>
      <c r="O26" t="s">
        <v>33</v>
      </c>
      <c r="P26" t="s">
        <v>203</v>
      </c>
      <c r="Q26" t="s">
        <v>35</v>
      </c>
      <c r="S26" t="s">
        <v>158</v>
      </c>
      <c r="T26" t="s">
        <v>204</v>
      </c>
    </row>
    <row r="27" spans="1:22" x14ac:dyDescent="0.25">
      <c r="A27" t="s">
        <v>205</v>
      </c>
      <c r="B27" t="s">
        <v>186</v>
      </c>
      <c r="C27" s="1">
        <v>44100</v>
      </c>
      <c r="D27" t="s">
        <v>187</v>
      </c>
      <c r="E27" t="s">
        <v>206</v>
      </c>
      <c r="F27" t="s">
        <v>207</v>
      </c>
      <c r="G27" t="s">
        <v>208</v>
      </c>
      <c r="H27" t="s">
        <v>49</v>
      </c>
      <c r="K27" t="s">
        <v>208</v>
      </c>
      <c r="M27" t="s">
        <v>209</v>
      </c>
      <c r="N27" t="s">
        <v>210</v>
      </c>
      <c r="O27" t="s">
        <v>33</v>
      </c>
      <c r="P27" t="s">
        <v>211</v>
      </c>
      <c r="Q27" t="s">
        <v>35</v>
      </c>
      <c r="S27" t="s">
        <v>36</v>
      </c>
      <c r="T27" t="s">
        <v>212</v>
      </c>
    </row>
    <row r="28" spans="1:22" x14ac:dyDescent="0.25">
      <c r="A28" t="s">
        <v>213</v>
      </c>
      <c r="B28" t="s">
        <v>186</v>
      </c>
      <c r="C28" s="1">
        <v>44100</v>
      </c>
      <c r="D28" t="s">
        <v>187</v>
      </c>
      <c r="E28" t="s">
        <v>214</v>
      </c>
      <c r="F28" t="s">
        <v>215</v>
      </c>
      <c r="G28" t="s">
        <v>152</v>
      </c>
      <c r="H28" t="s">
        <v>28</v>
      </c>
      <c r="K28" t="s">
        <v>152</v>
      </c>
      <c r="M28" t="s">
        <v>216</v>
      </c>
      <c r="N28" t="s">
        <v>210</v>
      </c>
      <c r="O28" t="s">
        <v>33</v>
      </c>
      <c r="P28" t="s">
        <v>217</v>
      </c>
      <c r="Q28" t="s">
        <v>35</v>
      </c>
      <c r="S28" t="s">
        <v>158</v>
      </c>
      <c r="T28" t="s">
        <v>218</v>
      </c>
    </row>
    <row r="29" spans="1:22" hidden="1" x14ac:dyDescent="0.25">
      <c r="A29" t="s">
        <v>219</v>
      </c>
      <c r="B29" t="s">
        <v>220</v>
      </c>
      <c r="C29" s="1">
        <v>44056</v>
      </c>
      <c r="D29" t="s">
        <v>221</v>
      </c>
      <c r="E29" t="s">
        <v>222</v>
      </c>
      <c r="F29" t="s">
        <v>223</v>
      </c>
      <c r="G29" t="s">
        <v>224</v>
      </c>
      <c r="H29" t="s">
        <v>110</v>
      </c>
      <c r="I29" t="s">
        <v>111</v>
      </c>
      <c r="J29" t="s">
        <v>225</v>
      </c>
      <c r="K29" t="s">
        <v>226</v>
      </c>
      <c r="L29" t="s">
        <v>227</v>
      </c>
      <c r="M29" t="s">
        <v>228</v>
      </c>
      <c r="N29" t="s">
        <v>32</v>
      </c>
      <c r="O29" t="s">
        <v>33</v>
      </c>
      <c r="P29" t="s">
        <v>229</v>
      </c>
      <c r="Q29" t="s">
        <v>35</v>
      </c>
      <c r="S29" t="s">
        <v>56</v>
      </c>
    </row>
    <row r="30" spans="1:22" hidden="1" x14ac:dyDescent="0.25">
      <c r="A30" t="s">
        <v>230</v>
      </c>
      <c r="B30" t="s">
        <v>231</v>
      </c>
      <c r="C30" s="1">
        <v>43890</v>
      </c>
      <c r="D30" t="s">
        <v>232</v>
      </c>
      <c r="E30" t="s">
        <v>233</v>
      </c>
      <c r="F30" t="s">
        <v>234</v>
      </c>
      <c r="G30" t="s">
        <v>235</v>
      </c>
      <c r="H30" t="s">
        <v>93</v>
      </c>
      <c r="K30" t="s">
        <v>235</v>
      </c>
      <c r="M30" t="s">
        <v>236</v>
      </c>
      <c r="N30" t="s">
        <v>116</v>
      </c>
      <c r="O30" t="s">
        <v>33</v>
      </c>
      <c r="P30" t="s">
        <v>237</v>
      </c>
      <c r="Q30" t="s">
        <v>35</v>
      </c>
      <c r="S30" t="s">
        <v>182</v>
      </c>
      <c r="T30" t="s">
        <v>238</v>
      </c>
      <c r="U30" t="s">
        <v>239</v>
      </c>
    </row>
    <row r="31" spans="1:22" hidden="1" x14ac:dyDescent="0.25">
      <c r="A31" t="s">
        <v>240</v>
      </c>
      <c r="B31" t="s">
        <v>241</v>
      </c>
      <c r="C31" s="1">
        <v>43854</v>
      </c>
      <c r="D31" t="s">
        <v>242</v>
      </c>
      <c r="E31" t="s">
        <v>243</v>
      </c>
      <c r="F31" t="s">
        <v>244</v>
      </c>
      <c r="G31" t="s">
        <v>208</v>
      </c>
      <c r="H31" t="s">
        <v>245</v>
      </c>
      <c r="K31" t="s">
        <v>208</v>
      </c>
      <c r="M31" t="s">
        <v>246</v>
      </c>
      <c r="N31" t="s">
        <v>116</v>
      </c>
      <c r="O31" t="s">
        <v>33</v>
      </c>
      <c r="P31" t="s">
        <v>247</v>
      </c>
      <c r="Q31" t="s">
        <v>69</v>
      </c>
      <c r="S31" t="s">
        <v>36</v>
      </c>
      <c r="T31" t="s">
        <v>204</v>
      </c>
      <c r="U31" t="s">
        <v>248</v>
      </c>
    </row>
    <row r="32" spans="1:22" hidden="1" x14ac:dyDescent="0.25">
      <c r="A32" t="s">
        <v>249</v>
      </c>
      <c r="B32" t="s">
        <v>250</v>
      </c>
      <c r="C32" s="1">
        <v>43742</v>
      </c>
      <c r="D32" t="s">
        <v>251</v>
      </c>
      <c r="E32" t="s">
        <v>252</v>
      </c>
      <c r="F32" t="s">
        <v>253</v>
      </c>
      <c r="G32" t="s">
        <v>208</v>
      </c>
      <c r="H32" t="s">
        <v>49</v>
      </c>
      <c r="K32" t="s">
        <v>208</v>
      </c>
      <c r="M32" t="s">
        <v>254</v>
      </c>
      <c r="N32" t="s">
        <v>32</v>
      </c>
      <c r="O32" t="s">
        <v>33</v>
      </c>
      <c r="P32" t="s">
        <v>255</v>
      </c>
      <c r="Q32" t="s">
        <v>69</v>
      </c>
      <c r="S32" t="s">
        <v>182</v>
      </c>
      <c r="T32" t="s">
        <v>256</v>
      </c>
      <c r="U32" t="s">
        <v>257</v>
      </c>
    </row>
    <row r="33" spans="1:21" hidden="1" x14ac:dyDescent="0.25">
      <c r="A33" t="s">
        <v>258</v>
      </c>
      <c r="B33" t="s">
        <v>259</v>
      </c>
      <c r="C33" s="1">
        <v>43621</v>
      </c>
      <c r="D33" t="s">
        <v>260</v>
      </c>
      <c r="G33" t="s">
        <v>40</v>
      </c>
      <c r="K33" t="s">
        <v>40</v>
      </c>
      <c r="O33" t="s">
        <v>33</v>
      </c>
      <c r="P33" t="s">
        <v>261</v>
      </c>
      <c r="Q33" t="s">
        <v>166</v>
      </c>
      <c r="R33" t="s">
        <v>43</v>
      </c>
    </row>
    <row r="34" spans="1:21" hidden="1" x14ac:dyDescent="0.25">
      <c r="A34" t="s">
        <v>262</v>
      </c>
      <c r="B34" t="s">
        <v>259</v>
      </c>
      <c r="C34" s="1">
        <v>43621</v>
      </c>
      <c r="D34" t="s">
        <v>260</v>
      </c>
      <c r="G34" t="s">
        <v>40</v>
      </c>
      <c r="K34" t="s">
        <v>40</v>
      </c>
      <c r="O34" t="s">
        <v>33</v>
      </c>
      <c r="P34" t="s">
        <v>263</v>
      </c>
      <c r="Q34" t="s">
        <v>166</v>
      </c>
      <c r="R34" t="s">
        <v>43</v>
      </c>
    </row>
    <row r="35" spans="1:21" hidden="1" x14ac:dyDescent="0.25">
      <c r="A35" t="s">
        <v>264</v>
      </c>
      <c r="B35" t="s">
        <v>259</v>
      </c>
      <c r="C35" s="1">
        <v>43621</v>
      </c>
      <c r="D35" t="s">
        <v>260</v>
      </c>
      <c r="G35" t="s">
        <v>40</v>
      </c>
      <c r="K35" t="s">
        <v>40</v>
      </c>
      <c r="O35" t="s">
        <v>33</v>
      </c>
      <c r="P35" t="s">
        <v>265</v>
      </c>
      <c r="Q35" t="s">
        <v>166</v>
      </c>
      <c r="R35" t="s">
        <v>43</v>
      </c>
    </row>
    <row r="36" spans="1:21" hidden="1" x14ac:dyDescent="0.25">
      <c r="A36" t="s">
        <v>266</v>
      </c>
      <c r="B36" t="s">
        <v>267</v>
      </c>
      <c r="C36" s="1">
        <v>43378</v>
      </c>
      <c r="D36" t="s">
        <v>268</v>
      </c>
      <c r="E36" t="s">
        <v>269</v>
      </c>
      <c r="F36" t="s">
        <v>270</v>
      </c>
      <c r="G36" t="s">
        <v>235</v>
      </c>
      <c r="H36" t="s">
        <v>271</v>
      </c>
      <c r="J36" t="s">
        <v>272</v>
      </c>
      <c r="K36" t="s">
        <v>273</v>
      </c>
      <c r="L36" t="s">
        <v>274</v>
      </c>
      <c r="M36" t="s">
        <v>275</v>
      </c>
      <c r="N36" t="s">
        <v>155</v>
      </c>
      <c r="O36" t="s">
        <v>33</v>
      </c>
      <c r="P36" t="s">
        <v>276</v>
      </c>
      <c r="Q36" t="s">
        <v>69</v>
      </c>
      <c r="S36" t="s">
        <v>36</v>
      </c>
      <c r="T36" t="s">
        <v>277</v>
      </c>
      <c r="U36" t="s">
        <v>143</v>
      </c>
    </row>
    <row r="37" spans="1:21" hidden="1" x14ac:dyDescent="0.25">
      <c r="A37" t="s">
        <v>278</v>
      </c>
      <c r="B37" t="s">
        <v>279</v>
      </c>
      <c r="C37" s="1">
        <v>43217</v>
      </c>
      <c r="D37" t="s">
        <v>280</v>
      </c>
      <c r="G37" t="s">
        <v>65</v>
      </c>
      <c r="H37" t="s">
        <v>28</v>
      </c>
      <c r="I37" t="s">
        <v>111</v>
      </c>
      <c r="J37" t="s">
        <v>281</v>
      </c>
      <c r="K37" t="s">
        <v>282</v>
      </c>
      <c r="L37" t="s">
        <v>283</v>
      </c>
      <c r="M37" t="s">
        <v>283</v>
      </c>
      <c r="O37" t="s">
        <v>33</v>
      </c>
      <c r="P37" t="s">
        <v>284</v>
      </c>
      <c r="Q37" t="s">
        <v>35</v>
      </c>
      <c r="T37" t="s">
        <v>285</v>
      </c>
    </row>
    <row r="38" spans="1:21" hidden="1" x14ac:dyDescent="0.25">
      <c r="A38" t="s">
        <v>286</v>
      </c>
      <c r="B38" t="s">
        <v>287</v>
      </c>
      <c r="C38" s="1">
        <v>43056</v>
      </c>
      <c r="D38" t="s">
        <v>288</v>
      </c>
      <c r="E38" t="s">
        <v>289</v>
      </c>
      <c r="F38" t="s">
        <v>290</v>
      </c>
      <c r="G38" t="s">
        <v>291</v>
      </c>
      <c r="K38" t="s">
        <v>291</v>
      </c>
      <c r="M38" t="s">
        <v>292</v>
      </c>
      <c r="N38" t="s">
        <v>32</v>
      </c>
      <c r="O38" t="s">
        <v>33</v>
      </c>
      <c r="P38" t="s">
        <v>293</v>
      </c>
      <c r="Q38" t="s">
        <v>69</v>
      </c>
      <c r="S38" t="s">
        <v>158</v>
      </c>
      <c r="T38" t="s">
        <v>204</v>
      </c>
      <c r="U38" t="s">
        <v>294</v>
      </c>
    </row>
    <row r="39" spans="1:21" hidden="1" x14ac:dyDescent="0.25">
      <c r="A39" t="s">
        <v>295</v>
      </c>
      <c r="B39" t="s">
        <v>296</v>
      </c>
      <c r="C39" s="1">
        <v>42391</v>
      </c>
      <c r="D39" t="s">
        <v>297</v>
      </c>
      <c r="E39" t="s">
        <v>298</v>
      </c>
      <c r="F39" t="s">
        <v>299</v>
      </c>
      <c r="G39" t="s">
        <v>27</v>
      </c>
      <c r="J39" t="s">
        <v>300</v>
      </c>
      <c r="K39" t="s">
        <v>301</v>
      </c>
      <c r="L39" t="s">
        <v>302</v>
      </c>
      <c r="M39" t="s">
        <v>303</v>
      </c>
      <c r="N39" t="s">
        <v>210</v>
      </c>
      <c r="O39" t="s">
        <v>33</v>
      </c>
      <c r="P39" t="s">
        <v>304</v>
      </c>
      <c r="Q39" t="s">
        <v>69</v>
      </c>
      <c r="S39" t="s">
        <v>158</v>
      </c>
      <c r="T39" t="s">
        <v>305</v>
      </c>
      <c r="U39" t="s">
        <v>306</v>
      </c>
    </row>
    <row r="40" spans="1:21" hidden="1" x14ac:dyDescent="0.25">
      <c r="A40" t="s">
        <v>307</v>
      </c>
      <c r="B40" t="s">
        <v>308</v>
      </c>
      <c r="C40" s="1">
        <v>42279</v>
      </c>
      <c r="D40" t="s">
        <v>309</v>
      </c>
      <c r="E40" t="s">
        <v>310</v>
      </c>
      <c r="F40" t="s">
        <v>311</v>
      </c>
      <c r="G40" t="s">
        <v>27</v>
      </c>
      <c r="J40" t="s">
        <v>300</v>
      </c>
      <c r="K40" t="s">
        <v>301</v>
      </c>
      <c r="L40" t="s">
        <v>312</v>
      </c>
      <c r="M40" t="s">
        <v>313</v>
      </c>
      <c r="N40" t="s">
        <v>32</v>
      </c>
      <c r="O40" t="s">
        <v>33</v>
      </c>
      <c r="P40" t="s">
        <v>314</v>
      </c>
      <c r="Q40" t="s">
        <v>69</v>
      </c>
      <c r="S40" t="s">
        <v>36</v>
      </c>
      <c r="T40" t="s">
        <v>277</v>
      </c>
      <c r="U40" t="s">
        <v>238</v>
      </c>
    </row>
    <row r="41" spans="1:21" x14ac:dyDescent="0.25">
      <c r="A41" t="s">
        <v>315</v>
      </c>
      <c r="B41" t="s">
        <v>308</v>
      </c>
      <c r="C41" s="1">
        <v>42279</v>
      </c>
      <c r="D41" t="s">
        <v>309</v>
      </c>
      <c r="E41" t="s">
        <v>252</v>
      </c>
      <c r="F41" t="s">
        <v>253</v>
      </c>
      <c r="G41" t="s">
        <v>208</v>
      </c>
      <c r="H41" t="s">
        <v>49</v>
      </c>
      <c r="K41" t="s">
        <v>208</v>
      </c>
      <c r="M41" t="s">
        <v>316</v>
      </c>
      <c r="N41" t="s">
        <v>32</v>
      </c>
      <c r="O41" t="s">
        <v>33</v>
      </c>
      <c r="P41" t="s">
        <v>317</v>
      </c>
      <c r="Q41" t="s">
        <v>69</v>
      </c>
      <c r="S41" t="s">
        <v>36</v>
      </c>
      <c r="T41" t="s">
        <v>277</v>
      </c>
      <c r="U41" t="s">
        <v>142</v>
      </c>
    </row>
    <row r="42" spans="1:21" x14ac:dyDescent="0.25">
      <c r="A42" t="s">
        <v>318</v>
      </c>
      <c r="B42" t="s">
        <v>319</v>
      </c>
      <c r="C42" s="1">
        <v>41761</v>
      </c>
      <c r="D42" t="s">
        <v>320</v>
      </c>
      <c r="E42" t="s">
        <v>25</v>
      </c>
      <c r="F42" t="s">
        <v>26</v>
      </c>
      <c r="G42" t="s">
        <v>235</v>
      </c>
      <c r="H42" t="s">
        <v>28</v>
      </c>
      <c r="K42" t="s">
        <v>235</v>
      </c>
      <c r="M42" t="s">
        <v>321</v>
      </c>
      <c r="N42" t="s">
        <v>32</v>
      </c>
      <c r="O42" t="s">
        <v>33</v>
      </c>
      <c r="P42" t="s">
        <v>322</v>
      </c>
      <c r="Q42" t="s">
        <v>69</v>
      </c>
      <c r="S42" t="s">
        <v>36</v>
      </c>
      <c r="T42" t="s">
        <v>323</v>
      </c>
      <c r="U42" t="s">
        <v>324</v>
      </c>
    </row>
    <row r="43" spans="1:21" hidden="1" x14ac:dyDescent="0.25">
      <c r="A43" t="s">
        <v>325</v>
      </c>
      <c r="B43" t="s">
        <v>326</v>
      </c>
      <c r="C43" s="1">
        <v>41187</v>
      </c>
      <c r="D43" t="s">
        <v>327</v>
      </c>
      <c r="E43" t="s">
        <v>328</v>
      </c>
      <c r="F43" t="s">
        <v>329</v>
      </c>
      <c r="G43" t="s">
        <v>235</v>
      </c>
      <c r="H43" t="s">
        <v>28</v>
      </c>
      <c r="K43" t="s">
        <v>235</v>
      </c>
      <c r="L43" t="s">
        <v>330</v>
      </c>
      <c r="M43" t="s">
        <v>331</v>
      </c>
      <c r="N43" t="s">
        <v>54</v>
      </c>
      <c r="O43" t="s">
        <v>33</v>
      </c>
      <c r="P43" t="s">
        <v>332</v>
      </c>
      <c r="Q43" t="s">
        <v>69</v>
      </c>
      <c r="S43" t="s">
        <v>182</v>
      </c>
      <c r="T43" t="s">
        <v>143</v>
      </c>
      <c r="U43" t="s">
        <v>333</v>
      </c>
    </row>
    <row r="44" spans="1:21" hidden="1" x14ac:dyDescent="0.25">
      <c r="A44" t="s">
        <v>334</v>
      </c>
      <c r="B44" t="s">
        <v>335</v>
      </c>
      <c r="C44" s="1">
        <v>41027</v>
      </c>
      <c r="D44" t="s">
        <v>336</v>
      </c>
      <c r="E44" t="s">
        <v>337</v>
      </c>
      <c r="F44" t="s">
        <v>338</v>
      </c>
      <c r="G44" t="s">
        <v>27</v>
      </c>
      <c r="H44" t="s">
        <v>93</v>
      </c>
      <c r="J44" t="s">
        <v>339</v>
      </c>
      <c r="K44" t="s">
        <v>340</v>
      </c>
      <c r="L44" t="s">
        <v>283</v>
      </c>
      <c r="M44" t="s">
        <v>341</v>
      </c>
      <c r="N44" t="s">
        <v>342</v>
      </c>
      <c r="O44" t="s">
        <v>33</v>
      </c>
      <c r="P44" t="s">
        <v>343</v>
      </c>
      <c r="Q44" t="s">
        <v>181</v>
      </c>
      <c r="S44" t="s">
        <v>182</v>
      </c>
      <c r="U44" t="s">
        <v>239</v>
      </c>
    </row>
    <row r="45" spans="1:21" hidden="1" x14ac:dyDescent="0.25">
      <c r="A45" t="s">
        <v>344</v>
      </c>
      <c r="B45" t="s">
        <v>345</v>
      </c>
      <c r="C45" s="1">
        <v>40375</v>
      </c>
      <c r="D45" t="s">
        <v>346</v>
      </c>
      <c r="G45" t="s">
        <v>65</v>
      </c>
      <c r="H45" t="s">
        <v>271</v>
      </c>
      <c r="J45" t="s">
        <v>344</v>
      </c>
      <c r="K45" t="s">
        <v>347</v>
      </c>
      <c r="O45" t="s">
        <v>33</v>
      </c>
      <c r="P45" t="s">
        <v>348</v>
      </c>
      <c r="Q45" t="s">
        <v>35</v>
      </c>
      <c r="T45" t="s">
        <v>349</v>
      </c>
    </row>
    <row r="46" spans="1:21" x14ac:dyDescent="0.25">
      <c r="A46" t="s">
        <v>350</v>
      </c>
      <c r="B46" t="s">
        <v>351</v>
      </c>
      <c r="C46" s="1">
        <v>40088</v>
      </c>
      <c r="D46" t="s">
        <v>352</v>
      </c>
      <c r="E46" t="s">
        <v>174</v>
      </c>
      <c r="F46" t="s">
        <v>175</v>
      </c>
      <c r="G46" t="s">
        <v>27</v>
      </c>
      <c r="H46" t="s">
        <v>49</v>
      </c>
      <c r="J46" t="s">
        <v>353</v>
      </c>
      <c r="K46" t="s">
        <v>354</v>
      </c>
      <c r="L46" t="s">
        <v>355</v>
      </c>
      <c r="M46" t="s">
        <v>356</v>
      </c>
      <c r="N46" t="s">
        <v>116</v>
      </c>
      <c r="O46" t="s">
        <v>33</v>
      </c>
      <c r="P46" t="s">
        <v>357</v>
      </c>
      <c r="Q46" t="s">
        <v>69</v>
      </c>
      <c r="S46" t="s">
        <v>36</v>
      </c>
      <c r="T46" t="s">
        <v>212</v>
      </c>
      <c r="U46" t="s">
        <v>159</v>
      </c>
    </row>
    <row r="47" spans="1:21" hidden="1" x14ac:dyDescent="0.25">
      <c r="A47" t="s">
        <v>358</v>
      </c>
      <c r="B47" t="s">
        <v>359</v>
      </c>
      <c r="C47" s="1">
        <v>40063</v>
      </c>
      <c r="D47" t="s">
        <v>360</v>
      </c>
      <c r="G47" t="s">
        <v>99</v>
      </c>
      <c r="I47" t="s">
        <v>138</v>
      </c>
      <c r="J47" t="s">
        <v>358</v>
      </c>
      <c r="K47" t="s">
        <v>361</v>
      </c>
      <c r="M47" t="s">
        <v>362</v>
      </c>
      <c r="N47" t="s">
        <v>101</v>
      </c>
      <c r="O47" t="s">
        <v>33</v>
      </c>
      <c r="P47" t="s">
        <v>363</v>
      </c>
      <c r="Q47" t="s">
        <v>69</v>
      </c>
      <c r="S47" t="s">
        <v>36</v>
      </c>
    </row>
    <row r="48" spans="1:21" x14ac:dyDescent="0.25">
      <c r="A48" t="s">
        <v>364</v>
      </c>
      <c r="B48" t="s">
        <v>365</v>
      </c>
      <c r="C48" s="1">
        <v>39367</v>
      </c>
      <c r="D48" t="s">
        <v>366</v>
      </c>
      <c r="E48" t="s">
        <v>367</v>
      </c>
      <c r="F48" t="s">
        <v>368</v>
      </c>
      <c r="G48" t="s">
        <v>27</v>
      </c>
      <c r="H48" t="s">
        <v>28</v>
      </c>
      <c r="J48" t="s">
        <v>369</v>
      </c>
      <c r="K48" t="s">
        <v>370</v>
      </c>
      <c r="L48" t="s">
        <v>371</v>
      </c>
      <c r="M48" t="s">
        <v>372</v>
      </c>
      <c r="N48" t="s">
        <v>202</v>
      </c>
      <c r="O48" t="s">
        <v>33</v>
      </c>
      <c r="P48" t="s">
        <v>373</v>
      </c>
      <c r="Q48" t="s">
        <v>69</v>
      </c>
      <c r="S48" t="s">
        <v>158</v>
      </c>
      <c r="T48" t="s">
        <v>218</v>
      </c>
      <c r="U48" t="s">
        <v>374</v>
      </c>
    </row>
    <row r="49" spans="1:21" hidden="1" x14ac:dyDescent="0.25">
      <c r="A49" t="s">
        <v>375</v>
      </c>
      <c r="B49" t="s">
        <v>376</v>
      </c>
      <c r="C49" s="1">
        <v>38632</v>
      </c>
      <c r="D49" t="s">
        <v>377</v>
      </c>
      <c r="E49" t="s">
        <v>378</v>
      </c>
      <c r="F49" t="s">
        <v>379</v>
      </c>
      <c r="G49" t="s">
        <v>208</v>
      </c>
      <c r="H49" t="s">
        <v>93</v>
      </c>
      <c r="K49" t="s">
        <v>208</v>
      </c>
      <c r="L49" t="s">
        <v>380</v>
      </c>
      <c r="M49" t="s">
        <v>381</v>
      </c>
      <c r="N49" t="s">
        <v>32</v>
      </c>
      <c r="O49" t="s">
        <v>33</v>
      </c>
      <c r="P49" t="s">
        <v>382</v>
      </c>
      <c r="Q49" t="s">
        <v>69</v>
      </c>
      <c r="S49" t="s">
        <v>36</v>
      </c>
      <c r="T49" t="s">
        <v>218</v>
      </c>
      <c r="U49" t="s">
        <v>383</v>
      </c>
    </row>
    <row r="50" spans="1:21" x14ac:dyDescent="0.25">
      <c r="A50" t="s">
        <v>384</v>
      </c>
      <c r="B50" t="s">
        <v>385</v>
      </c>
      <c r="C50" s="1">
        <v>38142</v>
      </c>
      <c r="D50" t="s">
        <v>386</v>
      </c>
      <c r="E50" t="s">
        <v>174</v>
      </c>
      <c r="F50" t="s">
        <v>175</v>
      </c>
      <c r="G50" t="s">
        <v>27</v>
      </c>
      <c r="H50" t="s">
        <v>49</v>
      </c>
      <c r="J50" t="s">
        <v>387</v>
      </c>
      <c r="K50" t="s">
        <v>388</v>
      </c>
      <c r="M50" t="s">
        <v>389</v>
      </c>
      <c r="N50" t="s">
        <v>116</v>
      </c>
      <c r="O50" t="s">
        <v>33</v>
      </c>
      <c r="P50" t="s">
        <v>390</v>
      </c>
      <c r="Q50" t="s">
        <v>69</v>
      </c>
      <c r="S50" t="s">
        <v>158</v>
      </c>
      <c r="T50" t="s">
        <v>142</v>
      </c>
      <c r="U50" t="s">
        <v>391</v>
      </c>
    </row>
    <row r="51" spans="1:21" hidden="1" x14ac:dyDescent="0.25">
      <c r="A51" t="s">
        <v>392</v>
      </c>
      <c r="B51" t="s">
        <v>393</v>
      </c>
      <c r="C51" s="1">
        <v>37536</v>
      </c>
      <c r="D51" t="s">
        <v>394</v>
      </c>
      <c r="E51" t="s">
        <v>395</v>
      </c>
      <c r="F51" t="s">
        <v>396</v>
      </c>
      <c r="G51" t="s">
        <v>152</v>
      </c>
      <c r="H51" t="s">
        <v>271</v>
      </c>
      <c r="K51" t="s">
        <v>152</v>
      </c>
      <c r="M51" t="s">
        <v>397</v>
      </c>
      <c r="N51" t="s">
        <v>116</v>
      </c>
      <c r="O51" t="s">
        <v>33</v>
      </c>
      <c r="P51" t="s">
        <v>398</v>
      </c>
      <c r="Q51" t="s">
        <v>69</v>
      </c>
      <c r="S51" t="s">
        <v>36</v>
      </c>
      <c r="T51" t="s">
        <v>399</v>
      </c>
      <c r="U51" t="s">
        <v>400</v>
      </c>
    </row>
    <row r="52" spans="1:21" hidden="1" x14ac:dyDescent="0.25">
      <c r="A52" t="s">
        <v>401</v>
      </c>
      <c r="B52" t="s">
        <v>402</v>
      </c>
      <c r="C52" s="1">
        <v>37431</v>
      </c>
      <c r="D52" t="s">
        <v>403</v>
      </c>
      <c r="E52" t="s">
        <v>404</v>
      </c>
      <c r="F52" t="s">
        <v>405</v>
      </c>
      <c r="G52" t="s">
        <v>27</v>
      </c>
      <c r="H52" t="s">
        <v>271</v>
      </c>
      <c r="J52" t="s">
        <v>406</v>
      </c>
      <c r="K52" t="s">
        <v>407</v>
      </c>
      <c r="M52" t="s">
        <v>408</v>
      </c>
      <c r="N52" t="s">
        <v>210</v>
      </c>
      <c r="O52" t="s">
        <v>33</v>
      </c>
      <c r="P52" t="s">
        <v>409</v>
      </c>
      <c r="Q52" t="s">
        <v>69</v>
      </c>
      <c r="S52" t="s">
        <v>182</v>
      </c>
    </row>
    <row r="53" spans="1:21" hidden="1" x14ac:dyDescent="0.25">
      <c r="A53" t="s">
        <v>410</v>
      </c>
      <c r="B53" t="s">
        <v>411</v>
      </c>
      <c r="C53" s="1">
        <v>36801</v>
      </c>
      <c r="D53" t="s">
        <v>412</v>
      </c>
      <c r="E53" t="s">
        <v>310</v>
      </c>
      <c r="F53" t="s">
        <v>311</v>
      </c>
      <c r="G53" t="s">
        <v>152</v>
      </c>
      <c r="H53" t="s">
        <v>271</v>
      </c>
      <c r="K53" t="s">
        <v>152</v>
      </c>
      <c r="L53" t="s">
        <v>413</v>
      </c>
      <c r="M53" t="s">
        <v>414</v>
      </c>
      <c r="N53" t="s">
        <v>32</v>
      </c>
      <c r="O53" t="s">
        <v>33</v>
      </c>
      <c r="P53" t="s">
        <v>415</v>
      </c>
      <c r="Q53" t="s">
        <v>69</v>
      </c>
      <c r="S53" t="s">
        <v>36</v>
      </c>
      <c r="T53" t="s">
        <v>323</v>
      </c>
      <c r="U53" t="s">
        <v>416</v>
      </c>
    </row>
    <row r="54" spans="1:21" hidden="1" x14ac:dyDescent="0.25">
      <c r="A54" t="s">
        <v>417</v>
      </c>
      <c r="B54" t="s">
        <v>418</v>
      </c>
      <c r="C54" s="1">
        <v>36437</v>
      </c>
      <c r="D54" t="s">
        <v>419</v>
      </c>
      <c r="E54" t="s">
        <v>420</v>
      </c>
      <c r="F54" t="s">
        <v>421</v>
      </c>
      <c r="G54" t="s">
        <v>422</v>
      </c>
      <c r="J54" t="s">
        <v>423</v>
      </c>
      <c r="K54" t="s">
        <v>424</v>
      </c>
      <c r="L54" t="s">
        <v>425</v>
      </c>
      <c r="M54" t="s">
        <v>426</v>
      </c>
      <c r="N54" t="s">
        <v>210</v>
      </c>
      <c r="O54" t="s">
        <v>33</v>
      </c>
      <c r="P54" t="s">
        <v>427</v>
      </c>
      <c r="Q54" t="s">
        <v>69</v>
      </c>
      <c r="S54" t="s">
        <v>158</v>
      </c>
      <c r="T54" t="s">
        <v>428</v>
      </c>
      <c r="U54" t="s">
        <v>257</v>
      </c>
    </row>
    <row r="55" spans="1:21" hidden="1" x14ac:dyDescent="0.25">
      <c r="A55" t="s">
        <v>429</v>
      </c>
      <c r="B55" t="s">
        <v>418</v>
      </c>
      <c r="C55" s="1">
        <v>36437</v>
      </c>
      <c r="D55" t="s">
        <v>419</v>
      </c>
      <c r="E55" t="s">
        <v>378</v>
      </c>
      <c r="F55" t="s">
        <v>379</v>
      </c>
      <c r="G55" t="s">
        <v>208</v>
      </c>
      <c r="H55" t="s">
        <v>93</v>
      </c>
      <c r="K55" t="s">
        <v>208</v>
      </c>
      <c r="M55" t="s">
        <v>430</v>
      </c>
      <c r="N55" t="s">
        <v>32</v>
      </c>
      <c r="O55" t="s">
        <v>33</v>
      </c>
      <c r="P55" t="s">
        <v>431</v>
      </c>
      <c r="Q55" t="s">
        <v>69</v>
      </c>
      <c r="S55" t="s">
        <v>158</v>
      </c>
      <c r="T55" t="s">
        <v>432</v>
      </c>
      <c r="U55" t="s">
        <v>433</v>
      </c>
    </row>
    <row r="56" spans="1:21" x14ac:dyDescent="0.25">
      <c r="A56" t="s">
        <v>434</v>
      </c>
      <c r="B56" t="s">
        <v>435</v>
      </c>
      <c r="C56" s="1">
        <v>36080</v>
      </c>
      <c r="D56" t="s">
        <v>436</v>
      </c>
      <c r="E56" t="s">
        <v>214</v>
      </c>
      <c r="F56" t="s">
        <v>215</v>
      </c>
      <c r="G56" t="s">
        <v>27</v>
      </c>
      <c r="H56" t="s">
        <v>28</v>
      </c>
      <c r="J56" t="s">
        <v>437</v>
      </c>
      <c r="K56" t="s">
        <v>438</v>
      </c>
      <c r="L56" t="s">
        <v>439</v>
      </c>
      <c r="M56" t="s">
        <v>440</v>
      </c>
      <c r="N56" t="s">
        <v>210</v>
      </c>
      <c r="O56" t="s">
        <v>33</v>
      </c>
      <c r="P56" t="s">
        <v>441</v>
      </c>
      <c r="Q56" t="s">
        <v>35</v>
      </c>
      <c r="S56" t="s">
        <v>36</v>
      </c>
      <c r="T56" t="s">
        <v>442</v>
      </c>
    </row>
    <row r="57" spans="1:21" x14ac:dyDescent="0.25">
      <c r="A57" t="s">
        <v>443</v>
      </c>
      <c r="B57" t="s">
        <v>444</v>
      </c>
      <c r="C57" s="1">
        <v>34973</v>
      </c>
      <c r="D57" t="s">
        <v>445</v>
      </c>
      <c r="E57" t="s">
        <v>446</v>
      </c>
      <c r="F57" t="s">
        <v>447</v>
      </c>
      <c r="G57" t="s">
        <v>27</v>
      </c>
      <c r="H57" t="s">
        <v>49</v>
      </c>
      <c r="J57" t="s">
        <v>50</v>
      </c>
      <c r="K57" t="s">
        <v>51</v>
      </c>
      <c r="M57" t="s">
        <v>448</v>
      </c>
      <c r="N57" t="s">
        <v>210</v>
      </c>
      <c r="O57" t="s">
        <v>33</v>
      </c>
      <c r="P57" t="s">
        <v>449</v>
      </c>
      <c r="Q57" t="s">
        <v>35</v>
      </c>
      <c r="S57" t="s">
        <v>36</v>
      </c>
      <c r="T57" t="s">
        <v>277</v>
      </c>
    </row>
    <row r="58" spans="1:21" hidden="1" x14ac:dyDescent="0.25">
      <c r="A58" t="s">
        <v>450</v>
      </c>
      <c r="B58" t="s">
        <v>451</v>
      </c>
      <c r="C58" s="1">
        <v>34853</v>
      </c>
      <c r="D58" t="s">
        <v>452</v>
      </c>
      <c r="E58" t="s">
        <v>420</v>
      </c>
      <c r="F58" t="s">
        <v>421</v>
      </c>
      <c r="G58" t="s">
        <v>291</v>
      </c>
      <c r="K58" t="s">
        <v>291</v>
      </c>
      <c r="M58" t="s">
        <v>453</v>
      </c>
      <c r="N58" t="s">
        <v>210</v>
      </c>
      <c r="O58" t="s">
        <v>33</v>
      </c>
      <c r="P58" t="s">
        <v>454</v>
      </c>
      <c r="Q58" t="s">
        <v>35</v>
      </c>
      <c r="S58" t="s">
        <v>182</v>
      </c>
      <c r="T58" t="s">
        <v>455</v>
      </c>
    </row>
    <row r="59" spans="1:21" x14ac:dyDescent="0.25">
      <c r="A59" t="s">
        <v>456</v>
      </c>
      <c r="B59" t="s">
        <v>457</v>
      </c>
      <c r="C59" s="1">
        <v>34639</v>
      </c>
      <c r="D59" t="s">
        <v>458</v>
      </c>
      <c r="E59" t="s">
        <v>459</v>
      </c>
      <c r="F59" t="s">
        <v>460</v>
      </c>
      <c r="G59" t="s">
        <v>27</v>
      </c>
      <c r="H59" t="s">
        <v>49</v>
      </c>
      <c r="J59" t="s">
        <v>461</v>
      </c>
      <c r="K59" t="s">
        <v>462</v>
      </c>
      <c r="M59" t="s">
        <v>463</v>
      </c>
      <c r="N59" t="s">
        <v>116</v>
      </c>
      <c r="O59" t="s">
        <v>33</v>
      </c>
      <c r="P59" t="s">
        <v>464</v>
      </c>
      <c r="Q59" t="s">
        <v>35</v>
      </c>
      <c r="S59" t="s">
        <v>158</v>
      </c>
      <c r="T59" t="s">
        <v>465</v>
      </c>
    </row>
    <row r="60" spans="1:21" hidden="1" x14ac:dyDescent="0.25">
      <c r="A60" t="s">
        <v>466</v>
      </c>
      <c r="B60" t="s">
        <v>467</v>
      </c>
      <c r="C60" s="1">
        <v>34435</v>
      </c>
      <c r="D60" t="s">
        <v>468</v>
      </c>
      <c r="E60" t="s">
        <v>469</v>
      </c>
      <c r="F60" t="s">
        <v>470</v>
      </c>
      <c r="G60" t="s">
        <v>152</v>
      </c>
      <c r="H60" t="s">
        <v>93</v>
      </c>
      <c r="K60" t="s">
        <v>152</v>
      </c>
      <c r="M60" t="s">
        <v>471</v>
      </c>
      <c r="N60" t="s">
        <v>210</v>
      </c>
      <c r="O60" t="s">
        <v>33</v>
      </c>
      <c r="P60" t="s">
        <v>472</v>
      </c>
      <c r="Q60" t="s">
        <v>35</v>
      </c>
      <c r="S60" t="s">
        <v>158</v>
      </c>
      <c r="T60" t="s">
        <v>473</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80D-4AAC-4213-A401-1C1C355E7267}">
  <dimension ref="A1:AA23"/>
  <sheetViews>
    <sheetView tabSelected="1" workbookViewId="0">
      <selection activeCell="I15" sqref="I15"/>
    </sheetView>
  </sheetViews>
  <sheetFormatPr defaultRowHeight="15" x14ac:dyDescent="0.25"/>
  <cols>
    <col min="1" max="1" width="24.5703125" bestFit="1" customWidth="1"/>
    <col min="2" max="2" width="25" bestFit="1" customWidth="1"/>
    <col min="3" max="3" width="14.85546875" bestFit="1" customWidth="1"/>
    <col min="4" max="4" width="12.5703125" customWidth="1"/>
    <col min="5" max="5" width="12.28515625" bestFit="1" customWidth="1"/>
    <col min="6" max="6" width="10.42578125" customWidth="1"/>
    <col min="7" max="7" width="15.85546875" bestFit="1" customWidth="1"/>
    <col min="8" max="8" width="9.28515625" bestFit="1" customWidth="1"/>
    <col min="9" max="9" width="13.85546875" bestFit="1" customWidth="1"/>
    <col min="10" max="10" width="18.28515625" bestFit="1" customWidth="1"/>
    <col min="11" max="11" width="28" bestFit="1" customWidth="1"/>
    <col min="12" max="12" width="18" bestFit="1" customWidth="1"/>
    <col min="13" max="13" width="16.7109375" customWidth="1"/>
    <col min="14" max="14" width="13" bestFit="1" customWidth="1"/>
    <col min="15" max="15" width="18.28515625" bestFit="1" customWidth="1"/>
    <col min="16" max="16" width="38.140625" bestFit="1" customWidth="1"/>
    <col min="17" max="17" width="9.28515625" bestFit="1" customWidth="1"/>
    <col min="18" max="18" width="14.85546875" bestFit="1" customWidth="1"/>
    <col min="19" max="19" width="16.5703125" bestFit="1" customWidth="1"/>
    <col min="20" max="20" width="12.28515625" bestFit="1" customWidth="1"/>
    <col min="21" max="21" width="11.7109375" bestFit="1" customWidth="1"/>
    <col min="22" max="22" width="8.7109375" bestFit="1" customWidth="1"/>
    <col min="23" max="23" width="7.28515625" bestFit="1" customWidth="1"/>
    <col min="24" max="24" width="11.140625" bestFit="1" customWidth="1"/>
    <col min="25" max="25" width="14.42578125" bestFit="1" customWidth="1"/>
    <col min="26" max="26" width="11.140625" bestFit="1" customWidth="1"/>
    <col min="27" max="27" width="14.140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16</v>
      </c>
      <c r="P1" t="s">
        <v>15</v>
      </c>
      <c r="Q1" t="s">
        <v>915</v>
      </c>
      <c r="R1" t="s">
        <v>916</v>
      </c>
      <c r="S1" t="s">
        <v>917</v>
      </c>
      <c r="T1" t="s">
        <v>918</v>
      </c>
      <c r="U1" t="s">
        <v>14</v>
      </c>
      <c r="V1" t="s">
        <v>919</v>
      </c>
      <c r="W1" t="s">
        <v>17</v>
      </c>
      <c r="X1" t="s">
        <v>18</v>
      </c>
      <c r="Y1" t="s">
        <v>19</v>
      </c>
      <c r="Z1" t="s">
        <v>20</v>
      </c>
      <c r="AA1" t="s">
        <v>21</v>
      </c>
    </row>
    <row r="2" spans="1:27" hidden="1" x14ac:dyDescent="0.25">
      <c r="A2" t="s">
        <v>147</v>
      </c>
      <c r="B2" t="s">
        <v>148</v>
      </c>
      <c r="C2" s="1">
        <v>44365</v>
      </c>
      <c r="D2" t="s">
        <v>149</v>
      </c>
      <c r="E2" t="s">
        <v>150</v>
      </c>
      <c r="F2" t="s">
        <v>151</v>
      </c>
      <c r="G2" t="s">
        <v>152</v>
      </c>
      <c r="H2" t="s">
        <v>93</v>
      </c>
      <c r="K2" t="s">
        <v>152</v>
      </c>
      <c r="L2" t="s">
        <v>153</v>
      </c>
      <c r="M2" t="s">
        <v>154</v>
      </c>
      <c r="N2" t="s">
        <v>155</v>
      </c>
      <c r="O2" t="s">
        <v>157</v>
      </c>
      <c r="P2" t="s">
        <v>156</v>
      </c>
      <c r="Q2">
        <v>8163</v>
      </c>
      <c r="R2">
        <v>1</v>
      </c>
      <c r="S2">
        <v>1</v>
      </c>
      <c r="T2" t="s">
        <v>920</v>
      </c>
      <c r="U2" t="s">
        <v>921</v>
      </c>
      <c r="V2" t="s">
        <v>922</v>
      </c>
      <c r="X2" t="s">
        <v>158</v>
      </c>
      <c r="Y2" t="s">
        <v>159</v>
      </c>
      <c r="AA2" t="s">
        <v>160</v>
      </c>
    </row>
    <row r="3" spans="1:27" x14ac:dyDescent="0.25">
      <c r="A3" t="s">
        <v>195</v>
      </c>
      <c r="B3" t="s">
        <v>186</v>
      </c>
      <c r="C3" s="1">
        <v>44100</v>
      </c>
      <c r="D3" t="s">
        <v>187</v>
      </c>
      <c r="E3" t="s">
        <v>196</v>
      </c>
      <c r="F3" t="s">
        <v>197</v>
      </c>
      <c r="G3" t="s">
        <v>27</v>
      </c>
      <c r="H3" t="s">
        <v>49</v>
      </c>
      <c r="J3" t="s">
        <v>198</v>
      </c>
      <c r="K3" t="s">
        <v>199</v>
      </c>
      <c r="L3" t="s">
        <v>200</v>
      </c>
      <c r="M3" t="s">
        <v>201</v>
      </c>
      <c r="N3" t="s">
        <v>202</v>
      </c>
      <c r="O3" t="s">
        <v>35</v>
      </c>
      <c r="P3" t="s">
        <v>203</v>
      </c>
      <c r="Q3">
        <v>10001</v>
      </c>
      <c r="R3">
        <v>1</v>
      </c>
      <c r="S3">
        <v>0</v>
      </c>
      <c r="T3" t="s">
        <v>920</v>
      </c>
      <c r="U3" t="s">
        <v>33</v>
      </c>
      <c r="V3" t="s">
        <v>35</v>
      </c>
      <c r="X3" t="s">
        <v>158</v>
      </c>
      <c r="Y3" t="s">
        <v>204</v>
      </c>
    </row>
    <row r="4" spans="1:27" x14ac:dyDescent="0.25">
      <c r="A4" t="s">
        <v>205</v>
      </c>
      <c r="B4" t="s">
        <v>186</v>
      </c>
      <c r="C4" s="1">
        <v>44100</v>
      </c>
      <c r="D4" t="s">
        <v>187</v>
      </c>
      <c r="E4" t="s">
        <v>206</v>
      </c>
      <c r="F4" t="s">
        <v>207</v>
      </c>
      <c r="G4" t="s">
        <v>208</v>
      </c>
      <c r="H4" t="s">
        <v>49</v>
      </c>
      <c r="K4" t="s">
        <v>208</v>
      </c>
      <c r="M4" t="s">
        <v>209</v>
      </c>
      <c r="N4" t="s">
        <v>210</v>
      </c>
      <c r="O4" t="s">
        <v>35</v>
      </c>
      <c r="P4" t="s">
        <v>211</v>
      </c>
      <c r="Q4">
        <v>2970</v>
      </c>
      <c r="R4">
        <v>1</v>
      </c>
      <c r="S4">
        <v>0</v>
      </c>
      <c r="T4" t="s">
        <v>920</v>
      </c>
      <c r="U4" t="s">
        <v>33</v>
      </c>
      <c r="V4" t="s">
        <v>35</v>
      </c>
      <c r="X4" t="s">
        <v>36</v>
      </c>
      <c r="Y4" t="s">
        <v>212</v>
      </c>
    </row>
    <row r="5" spans="1:27" hidden="1" x14ac:dyDescent="0.25">
      <c r="A5" t="s">
        <v>249</v>
      </c>
      <c r="B5" t="s">
        <v>250</v>
      </c>
      <c r="C5" s="1">
        <v>43742</v>
      </c>
      <c r="D5" t="s">
        <v>251</v>
      </c>
      <c r="E5" t="s">
        <v>252</v>
      </c>
      <c r="F5" t="s">
        <v>253</v>
      </c>
      <c r="G5" t="s">
        <v>208</v>
      </c>
      <c r="H5" t="s">
        <v>49</v>
      </c>
      <c r="K5" t="s">
        <v>208</v>
      </c>
      <c r="M5" t="s">
        <v>254</v>
      </c>
      <c r="N5" t="s">
        <v>32</v>
      </c>
      <c r="O5" t="s">
        <v>69</v>
      </c>
      <c r="P5" t="s">
        <v>255</v>
      </c>
      <c r="Q5">
        <v>7546</v>
      </c>
      <c r="R5">
        <v>1</v>
      </c>
      <c r="S5">
        <v>0</v>
      </c>
      <c r="T5" t="s">
        <v>920</v>
      </c>
      <c r="U5" t="s">
        <v>33</v>
      </c>
      <c r="V5" t="s">
        <v>35</v>
      </c>
      <c r="X5" t="s">
        <v>182</v>
      </c>
      <c r="Y5" t="s">
        <v>256</v>
      </c>
      <c r="Z5" t="s">
        <v>257</v>
      </c>
    </row>
    <row r="6" spans="1:27" hidden="1" x14ac:dyDescent="0.25">
      <c r="A6" t="s">
        <v>264</v>
      </c>
      <c r="B6" t="s">
        <v>259</v>
      </c>
      <c r="C6" s="1">
        <v>43621</v>
      </c>
      <c r="D6" t="s">
        <v>260</v>
      </c>
      <c r="G6" t="s">
        <v>40</v>
      </c>
      <c r="K6" t="s">
        <v>40</v>
      </c>
      <c r="O6" t="s">
        <v>166</v>
      </c>
      <c r="P6" t="s">
        <v>265</v>
      </c>
      <c r="Q6">
        <v>547</v>
      </c>
      <c r="R6">
        <v>1</v>
      </c>
      <c r="S6">
        <v>1</v>
      </c>
      <c r="T6" t="s">
        <v>923</v>
      </c>
      <c r="U6" t="s">
        <v>33</v>
      </c>
      <c r="V6" t="s">
        <v>35</v>
      </c>
      <c r="W6" t="s">
        <v>43</v>
      </c>
    </row>
    <row r="7" spans="1:27" hidden="1" x14ac:dyDescent="0.25">
      <c r="A7" t="s">
        <v>295</v>
      </c>
      <c r="B7" t="s">
        <v>296</v>
      </c>
      <c r="C7" s="1">
        <v>42391</v>
      </c>
      <c r="D7" t="s">
        <v>297</v>
      </c>
      <c r="E7" t="s">
        <v>298</v>
      </c>
      <c r="F7" t="s">
        <v>299</v>
      </c>
      <c r="G7" t="s">
        <v>27</v>
      </c>
      <c r="J7" t="s">
        <v>300</v>
      </c>
      <c r="K7" t="s">
        <v>301</v>
      </c>
      <c r="L7" t="s">
        <v>302</v>
      </c>
      <c r="M7" t="s">
        <v>303</v>
      </c>
      <c r="N7" t="s">
        <v>210</v>
      </c>
      <c r="O7" t="s">
        <v>69</v>
      </c>
      <c r="P7" t="s">
        <v>304</v>
      </c>
      <c r="Q7">
        <v>11081</v>
      </c>
      <c r="R7">
        <v>2</v>
      </c>
      <c r="S7">
        <v>0</v>
      </c>
      <c r="T7" t="s">
        <v>920</v>
      </c>
      <c r="U7" t="s">
        <v>33</v>
      </c>
      <c r="V7" t="s">
        <v>35</v>
      </c>
      <c r="X7" t="s">
        <v>158</v>
      </c>
      <c r="Y7" t="s">
        <v>305</v>
      </c>
      <c r="Z7" t="s">
        <v>306</v>
      </c>
    </row>
    <row r="8" spans="1:27" hidden="1" x14ac:dyDescent="0.25">
      <c r="A8" t="s">
        <v>307</v>
      </c>
      <c r="B8" t="s">
        <v>308</v>
      </c>
      <c r="C8" s="1">
        <v>42279</v>
      </c>
      <c r="D8" t="s">
        <v>309</v>
      </c>
      <c r="E8" t="s">
        <v>310</v>
      </c>
      <c r="F8" t="s">
        <v>311</v>
      </c>
      <c r="G8" t="s">
        <v>27</v>
      </c>
      <c r="J8" t="s">
        <v>300</v>
      </c>
      <c r="K8" t="s">
        <v>301</v>
      </c>
      <c r="L8" t="s">
        <v>312</v>
      </c>
      <c r="M8" t="s">
        <v>313</v>
      </c>
      <c r="N8" t="s">
        <v>32</v>
      </c>
      <c r="O8" t="s">
        <v>69</v>
      </c>
      <c r="P8" t="s">
        <v>314</v>
      </c>
      <c r="Q8">
        <v>2337</v>
      </c>
      <c r="R8">
        <v>4</v>
      </c>
      <c r="S8">
        <v>0</v>
      </c>
      <c r="T8" t="s">
        <v>924</v>
      </c>
      <c r="U8" t="s">
        <v>33</v>
      </c>
      <c r="V8" t="s">
        <v>181</v>
      </c>
      <c r="X8" t="s">
        <v>36</v>
      </c>
      <c r="Y8" t="s">
        <v>277</v>
      </c>
      <c r="Z8" t="s">
        <v>238</v>
      </c>
    </row>
    <row r="9" spans="1:27" x14ac:dyDescent="0.25">
      <c r="A9" t="s">
        <v>315</v>
      </c>
      <c r="B9" t="s">
        <v>308</v>
      </c>
      <c r="C9" s="1">
        <v>42279</v>
      </c>
      <c r="D9" t="s">
        <v>309</v>
      </c>
      <c r="E9" t="s">
        <v>252</v>
      </c>
      <c r="F9" t="s">
        <v>253</v>
      </c>
      <c r="G9" t="s">
        <v>208</v>
      </c>
      <c r="H9" t="s">
        <v>49</v>
      </c>
      <c r="K9" t="s">
        <v>208</v>
      </c>
      <c r="M9" t="s">
        <v>316</v>
      </c>
      <c r="N9" t="s">
        <v>32</v>
      </c>
      <c r="O9" t="s">
        <v>69</v>
      </c>
      <c r="P9" t="s">
        <v>317</v>
      </c>
      <c r="Q9">
        <v>8052</v>
      </c>
      <c r="R9">
        <v>1</v>
      </c>
      <c r="S9">
        <v>0</v>
      </c>
      <c r="T9" t="s">
        <v>920</v>
      </c>
      <c r="U9" t="s">
        <v>33</v>
      </c>
      <c r="V9" t="s">
        <v>35</v>
      </c>
      <c r="X9" t="s">
        <v>36</v>
      </c>
      <c r="Y9" t="s">
        <v>277</v>
      </c>
      <c r="Z9" t="s">
        <v>142</v>
      </c>
    </row>
    <row r="10" spans="1:27" x14ac:dyDescent="0.25">
      <c r="A10" t="s">
        <v>318</v>
      </c>
      <c r="B10" t="s">
        <v>319</v>
      </c>
      <c r="C10" s="1">
        <v>41761</v>
      </c>
      <c r="D10" t="s">
        <v>320</v>
      </c>
      <c r="E10" t="s">
        <v>25</v>
      </c>
      <c r="F10" t="s">
        <v>26</v>
      </c>
      <c r="G10" t="s">
        <v>235</v>
      </c>
      <c r="H10" t="s">
        <v>28</v>
      </c>
      <c r="K10" t="s">
        <v>235</v>
      </c>
      <c r="M10" t="s">
        <v>321</v>
      </c>
      <c r="N10" t="s">
        <v>32</v>
      </c>
      <c r="O10" t="s">
        <v>69</v>
      </c>
      <c r="P10" t="s">
        <v>322</v>
      </c>
      <c r="Q10">
        <v>4025</v>
      </c>
      <c r="R10">
        <v>4</v>
      </c>
      <c r="S10">
        <v>0</v>
      </c>
      <c r="T10" t="s">
        <v>920</v>
      </c>
      <c r="U10" t="s">
        <v>33</v>
      </c>
      <c r="V10" t="s">
        <v>35</v>
      </c>
      <c r="X10" t="s">
        <v>36</v>
      </c>
      <c r="Y10" t="s">
        <v>323</v>
      </c>
      <c r="Z10" t="s">
        <v>324</v>
      </c>
    </row>
    <row r="11" spans="1:27" hidden="1" x14ac:dyDescent="0.25">
      <c r="A11" t="s">
        <v>325</v>
      </c>
      <c r="B11" t="s">
        <v>326</v>
      </c>
      <c r="C11" s="1">
        <v>41187</v>
      </c>
      <c r="D11" t="s">
        <v>327</v>
      </c>
      <c r="E11" t="s">
        <v>328</v>
      </c>
      <c r="F11" t="s">
        <v>329</v>
      </c>
      <c r="G11" t="s">
        <v>235</v>
      </c>
      <c r="H11" t="s">
        <v>28</v>
      </c>
      <c r="K11" t="s">
        <v>235</v>
      </c>
      <c r="L11" t="s">
        <v>330</v>
      </c>
      <c r="M11" t="s">
        <v>331</v>
      </c>
      <c r="N11" t="s">
        <v>54</v>
      </c>
      <c r="O11" t="s">
        <v>69</v>
      </c>
      <c r="P11" t="s">
        <v>332</v>
      </c>
      <c r="Q11">
        <v>4933</v>
      </c>
      <c r="R11">
        <v>1</v>
      </c>
      <c r="S11">
        <v>0</v>
      </c>
      <c r="T11" t="s">
        <v>923</v>
      </c>
      <c r="U11" t="s">
        <v>33</v>
      </c>
      <c r="V11" t="s">
        <v>35</v>
      </c>
      <c r="X11" t="s">
        <v>182</v>
      </c>
      <c r="Y11" t="s">
        <v>143</v>
      </c>
      <c r="Z11" t="s">
        <v>333</v>
      </c>
    </row>
    <row r="12" spans="1:27" x14ac:dyDescent="0.25">
      <c r="A12" t="s">
        <v>350</v>
      </c>
      <c r="B12" t="s">
        <v>351</v>
      </c>
      <c r="C12" s="1">
        <v>40088</v>
      </c>
      <c r="D12" t="s">
        <v>352</v>
      </c>
      <c r="E12" t="s">
        <v>174</v>
      </c>
      <c r="F12" t="s">
        <v>175</v>
      </c>
      <c r="G12" t="s">
        <v>27</v>
      </c>
      <c r="H12" t="s">
        <v>49</v>
      </c>
      <c r="J12" t="s">
        <v>353</v>
      </c>
      <c r="K12" t="s">
        <v>354</v>
      </c>
      <c r="L12" t="s">
        <v>355</v>
      </c>
      <c r="M12" t="s">
        <v>356</v>
      </c>
      <c r="N12" t="s">
        <v>116</v>
      </c>
      <c r="O12" t="s">
        <v>69</v>
      </c>
      <c r="P12" t="s">
        <v>357</v>
      </c>
      <c r="Q12">
        <v>4798</v>
      </c>
      <c r="R12">
        <v>1</v>
      </c>
      <c r="S12">
        <v>0</v>
      </c>
      <c r="T12" t="s">
        <v>920</v>
      </c>
      <c r="U12" t="s">
        <v>33</v>
      </c>
      <c r="V12" t="s">
        <v>181</v>
      </c>
      <c r="X12" t="s">
        <v>36</v>
      </c>
      <c r="Y12" t="s">
        <v>212</v>
      </c>
      <c r="Z12" t="s">
        <v>159</v>
      </c>
    </row>
    <row r="13" spans="1:27" x14ac:dyDescent="0.25">
      <c r="A13" t="s">
        <v>364</v>
      </c>
      <c r="B13" t="s">
        <v>365</v>
      </c>
      <c r="C13" s="1">
        <v>39367</v>
      </c>
      <c r="D13" t="s">
        <v>366</v>
      </c>
      <c r="E13" t="s">
        <v>367</v>
      </c>
      <c r="F13" t="s">
        <v>368</v>
      </c>
      <c r="G13" t="s">
        <v>27</v>
      </c>
      <c r="H13" t="s">
        <v>28</v>
      </c>
      <c r="J13" t="s">
        <v>369</v>
      </c>
      <c r="K13" t="s">
        <v>370</v>
      </c>
      <c r="L13" t="s">
        <v>371</v>
      </c>
      <c r="M13" t="s">
        <v>372</v>
      </c>
      <c r="N13" t="s">
        <v>202</v>
      </c>
      <c r="O13" t="s">
        <v>69</v>
      </c>
      <c r="P13" t="s">
        <v>373</v>
      </c>
      <c r="Q13">
        <v>4454</v>
      </c>
      <c r="R13">
        <v>1</v>
      </c>
      <c r="S13">
        <v>0</v>
      </c>
      <c r="T13" t="s">
        <v>925</v>
      </c>
      <c r="U13" t="s">
        <v>33</v>
      </c>
      <c r="V13" t="s">
        <v>35</v>
      </c>
      <c r="X13" t="s">
        <v>158</v>
      </c>
      <c r="Y13" t="s">
        <v>218</v>
      </c>
      <c r="Z13" t="s">
        <v>374</v>
      </c>
    </row>
    <row r="14" spans="1:27" hidden="1" x14ac:dyDescent="0.25">
      <c r="A14" t="s">
        <v>375</v>
      </c>
      <c r="B14" t="s">
        <v>376</v>
      </c>
      <c r="C14" s="1">
        <v>38632</v>
      </c>
      <c r="D14" t="s">
        <v>377</v>
      </c>
      <c r="E14" t="s">
        <v>378</v>
      </c>
      <c r="F14" t="s">
        <v>379</v>
      </c>
      <c r="G14" t="s">
        <v>208</v>
      </c>
      <c r="H14" t="s">
        <v>93</v>
      </c>
      <c r="K14" t="s">
        <v>208</v>
      </c>
      <c r="L14" t="s">
        <v>380</v>
      </c>
      <c r="M14" t="s">
        <v>381</v>
      </c>
      <c r="N14" t="s">
        <v>32</v>
      </c>
      <c r="O14" t="s">
        <v>69</v>
      </c>
      <c r="P14" t="s">
        <v>382</v>
      </c>
      <c r="Q14">
        <v>6245</v>
      </c>
      <c r="R14">
        <v>4</v>
      </c>
      <c r="S14">
        <v>1</v>
      </c>
      <c r="T14" t="s">
        <v>925</v>
      </c>
      <c r="U14" t="s">
        <v>926</v>
      </c>
      <c r="V14" t="s">
        <v>35</v>
      </c>
      <c r="X14" t="s">
        <v>36</v>
      </c>
      <c r="Y14" t="s">
        <v>218</v>
      </c>
      <c r="Z14" t="s">
        <v>383</v>
      </c>
    </row>
    <row r="15" spans="1:27" x14ac:dyDescent="0.25">
      <c r="A15" t="s">
        <v>384</v>
      </c>
      <c r="B15" t="s">
        <v>385</v>
      </c>
      <c r="C15" s="1">
        <v>38142</v>
      </c>
      <c r="D15" t="s">
        <v>386</v>
      </c>
      <c r="E15" t="s">
        <v>174</v>
      </c>
      <c r="F15" t="s">
        <v>175</v>
      </c>
      <c r="G15" t="s">
        <v>27</v>
      </c>
      <c r="H15" t="s">
        <v>49</v>
      </c>
      <c r="J15" t="s">
        <v>387</v>
      </c>
      <c r="K15" t="s">
        <v>388</v>
      </c>
      <c r="M15" t="s">
        <v>389</v>
      </c>
      <c r="N15" t="s">
        <v>116</v>
      </c>
      <c r="O15" t="s">
        <v>69</v>
      </c>
      <c r="P15" t="s">
        <v>390</v>
      </c>
      <c r="Q15">
        <v>7683</v>
      </c>
      <c r="R15">
        <v>1</v>
      </c>
      <c r="S15">
        <v>0</v>
      </c>
      <c r="T15" t="s">
        <v>927</v>
      </c>
      <c r="U15" t="s">
        <v>33</v>
      </c>
      <c r="V15" t="s">
        <v>35</v>
      </c>
      <c r="X15" t="s">
        <v>158</v>
      </c>
      <c r="Y15" t="s">
        <v>142</v>
      </c>
      <c r="Z15" t="s">
        <v>391</v>
      </c>
    </row>
    <row r="16" spans="1:27" hidden="1" x14ac:dyDescent="0.25">
      <c r="A16" t="s">
        <v>392</v>
      </c>
      <c r="B16" t="s">
        <v>393</v>
      </c>
      <c r="C16" s="1">
        <v>37536</v>
      </c>
      <c r="D16" t="s">
        <v>394</v>
      </c>
      <c r="E16" t="s">
        <v>395</v>
      </c>
      <c r="F16" t="s">
        <v>396</v>
      </c>
      <c r="G16" t="s">
        <v>152</v>
      </c>
      <c r="H16" t="s">
        <v>271</v>
      </c>
      <c r="K16" t="s">
        <v>152</v>
      </c>
      <c r="M16" t="s">
        <v>397</v>
      </c>
      <c r="N16" t="s">
        <v>116</v>
      </c>
      <c r="O16" t="s">
        <v>69</v>
      </c>
      <c r="P16" t="s">
        <v>398</v>
      </c>
      <c r="Q16">
        <v>10772</v>
      </c>
      <c r="R16">
        <v>3</v>
      </c>
      <c r="S16">
        <v>0</v>
      </c>
      <c r="T16" t="s">
        <v>920</v>
      </c>
      <c r="U16" t="s">
        <v>33</v>
      </c>
      <c r="V16" t="s">
        <v>35</v>
      </c>
      <c r="X16" t="s">
        <v>36</v>
      </c>
      <c r="Y16" t="s">
        <v>399</v>
      </c>
      <c r="Z16" t="s">
        <v>400</v>
      </c>
    </row>
    <row r="17" spans="1:26" hidden="1" x14ac:dyDescent="0.25">
      <c r="A17" t="s">
        <v>410</v>
      </c>
      <c r="B17" t="s">
        <v>411</v>
      </c>
      <c r="C17" s="1">
        <v>36801</v>
      </c>
      <c r="D17" t="s">
        <v>412</v>
      </c>
      <c r="E17" t="s">
        <v>310</v>
      </c>
      <c r="F17" t="s">
        <v>311</v>
      </c>
      <c r="G17" t="s">
        <v>152</v>
      </c>
      <c r="H17" t="s">
        <v>271</v>
      </c>
      <c r="K17" t="s">
        <v>152</v>
      </c>
      <c r="L17" t="s">
        <v>928</v>
      </c>
      <c r="M17" t="s">
        <v>414</v>
      </c>
      <c r="N17" t="s">
        <v>32</v>
      </c>
      <c r="O17" t="s">
        <v>69</v>
      </c>
      <c r="P17" t="s">
        <v>415</v>
      </c>
      <c r="Q17">
        <v>5388</v>
      </c>
      <c r="R17">
        <v>1</v>
      </c>
      <c r="S17">
        <v>0</v>
      </c>
      <c r="T17" t="s">
        <v>920</v>
      </c>
      <c r="U17" t="s">
        <v>33</v>
      </c>
      <c r="V17" t="s">
        <v>35</v>
      </c>
      <c r="X17" t="s">
        <v>36</v>
      </c>
      <c r="Y17" t="s">
        <v>323</v>
      </c>
      <c r="Z17" t="s">
        <v>416</v>
      </c>
    </row>
    <row r="18" spans="1:26" hidden="1" x14ac:dyDescent="0.25">
      <c r="A18" t="s">
        <v>417</v>
      </c>
      <c r="B18" t="s">
        <v>418</v>
      </c>
      <c r="C18" s="1">
        <v>36437</v>
      </c>
      <c r="D18" t="s">
        <v>419</v>
      </c>
      <c r="E18" t="s">
        <v>420</v>
      </c>
      <c r="F18" t="s">
        <v>421</v>
      </c>
      <c r="G18" t="s">
        <v>422</v>
      </c>
      <c r="J18" t="s">
        <v>423</v>
      </c>
      <c r="K18" t="s">
        <v>424</v>
      </c>
      <c r="L18" t="s">
        <v>929</v>
      </c>
      <c r="M18" t="s">
        <v>426</v>
      </c>
      <c r="N18" t="s">
        <v>210</v>
      </c>
      <c r="O18" t="s">
        <v>69</v>
      </c>
      <c r="P18" t="s">
        <v>427</v>
      </c>
      <c r="Q18">
        <v>2249</v>
      </c>
      <c r="R18">
        <v>1</v>
      </c>
      <c r="S18">
        <v>0</v>
      </c>
      <c r="T18" t="s">
        <v>930</v>
      </c>
      <c r="U18" t="s">
        <v>33</v>
      </c>
      <c r="V18" t="s">
        <v>181</v>
      </c>
      <c r="X18" t="s">
        <v>158</v>
      </c>
      <c r="Y18" t="s">
        <v>428</v>
      </c>
      <c r="Z18" t="s">
        <v>257</v>
      </c>
    </row>
    <row r="19" spans="1:26" x14ac:dyDescent="0.25">
      <c r="A19" t="s">
        <v>434</v>
      </c>
      <c r="B19" t="s">
        <v>435</v>
      </c>
      <c r="C19" s="1">
        <v>36080</v>
      </c>
      <c r="D19" t="s">
        <v>436</v>
      </c>
      <c r="E19" t="s">
        <v>214</v>
      </c>
      <c r="F19" t="s">
        <v>215</v>
      </c>
      <c r="G19" t="s">
        <v>27</v>
      </c>
      <c r="H19" t="s">
        <v>28</v>
      </c>
      <c r="J19" t="s">
        <v>437</v>
      </c>
      <c r="K19" t="s">
        <v>438</v>
      </c>
      <c r="L19" t="s">
        <v>439</v>
      </c>
      <c r="M19" t="s">
        <v>440</v>
      </c>
      <c r="N19" t="s">
        <v>210</v>
      </c>
      <c r="O19" t="s">
        <v>35</v>
      </c>
      <c r="P19" t="s">
        <v>441</v>
      </c>
      <c r="Q19">
        <v>11817</v>
      </c>
      <c r="R19">
        <v>2</v>
      </c>
      <c r="S19">
        <v>0</v>
      </c>
      <c r="T19" t="s">
        <v>920</v>
      </c>
      <c r="U19" t="s">
        <v>921</v>
      </c>
      <c r="V19" t="s">
        <v>35</v>
      </c>
      <c r="X19" t="s">
        <v>36</v>
      </c>
      <c r="Y19" t="s">
        <v>442</v>
      </c>
    </row>
    <row r="20" spans="1:26" x14ac:dyDescent="0.25">
      <c r="A20" t="s">
        <v>443</v>
      </c>
      <c r="B20" t="s">
        <v>444</v>
      </c>
      <c r="C20" s="1">
        <v>34973</v>
      </c>
      <c r="D20" t="s">
        <v>445</v>
      </c>
      <c r="E20" t="s">
        <v>446</v>
      </c>
      <c r="F20" t="s">
        <v>447</v>
      </c>
      <c r="G20" t="s">
        <v>27</v>
      </c>
      <c r="H20" t="s">
        <v>49</v>
      </c>
      <c r="J20" t="s">
        <v>50</v>
      </c>
      <c r="K20" t="s">
        <v>51</v>
      </c>
      <c r="M20" t="s">
        <v>448</v>
      </c>
      <c r="N20" t="s">
        <v>210</v>
      </c>
      <c r="O20" t="s">
        <v>35</v>
      </c>
      <c r="P20" t="s">
        <v>449</v>
      </c>
      <c r="Q20">
        <v>5339</v>
      </c>
      <c r="R20">
        <v>2</v>
      </c>
      <c r="S20">
        <v>0</v>
      </c>
      <c r="T20" t="s">
        <v>920</v>
      </c>
      <c r="U20" t="s">
        <v>33</v>
      </c>
      <c r="V20" t="s">
        <v>35</v>
      </c>
      <c r="X20" t="s">
        <v>36</v>
      </c>
      <c r="Y20" t="s">
        <v>277</v>
      </c>
    </row>
    <row r="21" spans="1:26" hidden="1" x14ac:dyDescent="0.25">
      <c r="A21" t="s">
        <v>450</v>
      </c>
      <c r="B21" t="s">
        <v>451</v>
      </c>
      <c r="C21" s="1">
        <v>34853</v>
      </c>
      <c r="D21" t="s">
        <v>452</v>
      </c>
      <c r="E21" t="s">
        <v>420</v>
      </c>
      <c r="F21" t="s">
        <v>421</v>
      </c>
      <c r="G21" t="s">
        <v>291</v>
      </c>
      <c r="K21" t="s">
        <v>291</v>
      </c>
      <c r="M21" t="s">
        <v>453</v>
      </c>
      <c r="N21" t="s">
        <v>210</v>
      </c>
      <c r="O21" t="s">
        <v>35</v>
      </c>
      <c r="P21" t="s">
        <v>454</v>
      </c>
      <c r="Q21">
        <v>11808</v>
      </c>
      <c r="R21">
        <v>1</v>
      </c>
      <c r="S21">
        <v>0</v>
      </c>
      <c r="T21" t="s">
        <v>920</v>
      </c>
      <c r="U21" t="s">
        <v>33</v>
      </c>
      <c r="V21" t="s">
        <v>35</v>
      </c>
      <c r="X21" t="s">
        <v>182</v>
      </c>
      <c r="Y21" t="s">
        <v>455</v>
      </c>
    </row>
    <row r="22" spans="1:26" x14ac:dyDescent="0.25">
      <c r="A22" t="s">
        <v>456</v>
      </c>
      <c r="B22" t="s">
        <v>457</v>
      </c>
      <c r="C22" s="1">
        <v>34639</v>
      </c>
      <c r="D22" t="s">
        <v>458</v>
      </c>
      <c r="E22" t="s">
        <v>459</v>
      </c>
      <c r="F22" t="s">
        <v>460</v>
      </c>
      <c r="G22" t="s">
        <v>27</v>
      </c>
      <c r="H22" t="s">
        <v>49</v>
      </c>
      <c r="J22" t="s">
        <v>461</v>
      </c>
      <c r="K22" t="s">
        <v>462</v>
      </c>
      <c r="M22" t="s">
        <v>463</v>
      </c>
      <c r="N22" t="s">
        <v>116</v>
      </c>
      <c r="O22" t="s">
        <v>35</v>
      </c>
      <c r="P22" t="s">
        <v>464</v>
      </c>
      <c r="Q22">
        <v>10980</v>
      </c>
      <c r="R22">
        <v>7</v>
      </c>
      <c r="S22">
        <v>3</v>
      </c>
      <c r="T22" t="s">
        <v>920</v>
      </c>
      <c r="U22" t="s">
        <v>33</v>
      </c>
      <c r="V22" t="s">
        <v>35</v>
      </c>
      <c r="X22" t="s">
        <v>158</v>
      </c>
      <c r="Y22" t="s">
        <v>465</v>
      </c>
    </row>
    <row r="23" spans="1:26" hidden="1" x14ac:dyDescent="0.25">
      <c r="A23" t="s">
        <v>466</v>
      </c>
      <c r="B23" t="s">
        <v>467</v>
      </c>
      <c r="C23" s="1">
        <v>34435</v>
      </c>
      <c r="D23" t="s">
        <v>468</v>
      </c>
      <c r="E23" t="s">
        <v>469</v>
      </c>
      <c r="F23" t="s">
        <v>470</v>
      </c>
      <c r="G23" t="s">
        <v>152</v>
      </c>
      <c r="H23" t="s">
        <v>93</v>
      </c>
      <c r="K23" t="s">
        <v>152</v>
      </c>
      <c r="M23" t="s">
        <v>471</v>
      </c>
      <c r="N23" t="s">
        <v>210</v>
      </c>
      <c r="O23" t="s">
        <v>35</v>
      </c>
      <c r="P23" t="s">
        <v>472</v>
      </c>
      <c r="Q23">
        <v>8721</v>
      </c>
      <c r="R23">
        <v>2</v>
      </c>
      <c r="S23">
        <v>0</v>
      </c>
      <c r="T23" t="s">
        <v>920</v>
      </c>
      <c r="U23" t="s">
        <v>33</v>
      </c>
      <c r="V23" t="s">
        <v>35</v>
      </c>
      <c r="X23" t="s">
        <v>158</v>
      </c>
      <c r="Y23" t="s">
        <v>473</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534AB-4841-443F-B1C5-6BE2DEF5211C}">
  <dimension ref="A1:BZ39"/>
  <sheetViews>
    <sheetView topLeftCell="U1" workbookViewId="0">
      <selection activeCell="BD9" sqref="BD9"/>
    </sheetView>
  </sheetViews>
  <sheetFormatPr defaultRowHeight="15" x14ac:dyDescent="0.25"/>
  <cols>
    <col min="2" max="2" width="10.42578125" customWidth="1"/>
    <col min="3" max="3" width="12.7109375" customWidth="1"/>
    <col min="4" max="4" width="16.85546875" customWidth="1"/>
    <col min="5" max="5" width="12.85546875" customWidth="1"/>
    <col min="6" max="6" width="14.85546875" customWidth="1"/>
    <col min="7" max="7" width="13.7109375" customWidth="1"/>
    <col min="8" max="8" width="11.7109375" customWidth="1"/>
    <col min="9" max="9" width="14.140625" customWidth="1"/>
    <col min="10" max="10" width="15.7109375" customWidth="1"/>
    <col min="12" max="12" width="10" customWidth="1"/>
    <col min="13" max="13" width="11.28515625" customWidth="1"/>
    <col min="14" max="14" width="13.5703125" customWidth="1"/>
    <col min="15" max="15" width="17.140625" customWidth="1"/>
    <col min="16" max="16" width="24.42578125" customWidth="1"/>
    <col min="17" max="17" width="17.5703125" customWidth="1"/>
    <col min="18" max="18" width="16.85546875" customWidth="1"/>
    <col min="19" max="19" width="12.140625" customWidth="1"/>
    <col min="20" max="20" width="10.140625" customWidth="1"/>
    <col min="21" max="21" width="13.42578125" customWidth="1"/>
    <col min="22" max="22" width="11.5703125" customWidth="1"/>
    <col min="23" max="23" width="14" customWidth="1"/>
    <col min="24" max="24" width="15" customWidth="1"/>
    <col min="26" max="26" width="24.28515625" customWidth="1"/>
    <col min="27" max="27" width="20.5703125" customWidth="1"/>
    <col min="28" max="28" width="9.7109375" customWidth="1"/>
    <col min="29" max="29" width="13.42578125" customWidth="1"/>
    <col min="30" max="30" width="14" customWidth="1"/>
    <col min="31" max="31" width="10.42578125" customWidth="1"/>
    <col min="32" max="32" width="10" customWidth="1"/>
    <col min="33" max="33" width="14.5703125" customWidth="1"/>
    <col min="34" max="34" width="13.28515625" customWidth="1"/>
    <col min="35" max="35" width="10.5703125" customWidth="1"/>
    <col min="36" max="36" width="15.140625" customWidth="1"/>
    <col min="37" max="37" width="11" customWidth="1"/>
    <col min="38" max="38" width="12.5703125" customWidth="1"/>
    <col min="39" max="39" width="10.42578125" customWidth="1"/>
    <col min="40" max="40" width="16.7109375" customWidth="1"/>
    <col min="41" max="41" width="11.7109375" customWidth="1"/>
    <col min="42" max="42" width="15" customWidth="1"/>
    <col min="43" max="43" width="11.42578125" customWidth="1"/>
    <col min="44" max="44" width="11.28515625" customWidth="1"/>
    <col min="46" max="46" width="17.28515625" customWidth="1"/>
    <col min="49" max="49" width="12.140625" customWidth="1"/>
    <col min="50" max="50" width="13.28515625" customWidth="1"/>
    <col min="52" max="52" width="10" customWidth="1"/>
    <col min="53" max="53" width="17.85546875" customWidth="1"/>
    <col min="54" max="54" width="20.85546875" customWidth="1"/>
    <col min="55" max="55" width="13.42578125" customWidth="1"/>
    <col min="56" max="56" width="14" customWidth="1"/>
    <col min="57" max="57" width="14.5703125" customWidth="1"/>
    <col min="59" max="59" width="11" customWidth="1"/>
    <col min="60" max="60" width="14" customWidth="1"/>
    <col min="62" max="62" width="21" customWidth="1"/>
    <col min="63" max="63" width="14.42578125" customWidth="1"/>
    <col min="64" max="64" width="15.5703125" customWidth="1"/>
    <col min="65" max="65" width="10.140625" customWidth="1"/>
    <col min="67" max="67" width="11.42578125" customWidth="1"/>
    <col min="68" max="68" width="17" customWidth="1"/>
    <col min="69" max="69" width="10" customWidth="1"/>
    <col min="70" max="70" width="11" customWidth="1"/>
    <col min="71" max="71" width="12.7109375" customWidth="1"/>
    <col min="73" max="73" width="12.28515625" customWidth="1"/>
    <col min="77" max="77" width="12" customWidth="1"/>
    <col min="78" max="78" width="12.5703125" customWidth="1"/>
  </cols>
  <sheetData>
    <row r="1" spans="1:78" x14ac:dyDescent="0.25">
      <c r="A1" t="s">
        <v>474</v>
      </c>
      <c r="B1" t="s">
        <v>475</v>
      </c>
      <c r="C1" t="s">
        <v>476</v>
      </c>
      <c r="D1" t="s">
        <v>477</v>
      </c>
      <c r="E1" t="s">
        <v>478</v>
      </c>
      <c r="F1" t="s">
        <v>479</v>
      </c>
      <c r="G1" t="s">
        <v>480</v>
      </c>
      <c r="H1" t="s">
        <v>481</v>
      </c>
      <c r="I1" t="s">
        <v>482</v>
      </c>
      <c r="J1" t="s">
        <v>483</v>
      </c>
      <c r="K1" t="s">
        <v>484</v>
      </c>
      <c r="L1" t="s">
        <v>485</v>
      </c>
      <c r="M1" t="s">
        <v>486</v>
      </c>
      <c r="N1" t="s">
        <v>487</v>
      </c>
      <c r="O1" t="s">
        <v>488</v>
      </c>
      <c r="P1" t="s">
        <v>489</v>
      </c>
      <c r="Q1" t="s">
        <v>490</v>
      </c>
      <c r="R1" t="s">
        <v>491</v>
      </c>
      <c r="S1" t="s">
        <v>492</v>
      </c>
      <c r="T1" t="s">
        <v>493</v>
      </c>
      <c r="U1" t="s">
        <v>494</v>
      </c>
      <c r="V1" t="s">
        <v>495</v>
      </c>
      <c r="W1" t="s">
        <v>496</v>
      </c>
      <c r="X1" t="s">
        <v>497</v>
      </c>
      <c r="Y1" t="s">
        <v>498</v>
      </c>
      <c r="Z1" t="s">
        <v>499</v>
      </c>
      <c r="AA1" t="s">
        <v>500</v>
      </c>
      <c r="AB1" t="s">
        <v>501</v>
      </c>
      <c r="AC1" t="s">
        <v>502</v>
      </c>
      <c r="AD1" t="s">
        <v>503</v>
      </c>
      <c r="AE1" t="s">
        <v>504</v>
      </c>
      <c r="AF1" t="s">
        <v>505</v>
      </c>
      <c r="AG1" t="s">
        <v>506</v>
      </c>
      <c r="AH1" t="s">
        <v>507</v>
      </c>
      <c r="AI1" t="s">
        <v>508</v>
      </c>
      <c r="AJ1" t="s">
        <v>509</v>
      </c>
      <c r="AK1" t="s">
        <v>510</v>
      </c>
      <c r="AL1" t="s">
        <v>511</v>
      </c>
      <c r="AM1" t="s">
        <v>512</v>
      </c>
      <c r="AN1" t="s">
        <v>513</v>
      </c>
      <c r="AO1" t="s">
        <v>514</v>
      </c>
      <c r="AP1" t="s">
        <v>515</v>
      </c>
      <c r="AQ1" t="s">
        <v>516</v>
      </c>
      <c r="AR1" t="s">
        <v>517</v>
      </c>
      <c r="AS1" t="s">
        <v>518</v>
      </c>
      <c r="AT1" t="s">
        <v>519</v>
      </c>
      <c r="AU1" t="s">
        <v>520</v>
      </c>
      <c r="AV1" t="s">
        <v>521</v>
      </c>
      <c r="AW1" t="s">
        <v>522</v>
      </c>
      <c r="AX1" t="s">
        <v>523</v>
      </c>
      <c r="AY1" t="s">
        <v>524</v>
      </c>
      <c r="AZ1" t="s">
        <v>525</v>
      </c>
      <c r="BA1" t="s">
        <v>526</v>
      </c>
      <c r="BB1" t="s">
        <v>527</v>
      </c>
      <c r="BC1" t="s">
        <v>528</v>
      </c>
      <c r="BD1" t="s">
        <v>529</v>
      </c>
      <c r="BE1" t="s">
        <v>530</v>
      </c>
      <c r="BF1" t="s">
        <v>531</v>
      </c>
      <c r="BG1" t="s">
        <v>532</v>
      </c>
      <c r="BH1" t="s">
        <v>533</v>
      </c>
      <c r="BI1" t="s">
        <v>534</v>
      </c>
      <c r="BJ1" t="s">
        <v>535</v>
      </c>
      <c r="BK1" t="s">
        <v>536</v>
      </c>
      <c r="BL1" t="s">
        <v>537</v>
      </c>
      <c r="BM1" t="s">
        <v>538</v>
      </c>
      <c r="BN1" t="s">
        <v>539</v>
      </c>
      <c r="BO1" t="s">
        <v>540</v>
      </c>
      <c r="BP1" t="s">
        <v>541</v>
      </c>
      <c r="BQ1" t="s">
        <v>542</v>
      </c>
      <c r="BR1" t="s">
        <v>543</v>
      </c>
      <c r="BS1" t="s">
        <v>544</v>
      </c>
      <c r="BT1" t="s">
        <v>545</v>
      </c>
      <c r="BU1" t="s">
        <v>546</v>
      </c>
      <c r="BV1" t="s">
        <v>547</v>
      </c>
      <c r="BW1" t="s">
        <v>548</v>
      </c>
      <c r="BX1" t="s">
        <v>549</v>
      </c>
      <c r="BY1" t="s">
        <v>550</v>
      </c>
      <c r="BZ1" t="s">
        <v>551</v>
      </c>
    </row>
    <row r="2" spans="1:78" x14ac:dyDescent="0.25">
      <c r="A2" t="s">
        <v>552</v>
      </c>
      <c r="B2" t="s">
        <v>553</v>
      </c>
      <c r="E2" t="s">
        <v>554</v>
      </c>
      <c r="F2" t="s">
        <v>555</v>
      </c>
      <c r="G2" t="s">
        <v>556</v>
      </c>
      <c r="I2" t="s">
        <v>49</v>
      </c>
      <c r="K2" t="s">
        <v>49</v>
      </c>
      <c r="N2">
        <v>7820</v>
      </c>
      <c r="T2" t="s">
        <v>69</v>
      </c>
      <c r="X2">
        <v>2015</v>
      </c>
      <c r="AB2">
        <v>1</v>
      </c>
      <c r="AC2">
        <v>1</v>
      </c>
      <c r="AR2" t="s">
        <v>33</v>
      </c>
      <c r="AS2" t="s">
        <v>557</v>
      </c>
      <c r="AW2" t="s">
        <v>252</v>
      </c>
      <c r="AX2" t="s">
        <v>32</v>
      </c>
      <c r="AY2" t="s">
        <v>249</v>
      </c>
      <c r="AZ2">
        <v>169</v>
      </c>
      <c r="BG2" t="s">
        <v>558</v>
      </c>
      <c r="BI2" t="s">
        <v>182</v>
      </c>
      <c r="BL2" t="s">
        <v>559</v>
      </c>
      <c r="BM2" t="s">
        <v>560</v>
      </c>
      <c r="BP2" t="s">
        <v>561</v>
      </c>
      <c r="BT2" t="s">
        <v>254</v>
      </c>
      <c r="BV2" t="s">
        <v>208</v>
      </c>
      <c r="BW2" t="s">
        <v>208</v>
      </c>
      <c r="BX2" t="s">
        <v>255</v>
      </c>
      <c r="BY2" t="s">
        <v>562</v>
      </c>
    </row>
    <row r="3" spans="1:78" x14ac:dyDescent="0.25">
      <c r="A3" t="s">
        <v>563</v>
      </c>
      <c r="B3" t="s">
        <v>564</v>
      </c>
      <c r="E3" t="s">
        <v>565</v>
      </c>
      <c r="F3" t="s">
        <v>555</v>
      </c>
      <c r="G3" t="s">
        <v>556</v>
      </c>
      <c r="I3" t="s">
        <v>49</v>
      </c>
      <c r="K3" t="s">
        <v>49</v>
      </c>
      <c r="N3">
        <v>10589</v>
      </c>
      <c r="T3" t="s">
        <v>35</v>
      </c>
      <c r="V3" t="s">
        <v>566</v>
      </c>
      <c r="X3">
        <v>2015</v>
      </c>
      <c r="AB3">
        <v>0</v>
      </c>
      <c r="AC3">
        <v>1</v>
      </c>
      <c r="AK3">
        <v>1</v>
      </c>
      <c r="AQ3" t="s">
        <v>200</v>
      </c>
      <c r="AR3" t="s">
        <v>33</v>
      </c>
      <c r="AS3" t="s">
        <v>557</v>
      </c>
      <c r="AW3" t="s">
        <v>196</v>
      </c>
      <c r="AX3" t="s">
        <v>202</v>
      </c>
      <c r="AY3" t="s">
        <v>195</v>
      </c>
      <c r="AZ3" t="s">
        <v>567</v>
      </c>
      <c r="BB3" s="1">
        <v>43776</v>
      </c>
      <c r="BF3">
        <v>4</v>
      </c>
      <c r="BG3" t="s">
        <v>568</v>
      </c>
      <c r="BI3" t="s">
        <v>158</v>
      </c>
      <c r="BM3" t="s">
        <v>569</v>
      </c>
      <c r="BP3" t="s">
        <v>570</v>
      </c>
      <c r="BR3" t="s">
        <v>198</v>
      </c>
      <c r="BT3" t="s">
        <v>201</v>
      </c>
      <c r="BU3">
        <v>4</v>
      </c>
      <c r="BV3" t="s">
        <v>199</v>
      </c>
      <c r="BW3" t="s">
        <v>27</v>
      </c>
      <c r="BX3" t="s">
        <v>203</v>
      </c>
    </row>
    <row r="4" spans="1:78" x14ac:dyDescent="0.25">
      <c r="A4" t="s">
        <v>571</v>
      </c>
      <c r="B4" t="s">
        <v>572</v>
      </c>
      <c r="E4" t="s">
        <v>565</v>
      </c>
      <c r="F4" t="s">
        <v>555</v>
      </c>
      <c r="G4" t="s">
        <v>556</v>
      </c>
      <c r="I4" t="s">
        <v>49</v>
      </c>
      <c r="K4" t="s">
        <v>49</v>
      </c>
      <c r="N4">
        <v>18467</v>
      </c>
      <c r="T4" t="s">
        <v>35</v>
      </c>
      <c r="V4" t="s">
        <v>573</v>
      </c>
      <c r="X4">
        <v>2015</v>
      </c>
      <c r="AB4">
        <v>0</v>
      </c>
      <c r="AC4">
        <v>1</v>
      </c>
      <c r="AK4">
        <v>1</v>
      </c>
      <c r="AR4" t="s">
        <v>33</v>
      </c>
      <c r="AS4" t="s">
        <v>557</v>
      </c>
      <c r="AW4" t="s">
        <v>206</v>
      </c>
      <c r="AX4" t="s">
        <v>210</v>
      </c>
      <c r="AY4" t="s">
        <v>205</v>
      </c>
      <c r="AZ4" t="s">
        <v>574</v>
      </c>
      <c r="BB4" s="1">
        <v>43776</v>
      </c>
      <c r="BG4" t="s">
        <v>575</v>
      </c>
      <c r="BI4" t="s">
        <v>36</v>
      </c>
      <c r="BM4" t="s">
        <v>569</v>
      </c>
      <c r="BP4" t="s">
        <v>570</v>
      </c>
      <c r="BT4" t="s">
        <v>209</v>
      </c>
      <c r="BV4" t="s">
        <v>208</v>
      </c>
      <c r="BW4" t="s">
        <v>208</v>
      </c>
      <c r="BX4" t="s">
        <v>211</v>
      </c>
    </row>
    <row r="5" spans="1:78" x14ac:dyDescent="0.25">
      <c r="A5" t="s">
        <v>576</v>
      </c>
      <c r="B5" t="s">
        <v>577</v>
      </c>
      <c r="E5" t="s">
        <v>578</v>
      </c>
      <c r="G5" t="s">
        <v>556</v>
      </c>
      <c r="I5" t="s">
        <v>271</v>
      </c>
      <c r="K5" t="s">
        <v>271</v>
      </c>
      <c r="N5">
        <v>2517</v>
      </c>
      <c r="O5" t="s">
        <v>579</v>
      </c>
      <c r="T5" t="s">
        <v>69</v>
      </c>
      <c r="X5">
        <v>2015</v>
      </c>
      <c r="AB5">
        <v>1</v>
      </c>
      <c r="AC5">
        <v>1</v>
      </c>
      <c r="AG5">
        <v>1</v>
      </c>
      <c r="AI5">
        <v>1</v>
      </c>
      <c r="AK5">
        <v>1</v>
      </c>
      <c r="AR5" t="s">
        <v>33</v>
      </c>
      <c r="AS5" t="s">
        <v>557</v>
      </c>
      <c r="AW5" t="s">
        <v>404</v>
      </c>
      <c r="AX5" t="s">
        <v>210</v>
      </c>
      <c r="AY5" t="s">
        <v>401</v>
      </c>
      <c r="AZ5">
        <v>105702</v>
      </c>
      <c r="BB5" s="1">
        <v>44929</v>
      </c>
      <c r="BF5">
        <v>4</v>
      </c>
      <c r="BG5" t="s">
        <v>580</v>
      </c>
      <c r="BI5" t="s">
        <v>182</v>
      </c>
      <c r="BL5" t="s">
        <v>559</v>
      </c>
      <c r="BM5" t="s">
        <v>581</v>
      </c>
      <c r="BR5" t="s">
        <v>406</v>
      </c>
      <c r="BT5" t="s">
        <v>408</v>
      </c>
      <c r="BU5">
        <v>3</v>
      </c>
      <c r="BV5" t="s">
        <v>407</v>
      </c>
      <c r="BW5" t="s">
        <v>27</v>
      </c>
      <c r="BX5" t="s">
        <v>409</v>
      </c>
    </row>
    <row r="6" spans="1:78" x14ac:dyDescent="0.25">
      <c r="A6" t="s">
        <v>582</v>
      </c>
      <c r="B6" t="s">
        <v>583</v>
      </c>
      <c r="E6" t="s">
        <v>584</v>
      </c>
      <c r="F6" t="s">
        <v>555</v>
      </c>
      <c r="G6" t="s">
        <v>556</v>
      </c>
      <c r="I6" t="s">
        <v>245</v>
      </c>
      <c r="N6">
        <v>16890</v>
      </c>
      <c r="O6" t="s">
        <v>585</v>
      </c>
      <c r="T6" t="s">
        <v>69</v>
      </c>
      <c r="V6" t="s">
        <v>586</v>
      </c>
      <c r="W6" t="s">
        <v>587</v>
      </c>
      <c r="X6">
        <v>2015</v>
      </c>
      <c r="AB6">
        <v>1</v>
      </c>
      <c r="AC6">
        <v>1</v>
      </c>
      <c r="AQ6" t="s">
        <v>302</v>
      </c>
      <c r="AR6" t="s">
        <v>33</v>
      </c>
      <c r="AS6" t="s">
        <v>557</v>
      </c>
      <c r="AW6" t="s">
        <v>298</v>
      </c>
      <c r="AX6" t="s">
        <v>210</v>
      </c>
      <c r="AY6" t="s">
        <v>295</v>
      </c>
      <c r="AZ6">
        <v>48</v>
      </c>
      <c r="BC6" t="s">
        <v>588</v>
      </c>
      <c r="BD6" t="s">
        <v>301</v>
      </c>
      <c r="BF6">
        <v>2</v>
      </c>
      <c r="BG6" t="s">
        <v>589</v>
      </c>
      <c r="BI6" t="s">
        <v>158</v>
      </c>
      <c r="BM6" t="s">
        <v>589</v>
      </c>
      <c r="BP6" t="s">
        <v>590</v>
      </c>
      <c r="BR6" t="s">
        <v>300</v>
      </c>
      <c r="BT6" t="s">
        <v>303</v>
      </c>
      <c r="BU6">
        <v>4</v>
      </c>
      <c r="BV6" t="s">
        <v>301</v>
      </c>
      <c r="BW6" t="s">
        <v>27</v>
      </c>
      <c r="BX6" t="s">
        <v>304</v>
      </c>
    </row>
    <row r="7" spans="1:78" x14ac:dyDescent="0.25">
      <c r="A7" t="s">
        <v>591</v>
      </c>
      <c r="B7" t="s">
        <v>592</v>
      </c>
      <c r="E7" t="s">
        <v>584</v>
      </c>
      <c r="F7" t="s">
        <v>555</v>
      </c>
      <c r="G7" t="s">
        <v>556</v>
      </c>
      <c r="I7" t="s">
        <v>28</v>
      </c>
      <c r="K7" t="s">
        <v>28</v>
      </c>
      <c r="N7">
        <v>22878</v>
      </c>
      <c r="O7" t="s">
        <v>473</v>
      </c>
      <c r="T7" t="s">
        <v>69</v>
      </c>
      <c r="X7">
        <v>2003</v>
      </c>
      <c r="AB7">
        <v>1</v>
      </c>
      <c r="AC7">
        <v>1</v>
      </c>
      <c r="AQ7" t="s">
        <v>371</v>
      </c>
      <c r="AR7" t="s">
        <v>33</v>
      </c>
      <c r="AS7" t="s">
        <v>557</v>
      </c>
      <c r="AW7" t="s">
        <v>367</v>
      </c>
      <c r="AX7" t="s">
        <v>202</v>
      </c>
      <c r="AY7" t="s">
        <v>364</v>
      </c>
      <c r="AZ7">
        <v>171</v>
      </c>
      <c r="BC7" t="s">
        <v>593</v>
      </c>
      <c r="BD7" t="s">
        <v>594</v>
      </c>
      <c r="BF7">
        <v>3</v>
      </c>
      <c r="BG7" t="s">
        <v>595</v>
      </c>
      <c r="BI7" t="s">
        <v>158</v>
      </c>
      <c r="BM7" t="s">
        <v>596</v>
      </c>
      <c r="BP7" t="s">
        <v>597</v>
      </c>
      <c r="BR7" t="s">
        <v>369</v>
      </c>
      <c r="BT7" t="s">
        <v>372</v>
      </c>
      <c r="BU7">
        <v>1</v>
      </c>
      <c r="BV7" t="s">
        <v>370</v>
      </c>
      <c r="BW7" t="s">
        <v>27</v>
      </c>
      <c r="BX7" t="s">
        <v>373</v>
      </c>
    </row>
    <row r="8" spans="1:78" x14ac:dyDescent="0.25">
      <c r="A8" t="s">
        <v>598</v>
      </c>
      <c r="B8" t="s">
        <v>599</v>
      </c>
      <c r="E8" t="s">
        <v>584</v>
      </c>
      <c r="F8" t="s">
        <v>555</v>
      </c>
      <c r="G8" t="s">
        <v>556</v>
      </c>
      <c r="I8" t="s">
        <v>49</v>
      </c>
      <c r="K8" t="s">
        <v>49</v>
      </c>
      <c r="N8">
        <v>10924</v>
      </c>
      <c r="T8" t="s">
        <v>69</v>
      </c>
      <c r="V8" t="s">
        <v>600</v>
      </c>
      <c r="X8">
        <v>2015</v>
      </c>
      <c r="AB8">
        <v>1</v>
      </c>
      <c r="AC8">
        <v>1</v>
      </c>
      <c r="AK8">
        <v>1</v>
      </c>
      <c r="AR8" t="s">
        <v>33</v>
      </c>
      <c r="AS8" t="s">
        <v>557</v>
      </c>
      <c r="AW8" t="s">
        <v>252</v>
      </c>
      <c r="AX8" t="s">
        <v>32</v>
      </c>
      <c r="AY8" t="s">
        <v>315</v>
      </c>
      <c r="AZ8">
        <v>184</v>
      </c>
      <c r="BC8" t="s">
        <v>316</v>
      </c>
      <c r="BD8" t="s">
        <v>208</v>
      </c>
      <c r="BG8" t="s">
        <v>601</v>
      </c>
      <c r="BI8" t="s">
        <v>36</v>
      </c>
      <c r="BM8" t="s">
        <v>602</v>
      </c>
      <c r="BP8" t="s">
        <v>603</v>
      </c>
      <c r="BT8" t="s">
        <v>316</v>
      </c>
      <c r="BV8" t="s">
        <v>208</v>
      </c>
      <c r="BW8" t="s">
        <v>208</v>
      </c>
      <c r="BX8" t="s">
        <v>317</v>
      </c>
    </row>
    <row r="9" spans="1:78" x14ac:dyDescent="0.25">
      <c r="A9" t="s">
        <v>604</v>
      </c>
      <c r="B9" t="s">
        <v>605</v>
      </c>
      <c r="E9" t="s">
        <v>584</v>
      </c>
      <c r="F9" t="s">
        <v>555</v>
      </c>
      <c r="G9" t="s">
        <v>556</v>
      </c>
      <c r="I9" t="s">
        <v>271</v>
      </c>
      <c r="K9" t="s">
        <v>271</v>
      </c>
      <c r="N9">
        <v>25587</v>
      </c>
      <c r="O9" t="s">
        <v>212</v>
      </c>
      <c r="T9" t="s">
        <v>69</v>
      </c>
      <c r="X9">
        <v>1997</v>
      </c>
      <c r="AB9">
        <v>1</v>
      </c>
      <c r="AC9">
        <v>1</v>
      </c>
      <c r="AQ9" t="s">
        <v>413</v>
      </c>
      <c r="AR9" t="s">
        <v>33</v>
      </c>
      <c r="AS9" t="s">
        <v>557</v>
      </c>
      <c r="AW9" t="s">
        <v>310</v>
      </c>
      <c r="AX9" t="s">
        <v>32</v>
      </c>
      <c r="AY9" t="s">
        <v>410</v>
      </c>
      <c r="AZ9">
        <v>109</v>
      </c>
      <c r="BC9" t="s">
        <v>606</v>
      </c>
      <c r="BD9" t="s">
        <v>152</v>
      </c>
      <c r="BG9" t="s">
        <v>607</v>
      </c>
      <c r="BI9" t="s">
        <v>36</v>
      </c>
      <c r="BM9" t="s">
        <v>608</v>
      </c>
      <c r="BP9" t="s">
        <v>609</v>
      </c>
      <c r="BT9" t="s">
        <v>414</v>
      </c>
      <c r="BV9" t="s">
        <v>152</v>
      </c>
      <c r="BW9" t="s">
        <v>152</v>
      </c>
      <c r="BX9" t="s">
        <v>415</v>
      </c>
    </row>
    <row r="10" spans="1:78" x14ac:dyDescent="0.25">
      <c r="A10" t="s">
        <v>610</v>
      </c>
      <c r="B10" t="s">
        <v>611</v>
      </c>
      <c r="E10" t="s">
        <v>554</v>
      </c>
      <c r="F10" t="s">
        <v>555</v>
      </c>
      <c r="G10" t="s">
        <v>556</v>
      </c>
      <c r="I10" t="s">
        <v>271</v>
      </c>
      <c r="K10" t="s">
        <v>271</v>
      </c>
      <c r="N10">
        <v>12645</v>
      </c>
      <c r="O10" t="s">
        <v>612</v>
      </c>
      <c r="T10" t="s">
        <v>69</v>
      </c>
      <c r="V10" t="s">
        <v>613</v>
      </c>
      <c r="X10">
        <v>2015</v>
      </c>
      <c r="AB10">
        <v>1</v>
      </c>
      <c r="AC10">
        <v>1</v>
      </c>
      <c r="AK10">
        <v>1</v>
      </c>
      <c r="AQ10" t="s">
        <v>274</v>
      </c>
      <c r="AR10" t="s">
        <v>33</v>
      </c>
      <c r="AS10" t="s">
        <v>557</v>
      </c>
      <c r="AW10" t="s">
        <v>269</v>
      </c>
      <c r="AX10" t="s">
        <v>155</v>
      </c>
      <c r="AY10" t="s">
        <v>266</v>
      </c>
      <c r="AZ10">
        <v>67</v>
      </c>
      <c r="BC10" t="s">
        <v>275</v>
      </c>
      <c r="BD10" t="s">
        <v>273</v>
      </c>
      <c r="BG10" t="s">
        <v>614</v>
      </c>
      <c r="BI10" t="s">
        <v>36</v>
      </c>
      <c r="BM10" t="s">
        <v>615</v>
      </c>
      <c r="BP10" t="s">
        <v>616</v>
      </c>
      <c r="BR10" t="s">
        <v>272</v>
      </c>
      <c r="BT10" t="s">
        <v>275</v>
      </c>
      <c r="BV10" t="s">
        <v>273</v>
      </c>
      <c r="BW10" t="s">
        <v>235</v>
      </c>
      <c r="BX10" t="s">
        <v>276</v>
      </c>
    </row>
    <row r="11" spans="1:78" x14ac:dyDescent="0.25">
      <c r="A11" t="s">
        <v>617</v>
      </c>
      <c r="B11" t="s">
        <v>618</v>
      </c>
      <c r="E11" t="s">
        <v>584</v>
      </c>
      <c r="F11" t="s">
        <v>555</v>
      </c>
      <c r="G11" t="s">
        <v>556</v>
      </c>
      <c r="I11" t="s">
        <v>49</v>
      </c>
      <c r="K11" t="s">
        <v>49</v>
      </c>
      <c r="N11">
        <v>9174</v>
      </c>
      <c r="O11" t="s">
        <v>212</v>
      </c>
      <c r="T11" t="s">
        <v>69</v>
      </c>
      <c r="V11" t="s">
        <v>619</v>
      </c>
      <c r="X11">
        <v>2003</v>
      </c>
      <c r="AB11">
        <v>1</v>
      </c>
      <c r="AC11">
        <v>1</v>
      </c>
      <c r="AQ11" t="s">
        <v>355</v>
      </c>
      <c r="AR11" t="s">
        <v>33</v>
      </c>
      <c r="AS11" t="s">
        <v>557</v>
      </c>
      <c r="AW11" t="s">
        <v>174</v>
      </c>
      <c r="AX11" t="s">
        <v>116</v>
      </c>
      <c r="AY11" t="s">
        <v>350</v>
      </c>
      <c r="AZ11">
        <v>163</v>
      </c>
      <c r="BC11" t="s">
        <v>620</v>
      </c>
      <c r="BD11" t="s">
        <v>354</v>
      </c>
      <c r="BF11">
        <v>2</v>
      </c>
      <c r="BG11" t="s">
        <v>621</v>
      </c>
      <c r="BI11" t="s">
        <v>36</v>
      </c>
      <c r="BM11" t="s">
        <v>622</v>
      </c>
      <c r="BP11" t="s">
        <v>623</v>
      </c>
      <c r="BR11" t="s">
        <v>353</v>
      </c>
      <c r="BT11" t="s">
        <v>356</v>
      </c>
      <c r="BU11">
        <v>2</v>
      </c>
      <c r="BV11" t="s">
        <v>354</v>
      </c>
      <c r="BW11" t="s">
        <v>27</v>
      </c>
      <c r="BX11" t="s">
        <v>357</v>
      </c>
    </row>
    <row r="12" spans="1:78" x14ac:dyDescent="0.25">
      <c r="A12" t="s">
        <v>624</v>
      </c>
      <c r="B12" t="s">
        <v>625</v>
      </c>
      <c r="E12" t="s">
        <v>584</v>
      </c>
      <c r="F12" t="s">
        <v>555</v>
      </c>
      <c r="G12" t="s">
        <v>556</v>
      </c>
      <c r="I12" t="s">
        <v>93</v>
      </c>
      <c r="K12" t="s">
        <v>93</v>
      </c>
      <c r="N12">
        <v>17859</v>
      </c>
      <c r="O12" t="s">
        <v>391</v>
      </c>
      <c r="T12" t="s">
        <v>69</v>
      </c>
      <c r="V12" t="s">
        <v>626</v>
      </c>
      <c r="X12">
        <v>2003</v>
      </c>
      <c r="AB12">
        <v>1</v>
      </c>
      <c r="AC12">
        <v>1</v>
      </c>
      <c r="AQ12" t="s">
        <v>380</v>
      </c>
      <c r="AR12" t="s">
        <v>33</v>
      </c>
      <c r="AS12" t="s">
        <v>557</v>
      </c>
      <c r="AW12" t="s">
        <v>378</v>
      </c>
      <c r="AX12" t="s">
        <v>32</v>
      </c>
      <c r="AY12" t="s">
        <v>375</v>
      </c>
      <c r="AZ12">
        <v>23</v>
      </c>
      <c r="BC12" t="s">
        <v>627</v>
      </c>
      <c r="BD12" t="s">
        <v>208</v>
      </c>
      <c r="BG12" t="s">
        <v>628</v>
      </c>
      <c r="BI12" t="s">
        <v>36</v>
      </c>
      <c r="BM12" t="s">
        <v>628</v>
      </c>
      <c r="BP12" t="s">
        <v>629</v>
      </c>
      <c r="BT12" t="s">
        <v>381</v>
      </c>
      <c r="BV12" t="s">
        <v>208</v>
      </c>
      <c r="BW12" t="s">
        <v>208</v>
      </c>
      <c r="BX12" t="s">
        <v>382</v>
      </c>
      <c r="BZ12" t="s">
        <v>630</v>
      </c>
    </row>
    <row r="13" spans="1:78" x14ac:dyDescent="0.25">
      <c r="A13" t="s">
        <v>631</v>
      </c>
      <c r="B13" t="s">
        <v>632</v>
      </c>
      <c r="E13" t="s">
        <v>565</v>
      </c>
      <c r="G13" t="s">
        <v>556</v>
      </c>
      <c r="I13" t="s">
        <v>49</v>
      </c>
      <c r="K13" t="s">
        <v>49</v>
      </c>
      <c r="N13">
        <v>517</v>
      </c>
      <c r="O13" t="s">
        <v>143</v>
      </c>
      <c r="T13" t="s">
        <v>181</v>
      </c>
      <c r="X13">
        <v>2015</v>
      </c>
      <c r="AB13">
        <v>1</v>
      </c>
      <c r="AC13">
        <v>0</v>
      </c>
      <c r="AD13">
        <v>1</v>
      </c>
      <c r="AI13">
        <v>1</v>
      </c>
      <c r="AK13">
        <v>1</v>
      </c>
      <c r="AM13">
        <v>1</v>
      </c>
      <c r="AQ13" t="s">
        <v>178</v>
      </c>
      <c r="AR13" t="s">
        <v>33</v>
      </c>
      <c r="AS13" t="s">
        <v>557</v>
      </c>
      <c r="AW13" t="s">
        <v>174</v>
      </c>
      <c r="AX13" t="s">
        <v>116</v>
      </c>
      <c r="AY13" t="s">
        <v>171</v>
      </c>
      <c r="AZ13" t="s">
        <v>633</v>
      </c>
      <c r="BF13">
        <v>2</v>
      </c>
      <c r="BG13" t="s">
        <v>634</v>
      </c>
      <c r="BH13" t="s">
        <v>635</v>
      </c>
      <c r="BI13" t="s">
        <v>182</v>
      </c>
      <c r="BL13" t="s">
        <v>559</v>
      </c>
      <c r="BM13" t="s">
        <v>636</v>
      </c>
      <c r="BR13" t="s">
        <v>176</v>
      </c>
      <c r="BT13" t="s">
        <v>179</v>
      </c>
      <c r="BU13">
        <v>3</v>
      </c>
      <c r="BV13" t="s">
        <v>177</v>
      </c>
      <c r="BW13" t="s">
        <v>27</v>
      </c>
      <c r="BX13" t="s">
        <v>180</v>
      </c>
      <c r="BY13" t="s">
        <v>637</v>
      </c>
    </row>
    <row r="14" spans="1:78" x14ac:dyDescent="0.25">
      <c r="A14" t="s">
        <v>604</v>
      </c>
      <c r="B14" t="s">
        <v>605</v>
      </c>
      <c r="E14" t="s">
        <v>565</v>
      </c>
      <c r="F14" t="s">
        <v>555</v>
      </c>
      <c r="G14" t="s">
        <v>556</v>
      </c>
      <c r="N14">
        <v>25321</v>
      </c>
      <c r="T14" t="s">
        <v>35</v>
      </c>
      <c r="X14">
        <v>1993</v>
      </c>
      <c r="AB14">
        <v>0</v>
      </c>
      <c r="AC14">
        <v>1</v>
      </c>
      <c r="AR14" t="s">
        <v>33</v>
      </c>
      <c r="AS14" t="s">
        <v>557</v>
      </c>
      <c r="AW14" t="s">
        <v>420</v>
      </c>
      <c r="AX14" t="s">
        <v>210</v>
      </c>
      <c r="AY14" t="s">
        <v>450</v>
      </c>
      <c r="AZ14">
        <v>344</v>
      </c>
      <c r="BC14" t="s">
        <v>638</v>
      </c>
      <c r="BD14" t="s">
        <v>291</v>
      </c>
      <c r="BG14" t="s">
        <v>639</v>
      </c>
      <c r="BI14" t="s">
        <v>182</v>
      </c>
      <c r="BM14" t="s">
        <v>640</v>
      </c>
      <c r="BP14" t="s">
        <v>641</v>
      </c>
      <c r="BT14" t="s">
        <v>453</v>
      </c>
      <c r="BV14" t="s">
        <v>291</v>
      </c>
      <c r="BW14" t="s">
        <v>291</v>
      </c>
      <c r="BX14" t="s">
        <v>454</v>
      </c>
    </row>
    <row r="15" spans="1:78" x14ac:dyDescent="0.25">
      <c r="A15" t="s">
        <v>642</v>
      </c>
      <c r="B15" t="s">
        <v>643</v>
      </c>
      <c r="E15" t="s">
        <v>554</v>
      </c>
      <c r="F15" t="s">
        <v>555</v>
      </c>
      <c r="G15" t="s">
        <v>556</v>
      </c>
      <c r="I15" t="s">
        <v>245</v>
      </c>
      <c r="K15" t="s">
        <v>245</v>
      </c>
      <c r="N15">
        <v>16958</v>
      </c>
      <c r="O15" t="s">
        <v>644</v>
      </c>
      <c r="T15" t="s">
        <v>69</v>
      </c>
      <c r="V15" t="s">
        <v>645</v>
      </c>
      <c r="X15">
        <v>2015</v>
      </c>
      <c r="AB15">
        <v>1</v>
      </c>
      <c r="AC15">
        <v>1</v>
      </c>
      <c r="AR15" t="s">
        <v>33</v>
      </c>
      <c r="AS15" t="s">
        <v>557</v>
      </c>
      <c r="AW15" t="s">
        <v>243</v>
      </c>
      <c r="AX15" t="s">
        <v>116</v>
      </c>
      <c r="AY15" t="s">
        <v>240</v>
      </c>
      <c r="AZ15">
        <v>47</v>
      </c>
      <c r="BC15" t="s">
        <v>246</v>
      </c>
      <c r="BD15" t="s">
        <v>208</v>
      </c>
      <c r="BG15" t="s">
        <v>646</v>
      </c>
      <c r="BI15" t="s">
        <v>36</v>
      </c>
      <c r="BM15" t="s">
        <v>646</v>
      </c>
      <c r="BP15" t="s">
        <v>647</v>
      </c>
      <c r="BT15" t="s">
        <v>246</v>
      </c>
      <c r="BV15" t="s">
        <v>208</v>
      </c>
      <c r="BW15" t="s">
        <v>208</v>
      </c>
      <c r="BX15" t="s">
        <v>247</v>
      </c>
    </row>
    <row r="16" spans="1:78" x14ac:dyDescent="0.25">
      <c r="A16" t="s">
        <v>648</v>
      </c>
      <c r="B16" t="s">
        <v>649</v>
      </c>
      <c r="E16" t="s">
        <v>565</v>
      </c>
      <c r="F16" t="s">
        <v>555</v>
      </c>
      <c r="G16" t="s">
        <v>650</v>
      </c>
      <c r="I16" t="s">
        <v>93</v>
      </c>
      <c r="K16" t="s">
        <v>93</v>
      </c>
      <c r="N16">
        <v>10224</v>
      </c>
      <c r="O16" t="s">
        <v>143</v>
      </c>
      <c r="T16" t="s">
        <v>35</v>
      </c>
      <c r="X16">
        <v>1993</v>
      </c>
      <c r="AB16">
        <v>0</v>
      </c>
      <c r="AC16">
        <v>1</v>
      </c>
      <c r="AK16">
        <v>1</v>
      </c>
      <c r="AR16" t="s">
        <v>33</v>
      </c>
      <c r="AS16" t="s">
        <v>557</v>
      </c>
      <c r="AW16" t="s">
        <v>469</v>
      </c>
      <c r="AX16" t="s">
        <v>210</v>
      </c>
      <c r="AY16" t="s">
        <v>466</v>
      </c>
      <c r="AZ16">
        <v>34</v>
      </c>
      <c r="BC16" t="s">
        <v>651</v>
      </c>
      <c r="BD16" t="s">
        <v>152</v>
      </c>
      <c r="BG16" t="s">
        <v>652</v>
      </c>
      <c r="BI16" t="s">
        <v>158</v>
      </c>
      <c r="BM16" t="s">
        <v>653</v>
      </c>
      <c r="BP16" t="s">
        <v>654</v>
      </c>
      <c r="BT16" t="s">
        <v>471</v>
      </c>
      <c r="BV16" t="s">
        <v>152</v>
      </c>
      <c r="BW16" t="s">
        <v>152</v>
      </c>
      <c r="BX16" t="s">
        <v>472</v>
      </c>
    </row>
    <row r="17" spans="1:78" x14ac:dyDescent="0.25">
      <c r="A17" t="s">
        <v>655</v>
      </c>
      <c r="B17" t="s">
        <v>656</v>
      </c>
      <c r="E17" t="s">
        <v>657</v>
      </c>
      <c r="G17" t="s">
        <v>556</v>
      </c>
      <c r="I17" t="s">
        <v>49</v>
      </c>
      <c r="K17" t="s">
        <v>49</v>
      </c>
      <c r="N17">
        <v>720</v>
      </c>
      <c r="O17" t="s">
        <v>658</v>
      </c>
      <c r="T17" t="s">
        <v>35</v>
      </c>
      <c r="X17">
        <v>2015</v>
      </c>
      <c r="AB17">
        <v>0</v>
      </c>
      <c r="AC17">
        <v>1</v>
      </c>
      <c r="AK17">
        <v>1</v>
      </c>
      <c r="AQ17" t="s">
        <v>52</v>
      </c>
      <c r="AR17" t="s">
        <v>33</v>
      </c>
      <c r="AS17" t="s">
        <v>557</v>
      </c>
      <c r="AW17" t="s">
        <v>47</v>
      </c>
      <c r="AX17" t="s">
        <v>54</v>
      </c>
      <c r="AY17" t="s">
        <v>44</v>
      </c>
      <c r="AZ17">
        <v>627</v>
      </c>
      <c r="BC17" t="s">
        <v>53</v>
      </c>
      <c r="BD17" t="s">
        <v>51</v>
      </c>
      <c r="BF17">
        <v>5</v>
      </c>
      <c r="BG17" t="s">
        <v>659</v>
      </c>
      <c r="BI17" t="s">
        <v>56</v>
      </c>
      <c r="BL17" t="s">
        <v>559</v>
      </c>
      <c r="BM17" t="s">
        <v>660</v>
      </c>
      <c r="BP17" t="s">
        <v>661</v>
      </c>
      <c r="BR17" t="s">
        <v>50</v>
      </c>
      <c r="BT17" t="s">
        <v>53</v>
      </c>
      <c r="BU17">
        <v>7</v>
      </c>
      <c r="BV17" t="s">
        <v>51</v>
      </c>
      <c r="BW17" t="s">
        <v>27</v>
      </c>
      <c r="BX17" t="s">
        <v>55</v>
      </c>
    </row>
    <row r="18" spans="1:78" x14ac:dyDescent="0.25">
      <c r="A18" t="s">
        <v>662</v>
      </c>
      <c r="B18" t="s">
        <v>663</v>
      </c>
      <c r="E18" t="s">
        <v>565</v>
      </c>
      <c r="F18" t="s">
        <v>555</v>
      </c>
      <c r="G18" t="s">
        <v>556</v>
      </c>
      <c r="I18" t="s">
        <v>49</v>
      </c>
      <c r="K18" t="s">
        <v>49</v>
      </c>
      <c r="N18">
        <v>12115</v>
      </c>
      <c r="O18" t="s">
        <v>349</v>
      </c>
      <c r="T18" t="s">
        <v>35</v>
      </c>
      <c r="X18">
        <v>1993</v>
      </c>
      <c r="AB18">
        <v>0</v>
      </c>
      <c r="AC18">
        <v>1</v>
      </c>
      <c r="AR18" t="s">
        <v>33</v>
      </c>
      <c r="AS18" t="s">
        <v>557</v>
      </c>
      <c r="AW18" t="s">
        <v>459</v>
      </c>
      <c r="AX18" t="s">
        <v>116</v>
      </c>
      <c r="AY18" t="s">
        <v>456</v>
      </c>
      <c r="AZ18">
        <v>75</v>
      </c>
      <c r="BC18" t="s">
        <v>664</v>
      </c>
      <c r="BD18" t="s">
        <v>665</v>
      </c>
      <c r="BF18">
        <v>2</v>
      </c>
      <c r="BG18" t="s">
        <v>666</v>
      </c>
      <c r="BI18" t="s">
        <v>158</v>
      </c>
      <c r="BM18" t="s">
        <v>667</v>
      </c>
      <c r="BP18" t="s">
        <v>668</v>
      </c>
      <c r="BR18" t="s">
        <v>461</v>
      </c>
      <c r="BT18" t="s">
        <v>463</v>
      </c>
      <c r="BU18">
        <v>2</v>
      </c>
      <c r="BV18" t="s">
        <v>462</v>
      </c>
      <c r="BW18" t="s">
        <v>27</v>
      </c>
      <c r="BX18" t="s">
        <v>464</v>
      </c>
    </row>
    <row r="19" spans="1:78" x14ac:dyDescent="0.25">
      <c r="A19" t="s">
        <v>669</v>
      </c>
      <c r="B19" t="s">
        <v>670</v>
      </c>
      <c r="E19" t="s">
        <v>565</v>
      </c>
      <c r="F19" t="s">
        <v>555</v>
      </c>
      <c r="G19" t="s">
        <v>556</v>
      </c>
      <c r="I19" t="s">
        <v>49</v>
      </c>
      <c r="K19" t="s">
        <v>49</v>
      </c>
      <c r="N19">
        <v>27455</v>
      </c>
      <c r="T19" t="s">
        <v>35</v>
      </c>
      <c r="V19" t="s">
        <v>671</v>
      </c>
      <c r="X19">
        <v>1993</v>
      </c>
      <c r="AB19">
        <v>0</v>
      </c>
      <c r="AC19">
        <v>1</v>
      </c>
      <c r="AR19" t="s">
        <v>33</v>
      </c>
      <c r="AS19" t="s">
        <v>557</v>
      </c>
      <c r="AW19" t="s">
        <v>446</v>
      </c>
      <c r="AX19" t="s">
        <v>210</v>
      </c>
      <c r="AY19" t="s">
        <v>443</v>
      </c>
      <c r="AZ19" t="s">
        <v>672</v>
      </c>
      <c r="BC19" t="s">
        <v>673</v>
      </c>
      <c r="BD19" t="s">
        <v>674</v>
      </c>
      <c r="BF19">
        <v>6</v>
      </c>
      <c r="BG19" t="s">
        <v>675</v>
      </c>
      <c r="BI19" t="s">
        <v>36</v>
      </c>
      <c r="BM19" t="s">
        <v>676</v>
      </c>
      <c r="BP19" t="s">
        <v>677</v>
      </c>
      <c r="BR19" t="s">
        <v>50</v>
      </c>
      <c r="BT19" t="s">
        <v>448</v>
      </c>
      <c r="BU19">
        <v>2</v>
      </c>
      <c r="BV19" t="s">
        <v>51</v>
      </c>
      <c r="BW19" t="s">
        <v>27</v>
      </c>
      <c r="BX19" t="s">
        <v>449</v>
      </c>
      <c r="BY19" t="s">
        <v>678</v>
      </c>
    </row>
    <row r="20" spans="1:78" x14ac:dyDescent="0.25">
      <c r="A20" t="s">
        <v>679</v>
      </c>
      <c r="B20" t="s">
        <v>680</v>
      </c>
      <c r="E20" t="s">
        <v>584</v>
      </c>
      <c r="F20" t="s">
        <v>555</v>
      </c>
      <c r="G20" t="s">
        <v>556</v>
      </c>
      <c r="I20" t="s">
        <v>271</v>
      </c>
      <c r="K20" t="s">
        <v>271</v>
      </c>
      <c r="N20">
        <v>11637</v>
      </c>
      <c r="O20" t="s">
        <v>681</v>
      </c>
      <c r="T20" t="s">
        <v>69</v>
      </c>
      <c r="V20" t="s">
        <v>682</v>
      </c>
      <c r="X20">
        <v>1997</v>
      </c>
      <c r="AB20">
        <v>1</v>
      </c>
      <c r="AC20">
        <v>1</v>
      </c>
      <c r="AK20">
        <v>1</v>
      </c>
      <c r="AR20" t="s">
        <v>33</v>
      </c>
      <c r="AS20" t="s">
        <v>557</v>
      </c>
      <c r="AW20" t="s">
        <v>395</v>
      </c>
      <c r="AX20" t="s">
        <v>116</v>
      </c>
      <c r="AY20" t="s">
        <v>392</v>
      </c>
      <c r="AZ20">
        <v>176</v>
      </c>
      <c r="BC20" t="s">
        <v>397</v>
      </c>
      <c r="BD20" t="s">
        <v>152</v>
      </c>
      <c r="BG20" t="s">
        <v>683</v>
      </c>
      <c r="BI20" t="s">
        <v>36</v>
      </c>
      <c r="BM20" t="s">
        <v>684</v>
      </c>
      <c r="BP20" t="s">
        <v>685</v>
      </c>
      <c r="BT20" t="s">
        <v>397</v>
      </c>
      <c r="BV20" t="s">
        <v>152</v>
      </c>
      <c r="BW20" t="s">
        <v>152</v>
      </c>
      <c r="BX20" t="s">
        <v>398</v>
      </c>
    </row>
    <row r="21" spans="1:78" x14ac:dyDescent="0.25">
      <c r="A21" t="s">
        <v>686</v>
      </c>
      <c r="B21" t="s">
        <v>687</v>
      </c>
      <c r="E21" t="s">
        <v>584</v>
      </c>
      <c r="F21" t="s">
        <v>555</v>
      </c>
      <c r="G21" t="s">
        <v>556</v>
      </c>
      <c r="N21">
        <v>14701</v>
      </c>
      <c r="O21" t="s">
        <v>218</v>
      </c>
      <c r="T21" t="s">
        <v>69</v>
      </c>
      <c r="X21">
        <v>2015</v>
      </c>
      <c r="AB21">
        <v>1</v>
      </c>
      <c r="AC21">
        <v>1</v>
      </c>
      <c r="AK21">
        <v>1</v>
      </c>
      <c r="AR21" t="s">
        <v>33</v>
      </c>
      <c r="AS21" t="s">
        <v>557</v>
      </c>
      <c r="AW21" t="s">
        <v>289</v>
      </c>
      <c r="AX21" t="s">
        <v>32</v>
      </c>
      <c r="AY21" t="s">
        <v>286</v>
      </c>
      <c r="AZ21">
        <v>213</v>
      </c>
      <c r="BC21" t="s">
        <v>292</v>
      </c>
      <c r="BD21" t="s">
        <v>291</v>
      </c>
      <c r="BG21" t="s">
        <v>688</v>
      </c>
      <c r="BI21" t="s">
        <v>158</v>
      </c>
      <c r="BM21" t="s">
        <v>689</v>
      </c>
      <c r="BP21" t="s">
        <v>690</v>
      </c>
      <c r="BT21" t="s">
        <v>292</v>
      </c>
      <c r="BV21" t="s">
        <v>291</v>
      </c>
      <c r="BW21" t="s">
        <v>291</v>
      </c>
      <c r="BX21" t="s">
        <v>293</v>
      </c>
    </row>
    <row r="22" spans="1:78" x14ac:dyDescent="0.25">
      <c r="A22" t="s">
        <v>691</v>
      </c>
      <c r="B22" t="s">
        <v>692</v>
      </c>
      <c r="E22" t="s">
        <v>565</v>
      </c>
      <c r="G22" t="s">
        <v>693</v>
      </c>
      <c r="I22" t="s">
        <v>110</v>
      </c>
      <c r="K22" t="s">
        <v>110</v>
      </c>
      <c r="N22">
        <v>5226</v>
      </c>
      <c r="O22" t="s">
        <v>694</v>
      </c>
      <c r="T22" t="s">
        <v>69</v>
      </c>
      <c r="W22" t="s">
        <v>695</v>
      </c>
      <c r="X22">
        <v>2015</v>
      </c>
      <c r="AB22">
        <v>1</v>
      </c>
      <c r="AC22">
        <v>1</v>
      </c>
      <c r="AQ22" t="s">
        <v>114</v>
      </c>
      <c r="AR22" t="s">
        <v>33</v>
      </c>
      <c r="AS22" t="s">
        <v>557</v>
      </c>
      <c r="AT22" t="s">
        <v>696</v>
      </c>
      <c r="AW22" t="s">
        <v>108</v>
      </c>
      <c r="AX22" t="s">
        <v>116</v>
      </c>
      <c r="AY22" t="s">
        <v>105</v>
      </c>
      <c r="AZ22">
        <v>564</v>
      </c>
      <c r="BF22">
        <v>2</v>
      </c>
      <c r="BG22" t="s">
        <v>697</v>
      </c>
      <c r="BH22" t="s">
        <v>698</v>
      </c>
      <c r="BI22" t="s">
        <v>56</v>
      </c>
      <c r="BL22" t="s">
        <v>699</v>
      </c>
      <c r="BM22" t="s">
        <v>697</v>
      </c>
      <c r="BP22" t="s">
        <v>700</v>
      </c>
      <c r="BR22" t="s">
        <v>112</v>
      </c>
      <c r="BS22" t="s">
        <v>111</v>
      </c>
      <c r="BT22" t="s">
        <v>115</v>
      </c>
      <c r="BU22">
        <v>2</v>
      </c>
      <c r="BV22" t="s">
        <v>113</v>
      </c>
      <c r="BW22" t="s">
        <v>27</v>
      </c>
      <c r="BX22" t="s">
        <v>117</v>
      </c>
      <c r="BY22" t="s">
        <v>701</v>
      </c>
    </row>
    <row r="23" spans="1:78" x14ac:dyDescent="0.25">
      <c r="A23" t="s">
        <v>702</v>
      </c>
      <c r="B23" t="s">
        <v>703</v>
      </c>
      <c r="E23" t="s">
        <v>554</v>
      </c>
      <c r="G23" t="s">
        <v>556</v>
      </c>
      <c r="I23" t="s">
        <v>49</v>
      </c>
      <c r="O23" t="s">
        <v>704</v>
      </c>
      <c r="T23" t="s">
        <v>69</v>
      </c>
      <c r="X23">
        <v>2015</v>
      </c>
      <c r="AB23">
        <v>1</v>
      </c>
      <c r="AC23">
        <v>1</v>
      </c>
      <c r="AK23">
        <v>1</v>
      </c>
      <c r="AM23">
        <v>1</v>
      </c>
      <c r="AR23" t="s">
        <v>33</v>
      </c>
      <c r="AS23" t="s">
        <v>557</v>
      </c>
      <c r="AX23" t="s">
        <v>101</v>
      </c>
      <c r="AY23" t="s">
        <v>135</v>
      </c>
      <c r="AZ23">
        <v>384</v>
      </c>
      <c r="BG23" t="s">
        <v>705</v>
      </c>
      <c r="BI23" t="s">
        <v>36</v>
      </c>
      <c r="BM23" t="s">
        <v>706</v>
      </c>
      <c r="BP23" t="s">
        <v>707</v>
      </c>
      <c r="BR23" t="s">
        <v>135</v>
      </c>
      <c r="BS23" t="s">
        <v>138</v>
      </c>
      <c r="BT23" t="s">
        <v>140</v>
      </c>
      <c r="BV23" t="s">
        <v>139</v>
      </c>
      <c r="BW23" t="s">
        <v>99</v>
      </c>
      <c r="BX23" t="s">
        <v>141</v>
      </c>
      <c r="BY23" t="s">
        <v>708</v>
      </c>
    </row>
    <row r="24" spans="1:78" x14ac:dyDescent="0.25">
      <c r="A24" t="s">
        <v>709</v>
      </c>
      <c r="B24" t="s">
        <v>710</v>
      </c>
      <c r="E24" t="s">
        <v>565</v>
      </c>
      <c r="F24" t="s">
        <v>555</v>
      </c>
      <c r="G24" t="s">
        <v>556</v>
      </c>
      <c r="I24" t="s">
        <v>93</v>
      </c>
      <c r="K24" t="s">
        <v>93</v>
      </c>
      <c r="N24">
        <v>18430</v>
      </c>
      <c r="T24" t="s">
        <v>35</v>
      </c>
      <c r="X24">
        <v>1997</v>
      </c>
      <c r="AB24">
        <v>0</v>
      </c>
      <c r="AC24">
        <v>1</v>
      </c>
      <c r="AK24">
        <v>1</v>
      </c>
      <c r="AQ24" t="s">
        <v>192</v>
      </c>
      <c r="AR24" t="s">
        <v>33</v>
      </c>
      <c r="AS24" t="s">
        <v>557</v>
      </c>
      <c r="AW24" t="s">
        <v>188</v>
      </c>
      <c r="AX24" t="s">
        <v>155</v>
      </c>
      <c r="AY24" t="s">
        <v>185</v>
      </c>
      <c r="AZ24" t="s">
        <v>711</v>
      </c>
      <c r="BB24" s="1">
        <v>45506</v>
      </c>
      <c r="BF24">
        <v>1</v>
      </c>
      <c r="BG24" t="s">
        <v>712</v>
      </c>
      <c r="BI24" t="s">
        <v>36</v>
      </c>
      <c r="BM24" t="s">
        <v>569</v>
      </c>
      <c r="BP24" t="s">
        <v>713</v>
      </c>
      <c r="BR24" t="s">
        <v>190</v>
      </c>
      <c r="BT24" t="s">
        <v>193</v>
      </c>
      <c r="BU24">
        <v>1</v>
      </c>
      <c r="BV24" t="s">
        <v>191</v>
      </c>
      <c r="BW24" t="s">
        <v>27</v>
      </c>
      <c r="BX24" t="s">
        <v>194</v>
      </c>
    </row>
    <row r="25" spans="1:78" x14ac:dyDescent="0.25">
      <c r="A25" t="s">
        <v>714</v>
      </c>
      <c r="B25" t="s">
        <v>715</v>
      </c>
      <c r="E25" t="s">
        <v>584</v>
      </c>
      <c r="F25" t="s">
        <v>555</v>
      </c>
      <c r="G25" t="s">
        <v>556</v>
      </c>
      <c r="I25" t="s">
        <v>28</v>
      </c>
      <c r="K25" t="s">
        <v>28</v>
      </c>
      <c r="N25">
        <v>27688</v>
      </c>
      <c r="T25" t="s">
        <v>35</v>
      </c>
      <c r="V25" t="s">
        <v>716</v>
      </c>
      <c r="X25">
        <v>1997</v>
      </c>
      <c r="AB25">
        <v>0</v>
      </c>
      <c r="AC25">
        <v>1</v>
      </c>
      <c r="AQ25" t="s">
        <v>439</v>
      </c>
      <c r="AR25" t="s">
        <v>33</v>
      </c>
      <c r="AS25" t="s">
        <v>557</v>
      </c>
      <c r="AW25" t="s">
        <v>214</v>
      </c>
      <c r="AX25" t="s">
        <v>210</v>
      </c>
      <c r="AY25" t="s">
        <v>434</v>
      </c>
      <c r="AZ25">
        <v>224</v>
      </c>
      <c r="BC25" t="s">
        <v>717</v>
      </c>
      <c r="BD25" t="s">
        <v>718</v>
      </c>
      <c r="BF25">
        <v>3</v>
      </c>
      <c r="BG25" t="s">
        <v>719</v>
      </c>
      <c r="BI25" t="s">
        <v>36</v>
      </c>
      <c r="BM25" t="s">
        <v>720</v>
      </c>
      <c r="BP25" t="s">
        <v>721</v>
      </c>
      <c r="BR25" t="s">
        <v>437</v>
      </c>
      <c r="BT25" t="s">
        <v>440</v>
      </c>
      <c r="BU25">
        <v>2</v>
      </c>
      <c r="BV25" t="s">
        <v>438</v>
      </c>
      <c r="BW25" t="s">
        <v>27</v>
      </c>
      <c r="BX25" t="s">
        <v>441</v>
      </c>
    </row>
    <row r="26" spans="1:78" x14ac:dyDescent="0.25">
      <c r="A26" t="s">
        <v>722</v>
      </c>
      <c r="B26" t="s">
        <v>723</v>
      </c>
      <c r="E26" t="s">
        <v>565</v>
      </c>
      <c r="G26" t="s">
        <v>556</v>
      </c>
      <c r="I26" t="s">
        <v>93</v>
      </c>
      <c r="K26" t="s">
        <v>93</v>
      </c>
      <c r="N26">
        <v>4829</v>
      </c>
      <c r="O26" t="s">
        <v>305</v>
      </c>
      <c r="T26" t="s">
        <v>181</v>
      </c>
      <c r="V26" t="s">
        <v>724</v>
      </c>
      <c r="X26">
        <v>2003</v>
      </c>
      <c r="AB26">
        <v>1</v>
      </c>
      <c r="AC26">
        <v>0</v>
      </c>
      <c r="AI26">
        <v>1</v>
      </c>
      <c r="AK26">
        <v>1</v>
      </c>
      <c r="AM26">
        <v>1</v>
      </c>
      <c r="AQ26" t="s">
        <v>283</v>
      </c>
      <c r="AR26" t="s">
        <v>33</v>
      </c>
      <c r="AS26" t="s">
        <v>557</v>
      </c>
      <c r="AW26" t="s">
        <v>337</v>
      </c>
      <c r="AX26" t="s">
        <v>342</v>
      </c>
      <c r="AY26" t="s">
        <v>334</v>
      </c>
      <c r="AZ26" t="s">
        <v>725</v>
      </c>
      <c r="BB26" s="1">
        <v>41306</v>
      </c>
      <c r="BF26">
        <v>4</v>
      </c>
      <c r="BG26" t="s">
        <v>726</v>
      </c>
      <c r="BH26" t="s">
        <v>727</v>
      </c>
      <c r="BI26" t="s">
        <v>182</v>
      </c>
      <c r="BM26" t="s">
        <v>728</v>
      </c>
      <c r="BR26" t="s">
        <v>339</v>
      </c>
      <c r="BT26" t="s">
        <v>341</v>
      </c>
      <c r="BU26">
        <v>6</v>
      </c>
      <c r="BV26" t="s">
        <v>340</v>
      </c>
      <c r="BW26" t="s">
        <v>27</v>
      </c>
      <c r="BX26" t="s">
        <v>343</v>
      </c>
      <c r="BZ26" t="s">
        <v>729</v>
      </c>
    </row>
    <row r="27" spans="1:78" x14ac:dyDescent="0.25">
      <c r="A27" t="s">
        <v>730</v>
      </c>
      <c r="B27" t="s">
        <v>731</v>
      </c>
      <c r="E27" t="s">
        <v>565</v>
      </c>
      <c r="G27" t="s">
        <v>732</v>
      </c>
      <c r="I27" t="s">
        <v>93</v>
      </c>
      <c r="K27" t="s">
        <v>93</v>
      </c>
      <c r="T27" t="s">
        <v>35</v>
      </c>
      <c r="V27" t="s">
        <v>733</v>
      </c>
      <c r="X27">
        <v>2015</v>
      </c>
      <c r="AB27">
        <v>0</v>
      </c>
      <c r="AC27">
        <v>1</v>
      </c>
      <c r="AF27">
        <v>1</v>
      </c>
      <c r="AK27">
        <v>1</v>
      </c>
      <c r="AM27">
        <v>1</v>
      </c>
      <c r="AR27" t="s">
        <v>33</v>
      </c>
      <c r="AS27" t="s">
        <v>557</v>
      </c>
      <c r="AW27" t="s">
        <v>233</v>
      </c>
      <c r="AX27" t="s">
        <v>116</v>
      </c>
      <c r="AY27" t="s">
        <v>230</v>
      </c>
      <c r="AZ27">
        <v>13</v>
      </c>
      <c r="BC27" t="s">
        <v>236</v>
      </c>
      <c r="BD27" t="s">
        <v>235</v>
      </c>
      <c r="BG27" t="s">
        <v>734</v>
      </c>
      <c r="BI27" t="s">
        <v>182</v>
      </c>
      <c r="BL27" t="s">
        <v>559</v>
      </c>
      <c r="BM27" t="s">
        <v>735</v>
      </c>
      <c r="BP27" t="s">
        <v>736</v>
      </c>
      <c r="BT27" t="s">
        <v>236</v>
      </c>
      <c r="BV27" t="s">
        <v>235</v>
      </c>
      <c r="BW27" t="s">
        <v>235</v>
      </c>
      <c r="BX27" t="s">
        <v>237</v>
      </c>
    </row>
    <row r="28" spans="1:78" x14ac:dyDescent="0.25">
      <c r="A28" t="s">
        <v>737</v>
      </c>
      <c r="B28" t="s">
        <v>738</v>
      </c>
      <c r="E28" t="s">
        <v>565</v>
      </c>
      <c r="F28" t="s">
        <v>555</v>
      </c>
      <c r="G28" t="s">
        <v>556</v>
      </c>
      <c r="I28" t="s">
        <v>28</v>
      </c>
      <c r="K28" t="s">
        <v>28</v>
      </c>
      <c r="N28">
        <v>22514</v>
      </c>
      <c r="O28" t="s">
        <v>143</v>
      </c>
      <c r="T28" t="s">
        <v>35</v>
      </c>
      <c r="X28">
        <v>1997</v>
      </c>
      <c r="AB28">
        <v>0</v>
      </c>
      <c r="AC28">
        <v>1</v>
      </c>
      <c r="AK28">
        <v>1</v>
      </c>
      <c r="AR28" t="s">
        <v>33</v>
      </c>
      <c r="AS28" t="s">
        <v>557</v>
      </c>
      <c r="AW28" t="s">
        <v>214</v>
      </c>
      <c r="AX28" t="s">
        <v>210</v>
      </c>
      <c r="AY28" t="s">
        <v>213</v>
      </c>
      <c r="AZ28" t="s">
        <v>739</v>
      </c>
      <c r="BB28" s="1">
        <v>43776</v>
      </c>
      <c r="BG28" t="s">
        <v>740</v>
      </c>
      <c r="BI28" t="s">
        <v>158</v>
      </c>
      <c r="BM28" t="s">
        <v>569</v>
      </c>
      <c r="BP28" t="s">
        <v>570</v>
      </c>
      <c r="BT28" t="s">
        <v>216</v>
      </c>
      <c r="BV28" t="s">
        <v>152</v>
      </c>
      <c r="BW28" t="s">
        <v>152</v>
      </c>
      <c r="BX28" t="s">
        <v>217</v>
      </c>
    </row>
    <row r="29" spans="1:78" x14ac:dyDescent="0.25">
      <c r="A29" t="s">
        <v>741</v>
      </c>
      <c r="B29" t="s">
        <v>742</v>
      </c>
      <c r="E29" t="s">
        <v>584</v>
      </c>
      <c r="G29" t="s">
        <v>556</v>
      </c>
      <c r="I29" t="s">
        <v>93</v>
      </c>
      <c r="K29" t="s">
        <v>93</v>
      </c>
      <c r="N29">
        <v>12871</v>
      </c>
      <c r="O29" t="s">
        <v>694</v>
      </c>
      <c r="T29" t="s">
        <v>157</v>
      </c>
      <c r="V29" t="s">
        <v>743</v>
      </c>
      <c r="X29">
        <v>1997</v>
      </c>
      <c r="AB29">
        <v>1</v>
      </c>
      <c r="AC29">
        <v>1</v>
      </c>
      <c r="AM29">
        <v>1</v>
      </c>
      <c r="AQ29" t="s">
        <v>153</v>
      </c>
      <c r="AR29" t="s">
        <v>33</v>
      </c>
      <c r="AS29" t="s">
        <v>557</v>
      </c>
      <c r="AW29" t="s">
        <v>150</v>
      </c>
      <c r="AX29" t="s">
        <v>155</v>
      </c>
      <c r="AY29" t="s">
        <v>147</v>
      </c>
      <c r="AZ29">
        <v>384</v>
      </c>
      <c r="BG29" t="s">
        <v>744</v>
      </c>
      <c r="BH29" t="s">
        <v>698</v>
      </c>
      <c r="BI29" t="s">
        <v>158</v>
      </c>
      <c r="BM29" t="s">
        <v>745</v>
      </c>
      <c r="BP29" t="s">
        <v>746</v>
      </c>
      <c r="BT29" t="s">
        <v>154</v>
      </c>
      <c r="BV29" t="s">
        <v>152</v>
      </c>
      <c r="BW29" t="s">
        <v>152</v>
      </c>
      <c r="BX29" t="s">
        <v>156</v>
      </c>
      <c r="BY29" t="s">
        <v>747</v>
      </c>
    </row>
    <row r="30" spans="1:78" x14ac:dyDescent="0.25">
      <c r="A30" t="s">
        <v>748</v>
      </c>
      <c r="B30" t="s">
        <v>749</v>
      </c>
      <c r="E30" t="s">
        <v>750</v>
      </c>
      <c r="G30" t="s">
        <v>556</v>
      </c>
      <c r="I30" t="s">
        <v>28</v>
      </c>
      <c r="K30" t="s">
        <v>28</v>
      </c>
      <c r="N30">
        <v>16438</v>
      </c>
      <c r="T30" t="s">
        <v>35</v>
      </c>
      <c r="X30">
        <v>2015</v>
      </c>
      <c r="AB30">
        <v>0</v>
      </c>
      <c r="AC30">
        <v>1</v>
      </c>
      <c r="AG30">
        <v>1</v>
      </c>
      <c r="AK30">
        <v>1</v>
      </c>
      <c r="AM30">
        <v>1</v>
      </c>
      <c r="AR30" t="s">
        <v>33</v>
      </c>
      <c r="AS30" t="s">
        <v>557</v>
      </c>
      <c r="AW30" t="s">
        <v>25</v>
      </c>
      <c r="AX30" t="s">
        <v>32</v>
      </c>
      <c r="AY30" t="s">
        <v>22</v>
      </c>
      <c r="AZ30">
        <v>126</v>
      </c>
      <c r="BF30">
        <v>2</v>
      </c>
      <c r="BG30" t="s">
        <v>751</v>
      </c>
      <c r="BI30" t="s">
        <v>36</v>
      </c>
      <c r="BM30" t="s">
        <v>752</v>
      </c>
      <c r="BR30" t="s">
        <v>29</v>
      </c>
      <c r="BT30" t="s">
        <v>31</v>
      </c>
      <c r="BU30">
        <v>2</v>
      </c>
      <c r="BV30" t="s">
        <v>30</v>
      </c>
      <c r="BW30" t="s">
        <v>27</v>
      </c>
      <c r="BX30" t="s">
        <v>34</v>
      </c>
    </row>
    <row r="31" spans="1:78" x14ac:dyDescent="0.25">
      <c r="A31" t="s">
        <v>753</v>
      </c>
      <c r="B31" t="s">
        <v>754</v>
      </c>
      <c r="E31" t="s">
        <v>584</v>
      </c>
      <c r="F31" t="s">
        <v>555</v>
      </c>
      <c r="G31" t="s">
        <v>556</v>
      </c>
      <c r="I31" t="s">
        <v>49</v>
      </c>
      <c r="K31" t="s">
        <v>49</v>
      </c>
      <c r="N31">
        <v>25363</v>
      </c>
      <c r="O31" t="s">
        <v>212</v>
      </c>
      <c r="T31" t="s">
        <v>69</v>
      </c>
      <c r="V31" t="s">
        <v>755</v>
      </c>
      <c r="X31">
        <v>2003</v>
      </c>
      <c r="AB31">
        <v>1</v>
      </c>
      <c r="AC31">
        <v>1</v>
      </c>
      <c r="AR31" t="s">
        <v>33</v>
      </c>
      <c r="AS31" t="s">
        <v>557</v>
      </c>
      <c r="AW31" t="s">
        <v>174</v>
      </c>
      <c r="AX31" t="s">
        <v>116</v>
      </c>
      <c r="AY31" t="s">
        <v>384</v>
      </c>
      <c r="AZ31">
        <v>90</v>
      </c>
      <c r="BC31" t="s">
        <v>756</v>
      </c>
      <c r="BD31" t="s">
        <v>757</v>
      </c>
      <c r="BF31">
        <v>2</v>
      </c>
      <c r="BG31" t="s">
        <v>758</v>
      </c>
      <c r="BI31" t="s">
        <v>158</v>
      </c>
      <c r="BM31" t="s">
        <v>758</v>
      </c>
      <c r="BP31" t="s">
        <v>759</v>
      </c>
      <c r="BR31" t="s">
        <v>387</v>
      </c>
      <c r="BT31" t="s">
        <v>389</v>
      </c>
      <c r="BU31">
        <v>2</v>
      </c>
      <c r="BV31" t="s">
        <v>388</v>
      </c>
      <c r="BW31" t="s">
        <v>27</v>
      </c>
      <c r="BX31" t="s">
        <v>390</v>
      </c>
    </row>
    <row r="32" spans="1:78" x14ac:dyDescent="0.25">
      <c r="A32" t="s">
        <v>760</v>
      </c>
      <c r="B32" t="s">
        <v>761</v>
      </c>
      <c r="E32" t="s">
        <v>584</v>
      </c>
      <c r="F32" t="s">
        <v>555</v>
      </c>
      <c r="G32" t="s">
        <v>556</v>
      </c>
      <c r="I32" t="s">
        <v>28</v>
      </c>
      <c r="K32" t="s">
        <v>28</v>
      </c>
      <c r="N32">
        <v>16819</v>
      </c>
      <c r="O32" t="s">
        <v>416</v>
      </c>
      <c r="T32" t="s">
        <v>69</v>
      </c>
      <c r="X32">
        <v>2003</v>
      </c>
      <c r="AB32">
        <v>1</v>
      </c>
      <c r="AC32">
        <v>1</v>
      </c>
      <c r="AQ32" t="s">
        <v>330</v>
      </c>
      <c r="AR32" t="s">
        <v>33</v>
      </c>
      <c r="AS32" t="s">
        <v>557</v>
      </c>
      <c r="AW32" t="s">
        <v>328</v>
      </c>
      <c r="AX32" t="s">
        <v>54</v>
      </c>
      <c r="AY32" t="s">
        <v>325</v>
      </c>
      <c r="AZ32">
        <v>97</v>
      </c>
      <c r="BC32" t="s">
        <v>762</v>
      </c>
      <c r="BD32" t="s">
        <v>235</v>
      </c>
      <c r="BG32" t="s">
        <v>763</v>
      </c>
      <c r="BI32" t="s">
        <v>182</v>
      </c>
      <c r="BM32" t="s">
        <v>763</v>
      </c>
      <c r="BP32" t="s">
        <v>764</v>
      </c>
      <c r="BT32" t="s">
        <v>331</v>
      </c>
      <c r="BV32" t="s">
        <v>235</v>
      </c>
      <c r="BW32" t="s">
        <v>235</v>
      </c>
      <c r="BX32" t="s">
        <v>332</v>
      </c>
    </row>
    <row r="33" spans="1:77" x14ac:dyDescent="0.25">
      <c r="A33" t="s">
        <v>765</v>
      </c>
      <c r="B33" t="s">
        <v>766</v>
      </c>
      <c r="E33" t="s">
        <v>578</v>
      </c>
      <c r="F33" t="s">
        <v>555</v>
      </c>
      <c r="G33" t="s">
        <v>556</v>
      </c>
      <c r="I33" t="s">
        <v>93</v>
      </c>
      <c r="O33" t="s">
        <v>285</v>
      </c>
      <c r="T33" t="s">
        <v>69</v>
      </c>
      <c r="X33">
        <v>1997</v>
      </c>
      <c r="AB33">
        <v>1</v>
      </c>
      <c r="AC33">
        <v>1</v>
      </c>
      <c r="AG33">
        <v>1</v>
      </c>
      <c r="AK33">
        <v>1</v>
      </c>
      <c r="AR33" t="s">
        <v>33</v>
      </c>
      <c r="AS33" t="s">
        <v>557</v>
      </c>
      <c r="AX33" t="s">
        <v>101</v>
      </c>
      <c r="AY33" t="s">
        <v>358</v>
      </c>
      <c r="AZ33">
        <v>217</v>
      </c>
      <c r="BC33" t="s">
        <v>93</v>
      </c>
      <c r="BD33" t="s">
        <v>361</v>
      </c>
      <c r="BG33" t="s">
        <v>767</v>
      </c>
      <c r="BI33" t="s">
        <v>36</v>
      </c>
      <c r="BM33" t="s">
        <v>768</v>
      </c>
      <c r="BR33" t="s">
        <v>358</v>
      </c>
      <c r="BS33" t="s">
        <v>138</v>
      </c>
      <c r="BT33" t="s">
        <v>362</v>
      </c>
      <c r="BV33" t="s">
        <v>361</v>
      </c>
      <c r="BW33" t="s">
        <v>99</v>
      </c>
      <c r="BX33" t="s">
        <v>363</v>
      </c>
      <c r="BY33" t="s">
        <v>769</v>
      </c>
    </row>
    <row r="34" spans="1:77" x14ac:dyDescent="0.25">
      <c r="A34" t="s">
        <v>631</v>
      </c>
      <c r="B34" t="s">
        <v>632</v>
      </c>
      <c r="E34" t="s">
        <v>584</v>
      </c>
      <c r="F34" t="s">
        <v>555</v>
      </c>
      <c r="G34" t="s">
        <v>556</v>
      </c>
      <c r="I34" t="s">
        <v>28</v>
      </c>
      <c r="K34" t="s">
        <v>28</v>
      </c>
      <c r="N34">
        <v>25706</v>
      </c>
      <c r="T34" t="s">
        <v>69</v>
      </c>
      <c r="V34" t="s">
        <v>770</v>
      </c>
      <c r="X34">
        <v>2003</v>
      </c>
      <c r="AB34">
        <v>1</v>
      </c>
      <c r="AC34">
        <v>1</v>
      </c>
      <c r="AR34" t="s">
        <v>33</v>
      </c>
      <c r="AS34" t="s">
        <v>557</v>
      </c>
      <c r="AW34" t="s">
        <v>25</v>
      </c>
      <c r="AX34" t="s">
        <v>32</v>
      </c>
      <c r="AY34" t="s">
        <v>318</v>
      </c>
      <c r="AZ34">
        <v>97</v>
      </c>
      <c r="BC34" t="s">
        <v>771</v>
      </c>
      <c r="BD34" t="s">
        <v>235</v>
      </c>
      <c r="BG34" t="s">
        <v>772</v>
      </c>
      <c r="BI34" t="s">
        <v>36</v>
      </c>
      <c r="BM34" t="s">
        <v>772</v>
      </c>
      <c r="BP34" t="s">
        <v>773</v>
      </c>
      <c r="BT34" t="s">
        <v>321</v>
      </c>
      <c r="BV34" t="s">
        <v>235</v>
      </c>
      <c r="BW34" t="s">
        <v>235</v>
      </c>
      <c r="BX34" t="s">
        <v>322</v>
      </c>
    </row>
    <row r="35" spans="1:77" x14ac:dyDescent="0.25">
      <c r="A35" t="s">
        <v>774</v>
      </c>
      <c r="B35" t="s">
        <v>775</v>
      </c>
      <c r="E35" t="s">
        <v>554</v>
      </c>
      <c r="G35" t="s">
        <v>693</v>
      </c>
      <c r="N35">
        <v>170</v>
      </c>
      <c r="O35" t="s">
        <v>776</v>
      </c>
      <c r="T35" t="s">
        <v>69</v>
      </c>
      <c r="V35" t="s">
        <v>777</v>
      </c>
      <c r="W35" t="s">
        <v>778</v>
      </c>
      <c r="X35">
        <v>2015</v>
      </c>
      <c r="AB35">
        <v>1</v>
      </c>
      <c r="AC35">
        <v>1</v>
      </c>
      <c r="AE35">
        <v>1</v>
      </c>
      <c r="AK35">
        <v>1</v>
      </c>
      <c r="AM35">
        <v>1</v>
      </c>
      <c r="AR35" t="s">
        <v>33</v>
      </c>
      <c r="AS35" t="s">
        <v>557</v>
      </c>
      <c r="AX35" t="s">
        <v>101</v>
      </c>
      <c r="AY35" t="s">
        <v>96</v>
      </c>
      <c r="AZ35">
        <v>38</v>
      </c>
      <c r="BB35" s="1">
        <v>45401</v>
      </c>
      <c r="BC35" t="s">
        <v>100</v>
      </c>
      <c r="BD35" t="s">
        <v>99</v>
      </c>
      <c r="BG35" t="s">
        <v>779</v>
      </c>
      <c r="BH35" t="s">
        <v>698</v>
      </c>
      <c r="BI35" t="s">
        <v>56</v>
      </c>
      <c r="BL35" t="s">
        <v>559</v>
      </c>
      <c r="BM35" t="s">
        <v>780</v>
      </c>
      <c r="BP35" t="s">
        <v>781</v>
      </c>
      <c r="BT35" t="s">
        <v>100</v>
      </c>
      <c r="BV35" t="s">
        <v>99</v>
      </c>
      <c r="BW35" t="s">
        <v>99</v>
      </c>
      <c r="BX35" t="s">
        <v>102</v>
      </c>
    </row>
    <row r="36" spans="1:77" x14ac:dyDescent="0.25">
      <c r="A36" t="s">
        <v>782</v>
      </c>
      <c r="B36" t="s">
        <v>783</v>
      </c>
      <c r="E36" t="s">
        <v>584</v>
      </c>
      <c r="F36" t="s">
        <v>555</v>
      </c>
      <c r="G36" t="s">
        <v>556</v>
      </c>
      <c r="N36">
        <v>13887</v>
      </c>
      <c r="T36" t="s">
        <v>69</v>
      </c>
      <c r="V36" t="s">
        <v>784</v>
      </c>
      <c r="X36">
        <v>1997</v>
      </c>
      <c r="AB36">
        <v>1</v>
      </c>
      <c r="AC36">
        <v>1</v>
      </c>
      <c r="AQ36" t="s">
        <v>425</v>
      </c>
      <c r="AR36" t="s">
        <v>33</v>
      </c>
      <c r="AS36" t="s">
        <v>557</v>
      </c>
      <c r="AW36" t="s">
        <v>420</v>
      </c>
      <c r="AX36" t="s">
        <v>210</v>
      </c>
      <c r="AY36" t="s">
        <v>417</v>
      </c>
      <c r="AZ36">
        <v>290</v>
      </c>
      <c r="BC36" t="s">
        <v>785</v>
      </c>
      <c r="BD36" t="s">
        <v>786</v>
      </c>
      <c r="BF36">
        <v>0</v>
      </c>
      <c r="BG36" t="s">
        <v>787</v>
      </c>
      <c r="BI36" t="s">
        <v>158</v>
      </c>
      <c r="BM36" t="s">
        <v>788</v>
      </c>
      <c r="BP36" t="s">
        <v>789</v>
      </c>
      <c r="BR36" t="s">
        <v>423</v>
      </c>
      <c r="BT36" t="s">
        <v>426</v>
      </c>
      <c r="BU36">
        <v>4</v>
      </c>
      <c r="BV36" t="s">
        <v>424</v>
      </c>
      <c r="BW36" t="s">
        <v>422</v>
      </c>
      <c r="BX36" t="s">
        <v>427</v>
      </c>
    </row>
    <row r="37" spans="1:77" x14ac:dyDescent="0.25">
      <c r="A37" t="s">
        <v>790</v>
      </c>
      <c r="B37" t="s">
        <v>791</v>
      </c>
      <c r="E37" t="s">
        <v>584</v>
      </c>
      <c r="F37" t="s">
        <v>555</v>
      </c>
      <c r="G37" t="s">
        <v>556</v>
      </c>
      <c r="I37" t="s">
        <v>93</v>
      </c>
      <c r="K37" t="s">
        <v>93</v>
      </c>
      <c r="N37">
        <v>19678</v>
      </c>
      <c r="T37" t="s">
        <v>69</v>
      </c>
      <c r="V37" t="s">
        <v>792</v>
      </c>
      <c r="X37">
        <v>1997</v>
      </c>
      <c r="AB37">
        <v>1</v>
      </c>
      <c r="AC37">
        <v>1</v>
      </c>
      <c r="AR37" t="s">
        <v>33</v>
      </c>
      <c r="AS37" t="s">
        <v>557</v>
      </c>
      <c r="AW37" t="s">
        <v>378</v>
      </c>
      <c r="AX37" t="s">
        <v>32</v>
      </c>
      <c r="AY37" t="s">
        <v>429</v>
      </c>
      <c r="AZ37">
        <v>42</v>
      </c>
      <c r="BC37" t="s">
        <v>793</v>
      </c>
      <c r="BD37" t="s">
        <v>208</v>
      </c>
      <c r="BG37" t="s">
        <v>788</v>
      </c>
      <c r="BI37" t="s">
        <v>158</v>
      </c>
      <c r="BM37" t="s">
        <v>788</v>
      </c>
      <c r="BP37" t="s">
        <v>794</v>
      </c>
      <c r="BT37" t="s">
        <v>430</v>
      </c>
      <c r="BV37" t="s">
        <v>208</v>
      </c>
      <c r="BW37" t="s">
        <v>208</v>
      </c>
      <c r="BX37" t="s">
        <v>431</v>
      </c>
    </row>
    <row r="38" spans="1:77" x14ac:dyDescent="0.25">
      <c r="A38" t="s">
        <v>795</v>
      </c>
      <c r="B38" t="s">
        <v>796</v>
      </c>
      <c r="E38" t="s">
        <v>750</v>
      </c>
      <c r="F38" t="s">
        <v>555</v>
      </c>
      <c r="G38" t="s">
        <v>556</v>
      </c>
      <c r="I38" t="s">
        <v>110</v>
      </c>
      <c r="K38" t="s">
        <v>110</v>
      </c>
      <c r="N38">
        <v>4677</v>
      </c>
      <c r="O38" t="s">
        <v>442</v>
      </c>
      <c r="T38" t="s">
        <v>35</v>
      </c>
      <c r="X38">
        <v>2015</v>
      </c>
      <c r="AB38">
        <v>0</v>
      </c>
      <c r="AC38">
        <v>1</v>
      </c>
      <c r="AG38">
        <v>1</v>
      </c>
      <c r="AK38">
        <v>1</v>
      </c>
      <c r="AQ38" t="s">
        <v>227</v>
      </c>
      <c r="AR38" t="s">
        <v>33</v>
      </c>
      <c r="AS38" t="s">
        <v>557</v>
      </c>
      <c r="AT38" t="s">
        <v>797</v>
      </c>
      <c r="AV38" t="s">
        <v>798</v>
      </c>
      <c r="AW38" t="s">
        <v>222</v>
      </c>
      <c r="AX38" t="s">
        <v>32</v>
      </c>
      <c r="AY38" t="s">
        <v>219</v>
      </c>
      <c r="AZ38">
        <v>248</v>
      </c>
      <c r="BC38" t="s">
        <v>799</v>
      </c>
      <c r="BD38" t="s">
        <v>226</v>
      </c>
      <c r="BG38" t="s">
        <v>800</v>
      </c>
      <c r="BI38" t="s">
        <v>56</v>
      </c>
      <c r="BM38" t="s">
        <v>801</v>
      </c>
      <c r="BR38" t="s">
        <v>225</v>
      </c>
      <c r="BS38" t="s">
        <v>111</v>
      </c>
      <c r="BT38" t="s">
        <v>228</v>
      </c>
      <c r="BV38" t="s">
        <v>226</v>
      </c>
      <c r="BW38" t="s">
        <v>224</v>
      </c>
      <c r="BX38" t="s">
        <v>229</v>
      </c>
    </row>
    <row r="39" spans="1:77" x14ac:dyDescent="0.25">
      <c r="A39" t="s">
        <v>802</v>
      </c>
      <c r="B39" t="s">
        <v>803</v>
      </c>
      <c r="E39" t="s">
        <v>584</v>
      </c>
      <c r="F39" t="s">
        <v>555</v>
      </c>
      <c r="G39" t="s">
        <v>556</v>
      </c>
      <c r="I39" t="s">
        <v>271</v>
      </c>
      <c r="N39">
        <v>20255</v>
      </c>
      <c r="T39" t="s">
        <v>69</v>
      </c>
      <c r="V39" t="s">
        <v>804</v>
      </c>
      <c r="W39" t="s">
        <v>587</v>
      </c>
      <c r="X39">
        <v>2015</v>
      </c>
      <c r="AB39">
        <v>1</v>
      </c>
      <c r="AC39">
        <v>1</v>
      </c>
      <c r="AQ39" t="s">
        <v>312</v>
      </c>
      <c r="AR39" t="s">
        <v>33</v>
      </c>
      <c r="AS39" t="s">
        <v>557</v>
      </c>
      <c r="AW39" t="s">
        <v>310</v>
      </c>
      <c r="AX39" t="s">
        <v>32</v>
      </c>
      <c r="AY39" t="s">
        <v>307</v>
      </c>
      <c r="AZ39">
        <v>91</v>
      </c>
      <c r="BC39" t="s">
        <v>805</v>
      </c>
      <c r="BD39" t="s">
        <v>301</v>
      </c>
      <c r="BF39">
        <v>2</v>
      </c>
      <c r="BG39" t="s">
        <v>602</v>
      </c>
      <c r="BI39" t="s">
        <v>36</v>
      </c>
      <c r="BM39" t="s">
        <v>602</v>
      </c>
      <c r="BP39" t="s">
        <v>806</v>
      </c>
      <c r="BR39" t="s">
        <v>300</v>
      </c>
      <c r="BT39" t="s">
        <v>313</v>
      </c>
      <c r="BU39">
        <v>2</v>
      </c>
      <c r="BV39" t="s">
        <v>301</v>
      </c>
      <c r="BW39" t="s">
        <v>27</v>
      </c>
      <c r="BX39" t="s">
        <v>314</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C257-2946-4650-A8CF-26D4F25A9846}">
  <dimension ref="A1:AW22"/>
  <sheetViews>
    <sheetView workbookViewId="0">
      <selection activeCell="L36" sqref="L36"/>
    </sheetView>
  </sheetViews>
  <sheetFormatPr defaultRowHeight="15" x14ac:dyDescent="0.25"/>
  <cols>
    <col min="2" max="2" width="10.42578125" customWidth="1"/>
    <col min="3" max="3" width="12.7109375" customWidth="1"/>
    <col min="4" max="4" width="12.85546875" customWidth="1"/>
    <col min="5" max="5" width="14.85546875" customWidth="1"/>
    <col min="6" max="6" width="13.7109375" customWidth="1"/>
    <col min="7" max="7" width="14.140625" customWidth="1"/>
    <col min="9" max="9" width="17.140625" customWidth="1"/>
    <col min="10" max="10" width="12.140625" customWidth="1"/>
    <col min="11" max="11" width="10.140625" customWidth="1"/>
    <col min="12" max="12" width="13.42578125" customWidth="1"/>
    <col min="13" max="13" width="11.5703125" customWidth="1"/>
    <col min="14" max="14" width="14" customWidth="1"/>
    <col min="15" max="15" width="15" customWidth="1"/>
    <col min="16" max="16" width="9.7109375" customWidth="1"/>
    <col min="17" max="17" width="13.42578125" customWidth="1"/>
    <col min="18" max="18" width="10.42578125" customWidth="1"/>
    <col min="19" max="19" width="10" customWidth="1"/>
    <col min="20" max="20" width="13.28515625" customWidth="1"/>
    <col min="21" max="21" width="10.5703125" customWidth="1"/>
    <col min="22" max="22" width="11" customWidth="1"/>
    <col min="23" max="23" width="11.7109375" customWidth="1"/>
    <col min="24" max="24" width="11.42578125" customWidth="1"/>
    <col min="25" max="25" width="11.28515625" customWidth="1"/>
    <col min="27" max="27" width="12.140625" customWidth="1"/>
    <col min="29" max="29" width="10" customWidth="1"/>
    <col min="30" max="30" width="12.85546875" customWidth="1"/>
    <col min="31" max="31" width="13.42578125" customWidth="1"/>
    <col min="32" max="32" width="14" customWidth="1"/>
    <col min="33" max="33" width="14.5703125" customWidth="1"/>
    <col min="35" max="35" width="14" customWidth="1"/>
    <col min="36" max="36" width="14.42578125" customWidth="1"/>
    <col min="37" max="37" width="16" customWidth="1"/>
    <col min="38" max="38" width="15.5703125" customWidth="1"/>
    <col min="39" max="39" width="10.140625" customWidth="1"/>
    <col min="41" max="41" width="11.42578125" customWidth="1"/>
    <col min="42" max="42" width="11" customWidth="1"/>
    <col min="43" max="43" width="12.7109375" customWidth="1"/>
    <col min="45" max="45" width="12.28515625" customWidth="1"/>
    <col min="49" max="49" width="12.5703125" customWidth="1"/>
  </cols>
  <sheetData>
    <row r="1" spans="1:49" x14ac:dyDescent="0.25">
      <c r="A1" t="s">
        <v>474</v>
      </c>
      <c r="B1" t="s">
        <v>475</v>
      </c>
      <c r="C1" t="s">
        <v>476</v>
      </c>
      <c r="D1" t="s">
        <v>478</v>
      </c>
      <c r="E1" t="s">
        <v>479</v>
      </c>
      <c r="F1" t="s">
        <v>480</v>
      </c>
      <c r="G1" t="s">
        <v>482</v>
      </c>
      <c r="H1" t="s">
        <v>484</v>
      </c>
      <c r="I1" t="s">
        <v>488</v>
      </c>
      <c r="J1" t="s">
        <v>492</v>
      </c>
      <c r="K1" t="s">
        <v>493</v>
      </c>
      <c r="L1" t="s">
        <v>494</v>
      </c>
      <c r="M1" t="s">
        <v>495</v>
      </c>
      <c r="N1" t="s">
        <v>496</v>
      </c>
      <c r="O1" t="s">
        <v>497</v>
      </c>
      <c r="P1" t="s">
        <v>501</v>
      </c>
      <c r="Q1" t="s">
        <v>502</v>
      </c>
      <c r="R1" t="s">
        <v>504</v>
      </c>
      <c r="S1" t="s">
        <v>505</v>
      </c>
      <c r="T1" t="s">
        <v>507</v>
      </c>
      <c r="U1" t="s">
        <v>508</v>
      </c>
      <c r="V1" t="s">
        <v>510</v>
      </c>
      <c r="W1" t="s">
        <v>514</v>
      </c>
      <c r="X1" t="s">
        <v>516</v>
      </c>
      <c r="Y1" t="s">
        <v>517</v>
      </c>
      <c r="Z1" t="s">
        <v>518</v>
      </c>
      <c r="AA1" t="s">
        <v>522</v>
      </c>
      <c r="AB1" t="s">
        <v>524</v>
      </c>
      <c r="AC1" t="s">
        <v>525</v>
      </c>
      <c r="AD1" t="s">
        <v>807</v>
      </c>
      <c r="AE1" t="s">
        <v>528</v>
      </c>
      <c r="AF1" t="s">
        <v>529</v>
      </c>
      <c r="AG1" t="s">
        <v>530</v>
      </c>
      <c r="AH1" t="s">
        <v>531</v>
      </c>
      <c r="AI1" t="s">
        <v>533</v>
      </c>
      <c r="AJ1" t="s">
        <v>536</v>
      </c>
      <c r="AK1" t="s">
        <v>808</v>
      </c>
      <c r="AL1" t="s">
        <v>537</v>
      </c>
      <c r="AM1" t="s">
        <v>538</v>
      </c>
      <c r="AN1" t="s">
        <v>539</v>
      </c>
      <c r="AO1" t="s">
        <v>540</v>
      </c>
      <c r="AP1" t="s">
        <v>543</v>
      </c>
      <c r="AQ1" t="s">
        <v>544</v>
      </c>
      <c r="AR1" t="s">
        <v>545</v>
      </c>
      <c r="AS1" t="s">
        <v>546</v>
      </c>
      <c r="AT1" t="s">
        <v>547</v>
      </c>
      <c r="AU1" t="s">
        <v>548</v>
      </c>
      <c r="AV1" t="s">
        <v>549</v>
      </c>
      <c r="AW1" t="s">
        <v>551</v>
      </c>
    </row>
    <row r="2" spans="1:49" x14ac:dyDescent="0.25">
      <c r="A2" t="s">
        <v>809</v>
      </c>
      <c r="B2" t="s">
        <v>810</v>
      </c>
      <c r="D2" t="s">
        <v>565</v>
      </c>
      <c r="E2" t="s">
        <v>555</v>
      </c>
      <c r="F2" t="s">
        <v>556</v>
      </c>
      <c r="G2" t="s">
        <v>271</v>
      </c>
      <c r="H2" t="s">
        <v>271</v>
      </c>
      <c r="K2" t="s">
        <v>35</v>
      </c>
      <c r="O2">
        <v>2003</v>
      </c>
      <c r="P2">
        <v>0</v>
      </c>
      <c r="Q2">
        <v>1</v>
      </c>
      <c r="R2">
        <v>1</v>
      </c>
      <c r="V2">
        <v>1</v>
      </c>
      <c r="Y2" t="s">
        <v>33</v>
      </c>
      <c r="Z2" t="s">
        <v>811</v>
      </c>
      <c r="AB2" t="s">
        <v>344</v>
      </c>
      <c r="AC2">
        <v>3</v>
      </c>
      <c r="AH2">
        <v>2</v>
      </c>
      <c r="AI2" t="s">
        <v>812</v>
      </c>
      <c r="AJ2" t="s">
        <v>813</v>
      </c>
      <c r="AK2" t="s">
        <v>814</v>
      </c>
      <c r="AM2" t="s">
        <v>815</v>
      </c>
      <c r="AP2" t="s">
        <v>344</v>
      </c>
      <c r="AS2">
        <v>2</v>
      </c>
      <c r="AT2" t="s">
        <v>347</v>
      </c>
      <c r="AU2" t="s">
        <v>65</v>
      </c>
      <c r="AV2" t="s">
        <v>348</v>
      </c>
    </row>
    <row r="3" spans="1:49" x14ac:dyDescent="0.25">
      <c r="A3" t="s">
        <v>816</v>
      </c>
      <c r="B3" t="s">
        <v>817</v>
      </c>
      <c r="D3" t="s">
        <v>565</v>
      </c>
      <c r="F3" t="s">
        <v>693</v>
      </c>
      <c r="J3" t="s">
        <v>818</v>
      </c>
      <c r="K3" t="s">
        <v>42</v>
      </c>
      <c r="O3">
        <v>2015</v>
      </c>
      <c r="P3">
        <v>1</v>
      </c>
      <c r="Q3">
        <v>1</v>
      </c>
      <c r="Y3" t="s">
        <v>33</v>
      </c>
      <c r="Z3" t="s">
        <v>819</v>
      </c>
      <c r="AB3" t="s">
        <v>131</v>
      </c>
      <c r="AC3">
        <v>72</v>
      </c>
      <c r="AD3" t="s">
        <v>820</v>
      </c>
      <c r="AG3" t="s">
        <v>821</v>
      </c>
      <c r="AM3" t="s">
        <v>822</v>
      </c>
      <c r="AN3" t="s">
        <v>43</v>
      </c>
      <c r="AO3" t="s">
        <v>816</v>
      </c>
      <c r="AT3" t="s">
        <v>40</v>
      </c>
      <c r="AU3" t="s">
        <v>40</v>
      </c>
      <c r="AV3" t="s">
        <v>134</v>
      </c>
    </row>
    <row r="4" spans="1:49" x14ac:dyDescent="0.25">
      <c r="A4" t="s">
        <v>823</v>
      </c>
      <c r="B4" t="s">
        <v>824</v>
      </c>
      <c r="D4" t="s">
        <v>565</v>
      </c>
      <c r="F4" t="s">
        <v>693</v>
      </c>
      <c r="I4" t="s">
        <v>323</v>
      </c>
      <c r="J4" t="s">
        <v>825</v>
      </c>
      <c r="K4" t="s">
        <v>166</v>
      </c>
      <c r="O4">
        <v>2015</v>
      </c>
      <c r="P4">
        <v>0</v>
      </c>
      <c r="Q4">
        <v>1</v>
      </c>
      <c r="Y4" t="s">
        <v>33</v>
      </c>
      <c r="Z4" t="s">
        <v>819</v>
      </c>
      <c r="AB4" t="s">
        <v>258</v>
      </c>
      <c r="AC4">
        <v>51</v>
      </c>
      <c r="AG4" t="s">
        <v>826</v>
      </c>
      <c r="AM4" t="s">
        <v>827</v>
      </c>
      <c r="AN4" t="s">
        <v>43</v>
      </c>
      <c r="AO4" t="s">
        <v>823</v>
      </c>
      <c r="AT4" t="s">
        <v>40</v>
      </c>
      <c r="AU4" t="s">
        <v>40</v>
      </c>
      <c r="AV4" t="s">
        <v>261</v>
      </c>
    </row>
    <row r="5" spans="1:49" x14ac:dyDescent="0.25">
      <c r="A5" t="s">
        <v>828</v>
      </c>
      <c r="B5" t="s">
        <v>829</v>
      </c>
      <c r="D5" t="s">
        <v>565</v>
      </c>
      <c r="F5" t="s">
        <v>556</v>
      </c>
      <c r="K5" t="s">
        <v>35</v>
      </c>
      <c r="O5">
        <v>2015</v>
      </c>
      <c r="P5">
        <v>0</v>
      </c>
      <c r="Q5">
        <v>1</v>
      </c>
      <c r="Y5" t="s">
        <v>33</v>
      </c>
      <c r="Z5" t="s">
        <v>811</v>
      </c>
      <c r="AB5" t="s">
        <v>58</v>
      </c>
      <c r="AC5">
        <v>35</v>
      </c>
      <c r="AM5" t="s">
        <v>830</v>
      </c>
      <c r="AR5" t="s">
        <v>60</v>
      </c>
      <c r="AT5" t="s">
        <v>40</v>
      </c>
      <c r="AU5" t="s">
        <v>40</v>
      </c>
      <c r="AV5" t="s">
        <v>61</v>
      </c>
    </row>
    <row r="6" spans="1:49" x14ac:dyDescent="0.25">
      <c r="A6" t="s">
        <v>831</v>
      </c>
      <c r="B6" t="s">
        <v>832</v>
      </c>
      <c r="D6" t="s">
        <v>565</v>
      </c>
      <c r="F6" t="s">
        <v>556</v>
      </c>
      <c r="G6" t="s">
        <v>93</v>
      </c>
      <c r="H6" t="s">
        <v>93</v>
      </c>
      <c r="K6" t="s">
        <v>69</v>
      </c>
      <c r="O6">
        <v>2015</v>
      </c>
      <c r="P6">
        <v>1</v>
      </c>
      <c r="Q6">
        <v>1</v>
      </c>
      <c r="V6">
        <v>1</v>
      </c>
      <c r="Y6" t="s">
        <v>33</v>
      </c>
      <c r="Z6" t="s">
        <v>811</v>
      </c>
      <c r="AB6" t="s">
        <v>118</v>
      </c>
      <c r="AC6">
        <v>5</v>
      </c>
      <c r="AH6">
        <v>2</v>
      </c>
      <c r="AJ6" t="s">
        <v>833</v>
      </c>
      <c r="AK6" t="s">
        <v>834</v>
      </c>
      <c r="AM6" t="s">
        <v>835</v>
      </c>
      <c r="AP6" t="s">
        <v>118</v>
      </c>
      <c r="AS6">
        <v>2</v>
      </c>
      <c r="AT6" t="s">
        <v>121</v>
      </c>
      <c r="AU6" t="s">
        <v>65</v>
      </c>
      <c r="AV6" t="s">
        <v>122</v>
      </c>
    </row>
    <row r="7" spans="1:49" x14ac:dyDescent="0.25">
      <c r="A7" t="s">
        <v>836</v>
      </c>
      <c r="B7" t="s">
        <v>837</v>
      </c>
      <c r="D7" t="s">
        <v>565</v>
      </c>
      <c r="F7" t="s">
        <v>693</v>
      </c>
      <c r="I7" t="s">
        <v>838</v>
      </c>
      <c r="J7" t="s">
        <v>839</v>
      </c>
      <c r="K7" t="s">
        <v>42</v>
      </c>
      <c r="O7">
        <v>2015</v>
      </c>
      <c r="P7">
        <v>1</v>
      </c>
      <c r="Q7">
        <v>1</v>
      </c>
      <c r="Y7" t="s">
        <v>33</v>
      </c>
      <c r="Z7" t="s">
        <v>819</v>
      </c>
      <c r="AB7" t="s">
        <v>167</v>
      </c>
      <c r="AC7">
        <v>59</v>
      </c>
      <c r="AD7" t="s">
        <v>820</v>
      </c>
      <c r="AG7" t="s">
        <v>840</v>
      </c>
      <c r="AM7" t="s">
        <v>841</v>
      </c>
      <c r="AN7" t="s">
        <v>43</v>
      </c>
      <c r="AO7" t="s">
        <v>836</v>
      </c>
      <c r="AT7" t="s">
        <v>40</v>
      </c>
      <c r="AU7" t="s">
        <v>40</v>
      </c>
      <c r="AV7" t="s">
        <v>170</v>
      </c>
    </row>
    <row r="8" spans="1:49" x14ac:dyDescent="0.25">
      <c r="A8" t="s">
        <v>842</v>
      </c>
      <c r="B8" t="s">
        <v>843</v>
      </c>
      <c r="D8" t="s">
        <v>565</v>
      </c>
      <c r="F8" t="s">
        <v>556</v>
      </c>
      <c r="G8" t="s">
        <v>73</v>
      </c>
      <c r="H8" t="s">
        <v>73</v>
      </c>
      <c r="K8" t="s">
        <v>69</v>
      </c>
      <c r="O8">
        <v>2015</v>
      </c>
      <c r="P8">
        <v>1</v>
      </c>
      <c r="Q8">
        <v>1</v>
      </c>
      <c r="X8" t="s">
        <v>75</v>
      </c>
      <c r="Y8" t="s">
        <v>33</v>
      </c>
      <c r="Z8" t="s">
        <v>811</v>
      </c>
      <c r="AB8" t="s">
        <v>70</v>
      </c>
      <c r="AC8">
        <v>25</v>
      </c>
      <c r="AH8">
        <v>1</v>
      </c>
      <c r="AJ8" t="s">
        <v>844</v>
      </c>
      <c r="AK8" t="s">
        <v>845</v>
      </c>
      <c r="AM8" t="s">
        <v>846</v>
      </c>
      <c r="AP8" t="s">
        <v>70</v>
      </c>
      <c r="AR8" t="s">
        <v>76</v>
      </c>
      <c r="AS8">
        <v>1</v>
      </c>
      <c r="AT8" t="s">
        <v>74</v>
      </c>
      <c r="AU8" t="s">
        <v>65</v>
      </c>
      <c r="AV8" t="s">
        <v>77</v>
      </c>
    </row>
    <row r="9" spans="1:49" x14ac:dyDescent="0.25">
      <c r="A9" t="s">
        <v>847</v>
      </c>
      <c r="B9" t="s">
        <v>848</v>
      </c>
      <c r="D9" t="s">
        <v>565</v>
      </c>
      <c r="F9" t="s">
        <v>693</v>
      </c>
      <c r="I9" t="s">
        <v>155</v>
      </c>
      <c r="J9" t="s">
        <v>849</v>
      </c>
      <c r="K9" t="s">
        <v>42</v>
      </c>
      <c r="O9">
        <v>2015</v>
      </c>
      <c r="P9">
        <v>1</v>
      </c>
      <c r="Q9">
        <v>1</v>
      </c>
      <c r="Y9" t="s">
        <v>33</v>
      </c>
      <c r="Z9" t="s">
        <v>819</v>
      </c>
      <c r="AB9" t="s">
        <v>161</v>
      </c>
      <c r="AC9">
        <v>59</v>
      </c>
      <c r="AD9" t="s">
        <v>820</v>
      </c>
      <c r="AG9" t="s">
        <v>850</v>
      </c>
      <c r="AM9" t="s">
        <v>851</v>
      </c>
      <c r="AN9" t="s">
        <v>43</v>
      </c>
      <c r="AO9" t="s">
        <v>847</v>
      </c>
      <c r="AT9" t="s">
        <v>40</v>
      </c>
      <c r="AU9" t="s">
        <v>40</v>
      </c>
      <c r="AV9" t="s">
        <v>163</v>
      </c>
    </row>
    <row r="10" spans="1:49" x14ac:dyDescent="0.25">
      <c r="A10" t="s">
        <v>852</v>
      </c>
      <c r="B10" t="s">
        <v>853</v>
      </c>
      <c r="D10" t="s">
        <v>565</v>
      </c>
      <c r="F10" t="s">
        <v>556</v>
      </c>
      <c r="G10" t="s">
        <v>93</v>
      </c>
      <c r="H10" t="s">
        <v>93</v>
      </c>
      <c r="K10" t="s">
        <v>69</v>
      </c>
      <c r="O10">
        <v>2015</v>
      </c>
      <c r="P10">
        <v>1</v>
      </c>
      <c r="Q10">
        <v>1</v>
      </c>
      <c r="V10">
        <v>1</v>
      </c>
      <c r="Y10" t="s">
        <v>33</v>
      </c>
      <c r="Z10" t="s">
        <v>811</v>
      </c>
      <c r="AB10" t="s">
        <v>90</v>
      </c>
      <c r="AC10">
        <v>1</v>
      </c>
      <c r="AH10">
        <v>1</v>
      </c>
      <c r="AJ10" t="s">
        <v>854</v>
      </c>
      <c r="AK10" t="s">
        <v>855</v>
      </c>
      <c r="AM10" t="s">
        <v>856</v>
      </c>
      <c r="AP10" t="s">
        <v>90</v>
      </c>
      <c r="AS10">
        <v>1</v>
      </c>
      <c r="AT10" t="s">
        <v>94</v>
      </c>
      <c r="AU10" t="s">
        <v>65</v>
      </c>
      <c r="AV10" t="s">
        <v>95</v>
      </c>
    </row>
    <row r="11" spans="1:49" x14ac:dyDescent="0.25">
      <c r="A11" t="s">
        <v>617</v>
      </c>
      <c r="B11" t="s">
        <v>618</v>
      </c>
      <c r="D11" t="s">
        <v>565</v>
      </c>
      <c r="F11" t="s">
        <v>693</v>
      </c>
      <c r="I11" t="s">
        <v>857</v>
      </c>
      <c r="J11" t="s">
        <v>858</v>
      </c>
      <c r="K11" t="s">
        <v>166</v>
      </c>
      <c r="O11">
        <v>2015</v>
      </c>
      <c r="P11">
        <v>0</v>
      </c>
      <c r="Q11">
        <v>1</v>
      </c>
      <c r="Y11" t="s">
        <v>33</v>
      </c>
      <c r="Z11" t="s">
        <v>819</v>
      </c>
      <c r="AB11" t="s">
        <v>262</v>
      </c>
      <c r="AC11">
        <v>11</v>
      </c>
      <c r="AG11" t="s">
        <v>859</v>
      </c>
      <c r="AM11" t="s">
        <v>827</v>
      </c>
      <c r="AN11" t="s">
        <v>43</v>
      </c>
      <c r="AO11" t="s">
        <v>617</v>
      </c>
      <c r="AT11" t="s">
        <v>40</v>
      </c>
      <c r="AU11" t="s">
        <v>40</v>
      </c>
      <c r="AV11" t="s">
        <v>263</v>
      </c>
    </row>
    <row r="12" spans="1:49" x14ac:dyDescent="0.25">
      <c r="A12" t="s">
        <v>860</v>
      </c>
      <c r="B12" t="s">
        <v>861</v>
      </c>
      <c r="D12" t="s">
        <v>565</v>
      </c>
      <c r="F12" t="s">
        <v>693</v>
      </c>
      <c r="I12" t="s">
        <v>862</v>
      </c>
      <c r="J12" t="s">
        <v>863</v>
      </c>
      <c r="K12" t="s">
        <v>42</v>
      </c>
      <c r="O12">
        <v>2015</v>
      </c>
      <c r="P12">
        <v>1</v>
      </c>
      <c r="Q12">
        <v>1</v>
      </c>
      <c r="Y12" t="s">
        <v>33</v>
      </c>
      <c r="Z12" t="s">
        <v>819</v>
      </c>
      <c r="AB12" t="s">
        <v>123</v>
      </c>
      <c r="AC12">
        <v>25</v>
      </c>
      <c r="AD12" t="s">
        <v>820</v>
      </c>
      <c r="AG12" t="s">
        <v>864</v>
      </c>
      <c r="AM12" t="s">
        <v>865</v>
      </c>
      <c r="AN12" t="s">
        <v>43</v>
      </c>
      <c r="AO12" t="s">
        <v>860</v>
      </c>
      <c r="AT12" t="s">
        <v>40</v>
      </c>
      <c r="AU12" t="s">
        <v>40</v>
      </c>
      <c r="AV12" s="2" t="s">
        <v>126</v>
      </c>
    </row>
    <row r="13" spans="1:49" x14ac:dyDescent="0.25">
      <c r="A13" t="s">
        <v>866</v>
      </c>
      <c r="B13" t="s">
        <v>867</v>
      </c>
      <c r="D13" t="s">
        <v>565</v>
      </c>
      <c r="F13" t="s">
        <v>693</v>
      </c>
      <c r="I13" t="s">
        <v>349</v>
      </c>
      <c r="J13" t="s">
        <v>868</v>
      </c>
      <c r="K13" t="s">
        <v>166</v>
      </c>
      <c r="O13">
        <v>2015</v>
      </c>
      <c r="P13">
        <v>0</v>
      </c>
      <c r="Q13">
        <v>1</v>
      </c>
      <c r="Y13" t="s">
        <v>33</v>
      </c>
      <c r="Z13" t="s">
        <v>819</v>
      </c>
      <c r="AB13" t="s">
        <v>164</v>
      </c>
      <c r="AC13" t="s">
        <v>869</v>
      </c>
      <c r="AD13" t="s">
        <v>870</v>
      </c>
      <c r="AG13" t="s">
        <v>871</v>
      </c>
      <c r="AI13" t="s">
        <v>872</v>
      </c>
      <c r="AM13" t="s">
        <v>851</v>
      </c>
      <c r="AN13" t="s">
        <v>43</v>
      </c>
      <c r="AO13" t="s">
        <v>866</v>
      </c>
      <c r="AT13" t="s">
        <v>40</v>
      </c>
      <c r="AU13" t="s">
        <v>40</v>
      </c>
      <c r="AV13" t="s">
        <v>165</v>
      </c>
    </row>
    <row r="14" spans="1:49" x14ac:dyDescent="0.25">
      <c r="A14" t="s">
        <v>873</v>
      </c>
      <c r="B14" t="s">
        <v>874</v>
      </c>
      <c r="D14" t="s">
        <v>565</v>
      </c>
      <c r="F14" t="s">
        <v>693</v>
      </c>
      <c r="I14" t="s">
        <v>579</v>
      </c>
      <c r="J14" t="s">
        <v>875</v>
      </c>
      <c r="K14" t="s">
        <v>42</v>
      </c>
      <c r="O14">
        <v>2015</v>
      </c>
      <c r="P14">
        <v>1</v>
      </c>
      <c r="Q14">
        <v>1</v>
      </c>
      <c r="Y14" t="s">
        <v>33</v>
      </c>
      <c r="Z14" t="s">
        <v>819</v>
      </c>
      <c r="AB14" t="s">
        <v>81</v>
      </c>
      <c r="AC14">
        <v>32</v>
      </c>
      <c r="AG14" t="s">
        <v>876</v>
      </c>
      <c r="AI14" t="s">
        <v>872</v>
      </c>
      <c r="AM14" t="s">
        <v>877</v>
      </c>
      <c r="AN14" t="s">
        <v>43</v>
      </c>
      <c r="AO14" t="s">
        <v>873</v>
      </c>
      <c r="AT14" t="s">
        <v>40</v>
      </c>
      <c r="AU14" t="s">
        <v>40</v>
      </c>
      <c r="AV14" t="s">
        <v>84</v>
      </c>
    </row>
    <row r="15" spans="1:49" x14ac:dyDescent="0.25">
      <c r="D15" t="s">
        <v>565</v>
      </c>
      <c r="F15" t="s">
        <v>693</v>
      </c>
      <c r="I15" t="s">
        <v>306</v>
      </c>
      <c r="J15" t="s">
        <v>878</v>
      </c>
      <c r="K15" t="s">
        <v>42</v>
      </c>
      <c r="O15">
        <v>2015</v>
      </c>
      <c r="P15">
        <v>1</v>
      </c>
      <c r="Q15">
        <v>1</v>
      </c>
      <c r="Y15" t="s">
        <v>33</v>
      </c>
      <c r="Z15" t="s">
        <v>819</v>
      </c>
      <c r="AB15" t="s">
        <v>78</v>
      </c>
      <c r="AC15">
        <v>12</v>
      </c>
      <c r="AG15" t="s">
        <v>879</v>
      </c>
      <c r="AM15" t="s">
        <v>880</v>
      </c>
      <c r="AN15" t="s">
        <v>43</v>
      </c>
      <c r="AT15" t="s">
        <v>40</v>
      </c>
      <c r="AU15" t="s">
        <v>40</v>
      </c>
      <c r="AV15" t="s">
        <v>80</v>
      </c>
    </row>
    <row r="16" spans="1:49" x14ac:dyDescent="0.25">
      <c r="A16" t="s">
        <v>881</v>
      </c>
      <c r="B16" t="s">
        <v>882</v>
      </c>
      <c r="D16" t="s">
        <v>565</v>
      </c>
      <c r="F16" t="s">
        <v>693</v>
      </c>
      <c r="I16" t="s">
        <v>776</v>
      </c>
      <c r="J16" t="s">
        <v>883</v>
      </c>
      <c r="K16" t="s">
        <v>166</v>
      </c>
      <c r="O16">
        <v>2015</v>
      </c>
      <c r="P16">
        <v>0</v>
      </c>
      <c r="Q16">
        <v>1</v>
      </c>
      <c r="Y16" t="s">
        <v>33</v>
      </c>
      <c r="Z16" t="s">
        <v>819</v>
      </c>
      <c r="AB16" t="s">
        <v>264</v>
      </c>
      <c r="AC16">
        <v>1</v>
      </c>
      <c r="AG16" t="s">
        <v>884</v>
      </c>
      <c r="AM16" t="s">
        <v>827</v>
      </c>
      <c r="AN16" t="s">
        <v>43</v>
      </c>
      <c r="AO16" t="s">
        <v>881</v>
      </c>
      <c r="AT16" t="s">
        <v>40</v>
      </c>
      <c r="AU16" t="s">
        <v>40</v>
      </c>
      <c r="AV16" t="s">
        <v>265</v>
      </c>
    </row>
    <row r="17" spans="1:48" x14ac:dyDescent="0.25">
      <c r="A17" t="s">
        <v>885</v>
      </c>
      <c r="B17" t="s">
        <v>886</v>
      </c>
      <c r="D17" t="s">
        <v>565</v>
      </c>
      <c r="F17" t="s">
        <v>556</v>
      </c>
      <c r="G17" t="s">
        <v>28</v>
      </c>
      <c r="H17" t="s">
        <v>28</v>
      </c>
      <c r="K17" t="s">
        <v>69</v>
      </c>
      <c r="O17">
        <v>2015</v>
      </c>
      <c r="P17">
        <v>1</v>
      </c>
      <c r="Q17">
        <v>1</v>
      </c>
      <c r="V17">
        <v>1</v>
      </c>
      <c r="Y17" t="s">
        <v>33</v>
      </c>
      <c r="Z17" t="s">
        <v>811</v>
      </c>
      <c r="AB17" t="s">
        <v>62</v>
      </c>
      <c r="AC17">
        <v>7</v>
      </c>
      <c r="AH17">
        <v>1</v>
      </c>
      <c r="AJ17" t="s">
        <v>887</v>
      </c>
      <c r="AK17" t="s">
        <v>888</v>
      </c>
      <c r="AM17" t="s">
        <v>889</v>
      </c>
      <c r="AP17" t="s">
        <v>62</v>
      </c>
      <c r="AR17" t="s">
        <v>67</v>
      </c>
      <c r="AS17">
        <v>1</v>
      </c>
      <c r="AT17" t="s">
        <v>66</v>
      </c>
      <c r="AU17" t="s">
        <v>65</v>
      </c>
      <c r="AV17" t="s">
        <v>68</v>
      </c>
    </row>
    <row r="18" spans="1:48" x14ac:dyDescent="0.25">
      <c r="A18" t="s">
        <v>890</v>
      </c>
      <c r="B18" t="s">
        <v>891</v>
      </c>
      <c r="D18" t="s">
        <v>565</v>
      </c>
      <c r="E18" t="s">
        <v>555</v>
      </c>
      <c r="F18" t="s">
        <v>556</v>
      </c>
      <c r="G18" t="s">
        <v>28</v>
      </c>
      <c r="H18" t="s">
        <v>28</v>
      </c>
      <c r="K18" t="s">
        <v>35</v>
      </c>
      <c r="N18" t="s">
        <v>892</v>
      </c>
      <c r="O18">
        <v>2015</v>
      </c>
      <c r="P18">
        <v>0</v>
      </c>
      <c r="Q18">
        <v>1</v>
      </c>
      <c r="X18" t="s">
        <v>283</v>
      </c>
      <c r="Y18" t="s">
        <v>33</v>
      </c>
      <c r="Z18" t="s">
        <v>811</v>
      </c>
      <c r="AB18" t="s">
        <v>278</v>
      </c>
      <c r="AC18">
        <v>10</v>
      </c>
      <c r="AH18">
        <v>4</v>
      </c>
      <c r="AJ18" t="s">
        <v>893</v>
      </c>
      <c r="AK18" t="s">
        <v>894</v>
      </c>
      <c r="AM18" t="s">
        <v>895</v>
      </c>
      <c r="AP18" t="s">
        <v>281</v>
      </c>
      <c r="AQ18" t="s">
        <v>111</v>
      </c>
      <c r="AR18" t="s">
        <v>283</v>
      </c>
      <c r="AS18">
        <v>4</v>
      </c>
      <c r="AT18" t="s">
        <v>282</v>
      </c>
      <c r="AU18" t="s">
        <v>65</v>
      </c>
      <c r="AV18" t="s">
        <v>284</v>
      </c>
    </row>
    <row r="19" spans="1:48" x14ac:dyDescent="0.25">
      <c r="A19" t="s">
        <v>896</v>
      </c>
      <c r="B19" t="s">
        <v>897</v>
      </c>
      <c r="D19" t="s">
        <v>565</v>
      </c>
      <c r="F19" t="s">
        <v>556</v>
      </c>
      <c r="G19" t="s">
        <v>28</v>
      </c>
      <c r="H19" t="s">
        <v>28</v>
      </c>
      <c r="K19" t="s">
        <v>69</v>
      </c>
      <c r="O19">
        <v>2015</v>
      </c>
      <c r="P19">
        <v>1</v>
      </c>
      <c r="Q19">
        <v>1</v>
      </c>
      <c r="V19">
        <v>1</v>
      </c>
      <c r="Y19" t="s">
        <v>33</v>
      </c>
      <c r="Z19" t="s">
        <v>811</v>
      </c>
      <c r="AB19" t="s">
        <v>85</v>
      </c>
      <c r="AC19">
        <v>13</v>
      </c>
      <c r="AH19">
        <v>1</v>
      </c>
      <c r="AJ19" t="s">
        <v>898</v>
      </c>
      <c r="AK19" t="s">
        <v>899</v>
      </c>
      <c r="AM19" t="s">
        <v>900</v>
      </c>
      <c r="AP19" t="s">
        <v>85</v>
      </c>
      <c r="AS19">
        <v>1</v>
      </c>
      <c r="AT19" t="s">
        <v>88</v>
      </c>
      <c r="AU19" t="s">
        <v>65</v>
      </c>
      <c r="AV19" t="s">
        <v>89</v>
      </c>
    </row>
    <row r="20" spans="1:48" x14ac:dyDescent="0.25">
      <c r="D20" t="s">
        <v>565</v>
      </c>
      <c r="F20" t="s">
        <v>693</v>
      </c>
      <c r="I20" t="s">
        <v>857</v>
      </c>
      <c r="J20" t="s">
        <v>901</v>
      </c>
      <c r="K20" t="s">
        <v>42</v>
      </c>
      <c r="O20">
        <v>2015</v>
      </c>
      <c r="P20">
        <v>1</v>
      </c>
      <c r="Q20">
        <v>1</v>
      </c>
      <c r="Y20" t="s">
        <v>33</v>
      </c>
      <c r="Z20" t="s">
        <v>819</v>
      </c>
      <c r="AB20" t="s">
        <v>37</v>
      </c>
      <c r="AC20">
        <v>22</v>
      </c>
      <c r="AG20" t="s">
        <v>902</v>
      </c>
      <c r="AI20" t="s">
        <v>872</v>
      </c>
      <c r="AM20" t="s">
        <v>903</v>
      </c>
      <c r="AN20" t="s">
        <v>43</v>
      </c>
      <c r="AT20" t="s">
        <v>40</v>
      </c>
      <c r="AU20" t="s">
        <v>40</v>
      </c>
      <c r="AV20" t="s">
        <v>41</v>
      </c>
    </row>
    <row r="21" spans="1:48" x14ac:dyDescent="0.25">
      <c r="A21" t="s">
        <v>904</v>
      </c>
      <c r="B21" t="s">
        <v>905</v>
      </c>
      <c r="D21" t="s">
        <v>565</v>
      </c>
      <c r="F21" t="s">
        <v>693</v>
      </c>
      <c r="I21" t="s">
        <v>399</v>
      </c>
      <c r="J21" t="s">
        <v>906</v>
      </c>
      <c r="K21" t="s">
        <v>42</v>
      </c>
      <c r="O21">
        <v>2015</v>
      </c>
      <c r="P21">
        <v>1</v>
      </c>
      <c r="Q21">
        <v>1</v>
      </c>
      <c r="Y21" t="s">
        <v>33</v>
      </c>
      <c r="Z21" t="s">
        <v>819</v>
      </c>
      <c r="AB21" t="s">
        <v>127</v>
      </c>
      <c r="AC21">
        <v>66</v>
      </c>
      <c r="AD21" t="s">
        <v>907</v>
      </c>
      <c r="AG21" t="s">
        <v>908</v>
      </c>
      <c r="AM21" t="s">
        <v>909</v>
      </c>
      <c r="AN21" t="s">
        <v>43</v>
      </c>
      <c r="AO21" t="s">
        <v>904</v>
      </c>
      <c r="AT21" t="s">
        <v>40</v>
      </c>
      <c r="AU21" t="s">
        <v>40</v>
      </c>
      <c r="AV21" t="s">
        <v>130</v>
      </c>
    </row>
    <row r="22" spans="1:48" x14ac:dyDescent="0.25">
      <c r="A22" t="s">
        <v>910</v>
      </c>
      <c r="B22" t="s">
        <v>911</v>
      </c>
      <c r="D22" t="s">
        <v>565</v>
      </c>
      <c r="F22" t="s">
        <v>693</v>
      </c>
      <c r="I22" t="s">
        <v>432</v>
      </c>
      <c r="J22" t="s">
        <v>912</v>
      </c>
      <c r="K22" t="s">
        <v>42</v>
      </c>
      <c r="O22">
        <v>2015</v>
      </c>
      <c r="P22">
        <v>1</v>
      </c>
      <c r="Q22">
        <v>1</v>
      </c>
      <c r="Y22" t="s">
        <v>33</v>
      </c>
      <c r="Z22" t="s">
        <v>819</v>
      </c>
      <c r="AB22" t="s">
        <v>144</v>
      </c>
      <c r="AC22">
        <v>31</v>
      </c>
      <c r="AD22" t="s">
        <v>820</v>
      </c>
      <c r="AG22" t="s">
        <v>913</v>
      </c>
      <c r="AM22" t="s">
        <v>914</v>
      </c>
      <c r="AN22" t="s">
        <v>43</v>
      </c>
      <c r="AO22" t="s">
        <v>910</v>
      </c>
      <c r="AT22" t="s">
        <v>40</v>
      </c>
      <c r="AU22" t="s">
        <v>40</v>
      </c>
      <c r="AV22" t="s">
        <v>146</v>
      </c>
    </row>
  </sheetData>
  <pageMargins left="0.7" right="0.7" top="0.75" bottom="0.75" header="0.3" footer="0.3"/>
  <headerFooter>
    <oddFooter>&amp;R_x000D_&amp;1#&amp;"Calibri light"&amp;7&amp;KAAC3C4 STRENGT FOTROLIGT/Strictly confidential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view_allCards</vt:lpstr>
      <vt:lpstr>view_myCollection</vt:lpstr>
      <vt:lpstr>cards</vt:lpstr>
      <vt:lpstr>tokens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Claus Petersen</dc:creator>
  <cp:lastModifiedBy>Claus Petersen</cp:lastModifiedBy>
  <dcterms:created xsi:type="dcterms:W3CDTF">2025-04-22T07:09:20Z</dcterms:created>
  <dcterms:modified xsi:type="dcterms:W3CDTF">2025-04-22T08:27:30Z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d5b872-4e05-4549-b3c9-8bef54c096d5_Enabled">
    <vt:lpwstr>true</vt:lpwstr>
  </property>
  <property fmtid="{D5CDD505-2E9C-101B-9397-08002B2CF9AE}" pid="3" name="MSIP_Label_dfd5b872-4e05-4549-b3c9-8bef54c096d5_SetDate">
    <vt:lpwstr>2025-04-22T08:27:30Z</vt:lpwstr>
  </property>
  <property fmtid="{D5CDD505-2E9C-101B-9397-08002B2CF9AE}" pid="4" name="MSIP_Label_dfd5b872-4e05-4549-b3c9-8bef54c096d5_Method">
    <vt:lpwstr>Privileged</vt:lpwstr>
  </property>
  <property fmtid="{D5CDD505-2E9C-101B-9397-08002B2CF9AE}" pid="5" name="MSIP_Label_dfd5b872-4e05-4549-b3c9-8bef54c096d5_Name">
    <vt:lpwstr>Strengt fortrolig</vt:lpwstr>
  </property>
  <property fmtid="{D5CDD505-2E9C-101B-9397-08002B2CF9AE}" pid="6" name="MSIP_Label_dfd5b872-4e05-4549-b3c9-8bef54c096d5_SiteId">
    <vt:lpwstr>f7619355-6c67-4100-9a78-1847f30742e2</vt:lpwstr>
  </property>
  <property fmtid="{D5CDD505-2E9C-101B-9397-08002B2CF9AE}" pid="7" name="MSIP_Label_dfd5b872-4e05-4549-b3c9-8bef54c096d5_ActionId">
    <vt:lpwstr>5fe017fa-d63d-4ccb-b956-3652c21c96d0</vt:lpwstr>
  </property>
  <property fmtid="{D5CDD505-2E9C-101B-9397-08002B2CF9AE}" pid="8" name="MSIP_Label_dfd5b872-4e05-4549-b3c9-8bef54c096d5_ContentBits">
    <vt:lpwstr>2</vt:lpwstr>
  </property>
  <property fmtid="{D5CDD505-2E9C-101B-9397-08002B2CF9AE}" pid="9" name="MSIP_Label_dfd5b872-4e05-4549-b3c9-8bef54c096d5_Tag">
    <vt:lpwstr>10, 0, 1, 1</vt:lpwstr>
  </property>
</Properties>
</file>